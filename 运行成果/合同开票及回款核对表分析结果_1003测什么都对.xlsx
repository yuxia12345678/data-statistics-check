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原始数据" sheetId="1" state="visible" r:id="rId1"/>
    <sheet name="同合同号合并汇总" sheetId="2" state="visible" r:id="rId2"/>
    <sheet name="未回款原因分类汇总" sheetId="3" state="visible" r:id="rId3"/>
    <sheet name="区域统计" sheetId="4" state="visible" r:id="rId4"/>
    <sheet name="部门统计" sheetId="5" state="visible" r:id="rId5"/>
    <sheet name="账龄统计" sheetId="6" state="visible" r:id="rId6"/>
    <sheet name="客户分类统计" sheetId="7" state="visible" r:id="rId7"/>
    <sheet name="统计总览" sheetId="8" state="visible" r:id="rId8"/>
  </sheets>
  <definedNames>
    <definedName name="_xlnm._FilterDatabase" localSheetId="0" hidden="1">'原始数据'!$A$2:$O$1002</definedName>
    <definedName name="_xlnm._FilterDatabase" localSheetId="1" hidden="1">'同合同号合并汇总'!$A$2:$N$465</definedName>
    <definedName name="_xlnm._FilterDatabase" localSheetId="2" hidden="1">'未回款原因分类汇总'!$A$2:$F$6</definedName>
    <definedName name="_xlnm._FilterDatabase" localSheetId="3" hidden="1">'区域统计'!$A$2:$I$36</definedName>
    <definedName name="_xlnm._FilterDatabase" localSheetId="4" hidden="1">'部门统计'!$A$2:$I$12</definedName>
    <definedName name="_xlnm._FilterDatabase" localSheetId="5" hidden="1">'账龄统计'!$A$2:$I$5</definedName>
    <definedName name="_xlnm._FilterDatabase" localSheetId="6" hidden="1">'客户分类统计'!$A$2:$I$10</definedName>
    <definedName name="_xlnm._FilterDatabase" localSheetId="7" hidden="1">'统计总览'!$A$2:$B$10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#,##0.000"/>
  </numFmts>
  <fonts count="25"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b val="1"/>
      <color rgb="FFFFFFFF"/>
      <sz val="14"/>
    </font>
    <font>
      <b val="1"/>
      <color rgb="FFFFFFFF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0070C0"/>
        <bgColor rgb="FF0070C0"/>
      </patternFill>
    </fill>
    <fill>
      <patternFill patternType="solid">
        <fgColor rgb="FFEBF1F8"/>
        <bgColor rgb="FFEBF1F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bottom style="thin">
        <color rgb="FFBFBFBF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49" fontId="3" fillId="0" borderId="0" pivotButton="0" quotePrefix="0" xfId="0"/>
    <xf numFmtId="164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0" fillId="0" borderId="0" pivotButton="0" quotePrefix="0" xfId="0"/>
    <xf numFmtId="164" fontId="3" fillId="0" borderId="0" applyAlignment="1" pivotButton="0" quotePrefix="0" xfId="0">
      <alignment horizontal="right" vertical="center"/>
    </xf>
    <xf numFmtId="0" fontId="23" fillId="33" borderId="0" applyAlignment="1" pivotButton="0" quotePrefix="0" xfId="0">
      <alignment horizontal="center" vertical="center"/>
    </xf>
    <xf numFmtId="0" fontId="24" fillId="34" borderId="0" applyAlignment="1" pivotButton="0" quotePrefix="0" xfId="0">
      <alignment horizontal="center" vertical="center"/>
    </xf>
    <xf numFmtId="1" fontId="0" fillId="35" borderId="9" applyAlignment="1" pivotButton="0" quotePrefix="0" xfId="0">
      <alignment horizontal="right" vertical="center"/>
    </xf>
    <xf numFmtId="0" fontId="0" fillId="35" borderId="9" applyAlignment="1" pivotButton="0" quotePrefix="0" xfId="0">
      <alignment horizontal="center" vertical="center"/>
    </xf>
    <xf numFmtId="0" fontId="0" fillId="35" borderId="9" applyAlignment="1" pivotButton="0" quotePrefix="0" xfId="0">
      <alignment horizontal="left" vertical="center"/>
    </xf>
    <xf numFmtId="49" fontId="0" fillId="35" borderId="9" applyAlignment="1" pivotButton="0" quotePrefix="0" xfId="0">
      <alignment horizontal="center" vertical="center"/>
    </xf>
    <xf numFmtId="164" fontId="0" fillId="35" borderId="9" applyAlignment="1" pivotButton="0" quotePrefix="0" xfId="0">
      <alignment horizontal="right" vertical="center"/>
    </xf>
    <xf numFmtId="1" fontId="0" fillId="0" borderId="9" applyAlignment="1" pivotButton="0" quotePrefix="0" xfId="0">
      <alignment horizontal="right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left" vertical="center"/>
    </xf>
    <xf numFmtId="49" fontId="0" fillId="0" borderId="9" applyAlignment="1" pivotButton="0" quotePrefix="0" xfId="0">
      <alignment horizontal="center" vertical="center"/>
    </xf>
    <xf numFmtId="164" fontId="0" fillId="0" borderId="9" applyAlignment="1" pivotButton="0" quotePrefix="0" xfId="0">
      <alignment horizontal="right" vertical="center"/>
    </xf>
    <xf numFmtId="10" fontId="0" fillId="35" borderId="9" applyAlignment="1" pivotButton="0" quotePrefix="0" xfId="0">
      <alignment horizontal="right" vertical="center"/>
    </xf>
    <xf numFmtId="10" fontId="0" fillId="0" borderId="9" applyAlignment="1" pivotButton="0" quotePrefix="0" xfId="0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fgColor rgb="FFFDE9D9"/>
          <bgColor rgb="FFFDE9D9"/>
        </patternFill>
      </fill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EBF1DE"/>
          <bgColor rgb="FFEBF1DE"/>
        </patternFill>
      </fill>
    </dxf>
    <dxf>
      <fill>
        <patternFill patternType="solid">
          <fgColor rgb="FFE4DFEC"/>
          <bgColor rgb="FFE4DFE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1002"/>
  <sheetViews>
    <sheetView tabSelected="1" topLeftCell="A63" workbookViewId="0">
      <selection activeCell="O92" sqref="O92"/>
    </sheetView>
  </sheetViews>
  <sheetFormatPr baseColWidth="8" defaultColWidth="9" defaultRowHeight="14.25"/>
  <cols>
    <col width="5.75" customWidth="1" style="9" min="1" max="1"/>
    <col width="15.125" customWidth="1" style="9" min="2" max="2"/>
    <col width="16.25" customWidth="1" style="9" min="3" max="3"/>
    <col width="18.5" customWidth="1" style="9" min="4" max="4"/>
    <col width="13.75" customWidth="1" style="9" min="5" max="6"/>
    <col width="16.375" customWidth="1" style="9" min="7" max="7"/>
    <col width="13.75" customWidth="1" style="9" min="8" max="9"/>
    <col width="11.875" customWidth="1" style="9" min="10" max="10"/>
    <col width="13.75" customWidth="1" style="9" min="11" max="11"/>
    <col width="11.125" customWidth="1" style="9" min="12" max="13"/>
    <col width="13.75" customWidth="1" style="9" min="14" max="14"/>
    <col width="17.5" customWidth="1" style="9" min="15" max="15"/>
  </cols>
  <sheetData>
    <row r="1">
      <c r="A1" s="1" t="n"/>
      <c r="B1" s="2" t="inlineStr">
        <is>
          <t>单位：万元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7.95" customHeight="1" s="9">
      <c r="A2" s="3" t="inlineStr">
        <is>
          <t>序号</t>
        </is>
      </c>
      <c r="B2" s="3" t="inlineStr">
        <is>
          <t>区域</t>
        </is>
      </c>
      <c r="C2" s="3" t="inlineStr">
        <is>
          <t>客户分类</t>
        </is>
      </c>
      <c r="D2" s="3" t="inlineStr">
        <is>
          <t>合同号</t>
        </is>
      </c>
      <c r="E2" s="3" t="inlineStr">
        <is>
          <t>开票日期</t>
        </is>
      </c>
      <c r="F2" s="4" t="inlineStr">
        <is>
          <t>合同金额</t>
        </is>
      </c>
      <c r="G2" s="3" t="inlineStr">
        <is>
          <t>合并开票金额</t>
        </is>
      </c>
      <c r="H2" s="3" t="inlineStr">
        <is>
          <t>未开票金额</t>
        </is>
      </c>
      <c r="I2" s="3" t="inlineStr">
        <is>
          <t>开票金额</t>
        </is>
      </c>
      <c r="J2" s="3" t="inlineStr">
        <is>
          <t>回款合计</t>
        </is>
      </c>
      <c r="K2" s="3" t="inlineStr">
        <is>
          <t>开票未回款</t>
        </is>
      </c>
      <c r="L2" s="3" t="inlineStr">
        <is>
          <t>部门</t>
        </is>
      </c>
      <c r="M2" s="3" t="inlineStr">
        <is>
          <t>责任人</t>
        </is>
      </c>
      <c r="N2" s="3" t="inlineStr">
        <is>
          <t>账龄</t>
        </is>
      </c>
      <c r="O2" s="3" t="inlineStr">
        <is>
          <t>未回款原因分类</t>
        </is>
      </c>
      <c r="P2" s="3" t="n"/>
      <c r="Q2" s="3" t="n"/>
      <c r="R2" s="3" t="n"/>
      <c r="S2" s="3" t="n"/>
    </row>
    <row r="3">
      <c r="A3" s="5" t="n">
        <v>1</v>
      </c>
      <c r="B3" s="5" t="inlineStr">
        <is>
          <t>华东-山东</t>
        </is>
      </c>
      <c r="C3" s="5" t="inlineStr">
        <is>
          <t>基层自治组织</t>
        </is>
      </c>
      <c r="D3" s="6" t="inlineStr">
        <is>
          <t>HT20250101</t>
        </is>
      </c>
      <c r="E3" s="6" t="inlineStr">
        <is>
          <t>20250801</t>
        </is>
      </c>
      <c r="F3" s="10" t="n">
        <v>903.192</v>
      </c>
      <c r="G3" s="8" t="n"/>
      <c r="H3" s="10" t="n">
        <v>125.917</v>
      </c>
      <c r="I3" s="10" t="n">
        <v>777.275</v>
      </c>
      <c r="J3" s="10" t="n">
        <v>509.013</v>
      </c>
      <c r="K3" s="10" t="n">
        <v>268.262</v>
      </c>
      <c r="L3" s="8" t="inlineStr">
        <is>
          <t>二部</t>
        </is>
      </c>
      <c r="M3" s="8" t="inlineStr">
        <is>
          <t>黄强</t>
        </is>
      </c>
      <c r="N3" s="8" t="inlineStr">
        <is>
          <t>1年以内</t>
        </is>
      </c>
      <c r="O3" s="8" t="inlineStr">
        <is>
          <t>需求不满足</t>
        </is>
      </c>
    </row>
    <row r="4">
      <c r="A4" s="5" t="n">
        <v>2</v>
      </c>
      <c r="B4" s="5" t="inlineStr">
        <is>
          <t>西南-贵州</t>
        </is>
      </c>
      <c r="C4" s="5" t="inlineStr">
        <is>
          <t>党委机关</t>
        </is>
      </c>
      <c r="D4" s="6" t="inlineStr">
        <is>
          <t>HT20250103</t>
        </is>
      </c>
      <c r="E4" s="6" t="inlineStr">
        <is>
          <t>20260308</t>
        </is>
      </c>
      <c r="F4" s="10" t="n">
        <v>6966.215</v>
      </c>
      <c r="G4" s="8" t="n"/>
      <c r="H4" s="10" t="n">
        <v>2801.997</v>
      </c>
      <c r="I4" s="10" t="n">
        <v>4164.218</v>
      </c>
      <c r="J4" s="10" t="n">
        <v>2333.576</v>
      </c>
      <c r="K4" s="10" t="n">
        <v>1830.642</v>
      </c>
      <c r="L4" s="8" t="inlineStr">
        <is>
          <t>六部</t>
        </is>
      </c>
      <c r="M4" s="8" t="inlineStr">
        <is>
          <t>程琳</t>
        </is>
      </c>
      <c r="N4" s="8" t="inlineStr">
        <is>
          <t>2-3年</t>
        </is>
      </c>
      <c r="O4" s="8" t="inlineStr">
        <is>
          <t>公司负债</t>
        </is>
      </c>
    </row>
    <row r="5">
      <c r="A5" s="5" t="n">
        <v>3</v>
      </c>
      <c r="B5" s="5" t="inlineStr">
        <is>
          <t>华北-北京</t>
        </is>
      </c>
      <c r="C5" s="5" t="inlineStr">
        <is>
          <t>基层自治组织</t>
        </is>
      </c>
      <c r="D5" s="6" t="inlineStr">
        <is>
          <t>HT20250103</t>
        </is>
      </c>
      <c r="E5" s="6" t="inlineStr">
        <is>
          <t>20260308</t>
        </is>
      </c>
      <c r="F5" s="10" t="n">
        <v>31.417</v>
      </c>
      <c r="G5" s="8" t="n"/>
      <c r="H5" s="10" t="n">
        <v>2.921</v>
      </c>
      <c r="I5" s="10" t="n">
        <v>28.496</v>
      </c>
      <c r="J5" s="10" t="n">
        <v>0.64</v>
      </c>
      <c r="K5" s="10" t="n">
        <v>27.856</v>
      </c>
      <c r="L5" s="8" t="inlineStr">
        <is>
          <t>九部</t>
        </is>
      </c>
      <c r="M5" s="8" t="inlineStr">
        <is>
          <t>贾静</t>
        </is>
      </c>
      <c r="N5" s="8" t="inlineStr">
        <is>
          <t>1年以内</t>
        </is>
      </c>
      <c r="O5" s="8" t="inlineStr">
        <is>
          <t>服务不满意</t>
        </is>
      </c>
    </row>
    <row r="6">
      <c r="A6" s="5" t="n">
        <v>4</v>
      </c>
      <c r="B6" s="5" t="inlineStr">
        <is>
          <t>华东-山东</t>
        </is>
      </c>
      <c r="C6" s="5" t="inlineStr">
        <is>
          <t>监察司法机关</t>
        </is>
      </c>
      <c r="D6" s="6" t="inlineStr">
        <is>
          <t>HT20250104</t>
        </is>
      </c>
      <c r="E6" s="6" t="inlineStr">
        <is>
          <t>20250921</t>
        </is>
      </c>
      <c r="F6" s="10" t="n">
        <v>476.898</v>
      </c>
      <c r="G6" s="8" t="n"/>
      <c r="H6" s="10" t="n">
        <v>11.198</v>
      </c>
      <c r="I6" s="10" t="n">
        <v>465.7</v>
      </c>
      <c r="J6" s="10" t="n">
        <v>1.767</v>
      </c>
      <c r="K6" s="10" t="n">
        <v>463.933</v>
      </c>
      <c r="L6" s="8" t="inlineStr">
        <is>
          <t>二部</t>
        </is>
      </c>
      <c r="M6" s="8" t="inlineStr">
        <is>
          <t>周杰</t>
        </is>
      </c>
      <c r="N6" s="8" t="inlineStr">
        <is>
          <t>1年以内</t>
        </is>
      </c>
      <c r="O6" s="8" t="inlineStr">
        <is>
          <t>服务不满意</t>
        </is>
      </c>
    </row>
    <row r="7">
      <c r="A7" s="5" t="n">
        <v>5</v>
      </c>
      <c r="B7" s="5" t="inlineStr">
        <is>
          <t>西南-四川</t>
        </is>
      </c>
      <c r="C7" s="5" t="inlineStr">
        <is>
          <t>国有企业</t>
        </is>
      </c>
      <c r="D7" s="6" t="inlineStr">
        <is>
          <t>HT20250104</t>
        </is>
      </c>
      <c r="E7" s="6" t="inlineStr">
        <is>
          <t>20250921</t>
        </is>
      </c>
      <c r="F7" s="10" t="n">
        <v>749.9640000000001</v>
      </c>
      <c r="G7" s="8" t="n"/>
      <c r="H7" s="10" t="n">
        <v>723.494</v>
      </c>
      <c r="I7" s="10" t="n">
        <v>26.47</v>
      </c>
      <c r="J7" s="10" t="n">
        <v>6.114</v>
      </c>
      <c r="K7" s="10" t="n">
        <v>20.356</v>
      </c>
      <c r="L7" s="8" t="inlineStr">
        <is>
          <t>九部</t>
        </is>
      </c>
      <c r="M7" s="8" t="inlineStr">
        <is>
          <t>蒋涛</t>
        </is>
      </c>
      <c r="N7" s="8" t="inlineStr">
        <is>
          <t>1-2年</t>
        </is>
      </c>
      <c r="O7" s="8" t="inlineStr">
        <is>
          <t>服务不满意</t>
        </is>
      </c>
    </row>
    <row r="8">
      <c r="A8" s="5" t="n">
        <v>6</v>
      </c>
      <c r="B8" s="5" t="inlineStr">
        <is>
          <t>西北-青海</t>
        </is>
      </c>
      <c r="C8" s="5" t="inlineStr">
        <is>
          <t>国有企业</t>
        </is>
      </c>
      <c r="D8" s="6" t="inlineStr">
        <is>
          <t>HT20250105</t>
        </is>
      </c>
      <c r="E8" s="6" t="inlineStr">
        <is>
          <t>20250624</t>
        </is>
      </c>
      <c r="F8" s="10" t="n">
        <v>412.551</v>
      </c>
      <c r="G8" s="8" t="n"/>
      <c r="H8" s="10" t="n">
        <v>221.591</v>
      </c>
      <c r="I8" s="10" t="n">
        <v>190.96</v>
      </c>
      <c r="J8" s="10" t="n">
        <v>134.186</v>
      </c>
      <c r="K8" s="10" t="n">
        <v>56.774</v>
      </c>
      <c r="L8" s="8" t="inlineStr">
        <is>
          <t>十部</t>
        </is>
      </c>
      <c r="M8" s="8" t="inlineStr">
        <is>
          <t>薛峰</t>
        </is>
      </c>
      <c r="N8" s="8" t="inlineStr">
        <is>
          <t>1-2年</t>
        </is>
      </c>
      <c r="O8" s="8" t="inlineStr">
        <is>
          <t>需求不满足</t>
        </is>
      </c>
    </row>
    <row r="9">
      <c r="A9" s="5" t="n">
        <v>7</v>
      </c>
      <c r="B9" s="5" t="inlineStr">
        <is>
          <t>东北-吉林</t>
        </is>
      </c>
      <c r="C9" s="5" t="inlineStr">
        <is>
          <t>国有企业</t>
        </is>
      </c>
      <c r="D9" s="6" t="inlineStr">
        <is>
          <t>HT20250105</t>
        </is>
      </c>
      <c r="E9" s="6" t="inlineStr">
        <is>
          <t>20250624</t>
        </is>
      </c>
      <c r="F9" s="10" t="n">
        <v>49.713</v>
      </c>
      <c r="G9" s="8" t="n"/>
      <c r="H9" s="10" t="n">
        <v>5.043</v>
      </c>
      <c r="I9" s="10" t="n">
        <v>44.67</v>
      </c>
      <c r="J9" s="10" t="n">
        <v>38.582</v>
      </c>
      <c r="K9" s="10" t="n">
        <v>6.088</v>
      </c>
      <c r="L9" s="8" t="inlineStr">
        <is>
          <t>一部</t>
        </is>
      </c>
      <c r="M9" s="8" t="inlineStr">
        <is>
          <t>张伟</t>
        </is>
      </c>
      <c r="N9" s="8" t="inlineStr">
        <is>
          <t>2-3年</t>
        </is>
      </c>
      <c r="O9" s="8" t="inlineStr">
        <is>
          <t>服务不满意</t>
        </is>
      </c>
    </row>
    <row r="10">
      <c r="A10" s="5" t="n">
        <v>8</v>
      </c>
      <c r="B10" s="5" t="inlineStr">
        <is>
          <t>华中-河南</t>
        </is>
      </c>
      <c r="C10" s="5" t="inlineStr">
        <is>
          <t>人大政协</t>
        </is>
      </c>
      <c r="D10" s="6" t="inlineStr">
        <is>
          <t>HT20250105</t>
        </is>
      </c>
      <c r="E10" s="6" t="inlineStr">
        <is>
          <t>20250624</t>
        </is>
      </c>
      <c r="F10" s="10" t="n">
        <v>104.406</v>
      </c>
      <c r="G10" s="8" t="n"/>
      <c r="H10" s="10" t="n">
        <v>27.005</v>
      </c>
      <c r="I10" s="10" t="n">
        <v>77.401</v>
      </c>
      <c r="J10" s="10" t="n">
        <v>63.54</v>
      </c>
      <c r="K10" s="10" t="n">
        <v>13.861</v>
      </c>
      <c r="L10" s="8" t="inlineStr">
        <is>
          <t>八部</t>
        </is>
      </c>
      <c r="M10" s="8" t="inlineStr">
        <is>
          <t>卢俊</t>
        </is>
      </c>
      <c r="N10" s="8" t="inlineStr">
        <is>
          <t>1年以内</t>
        </is>
      </c>
      <c r="O10" s="8" t="n"/>
    </row>
    <row r="11">
      <c r="A11" s="5" t="n">
        <v>9</v>
      </c>
      <c r="B11" s="5" t="inlineStr">
        <is>
          <t>东北-吉林</t>
        </is>
      </c>
      <c r="C11" s="5" t="inlineStr">
        <is>
          <t>事业单位</t>
        </is>
      </c>
      <c r="D11" s="6" t="inlineStr">
        <is>
          <t>HT20250106</t>
        </is>
      </c>
      <c r="E11" s="6" t="inlineStr">
        <is>
          <t>20260321</t>
        </is>
      </c>
      <c r="F11" s="10" t="n">
        <v>682.758</v>
      </c>
      <c r="G11" s="8" t="n"/>
      <c r="H11" s="10" t="n">
        <v>173.449</v>
      </c>
      <c r="I11" s="10" t="n">
        <v>509.309</v>
      </c>
      <c r="J11" s="10" t="n">
        <v>380.529</v>
      </c>
      <c r="K11" s="10" t="n">
        <v>128.78</v>
      </c>
      <c r="L11" s="8" t="inlineStr">
        <is>
          <t>九部</t>
        </is>
      </c>
      <c r="M11" s="8" t="inlineStr">
        <is>
          <t>蒋涛</t>
        </is>
      </c>
      <c r="N11" s="8" t="inlineStr">
        <is>
          <t>1-2年</t>
        </is>
      </c>
      <c r="O11" s="8" t="inlineStr">
        <is>
          <t>服务不满意</t>
        </is>
      </c>
    </row>
    <row r="12">
      <c r="A12" s="5" t="n">
        <v>10</v>
      </c>
      <c r="B12" s="5" t="inlineStr">
        <is>
          <t>华北-河北</t>
        </is>
      </c>
      <c r="C12" s="5" t="inlineStr">
        <is>
          <t>群团组织</t>
        </is>
      </c>
      <c r="D12" s="6" t="inlineStr">
        <is>
          <t>HT20250106</t>
        </is>
      </c>
      <c r="E12" s="6" t="inlineStr">
        <is>
          <t>20260321</t>
        </is>
      </c>
      <c r="F12" s="10" t="n">
        <v>712.398</v>
      </c>
      <c r="G12" s="8" t="n"/>
      <c r="H12" s="10" t="n">
        <v>404.251</v>
      </c>
      <c r="I12" s="10" t="n">
        <v>308.147</v>
      </c>
      <c r="J12" s="10" t="n">
        <v>235.085</v>
      </c>
      <c r="K12" s="10" t="n">
        <v>73.062</v>
      </c>
      <c r="L12" s="8" t="inlineStr">
        <is>
          <t>九部</t>
        </is>
      </c>
      <c r="M12" s="8" t="inlineStr">
        <is>
          <t>魏红</t>
        </is>
      </c>
      <c r="N12" s="8" t="inlineStr">
        <is>
          <t>1年以内</t>
        </is>
      </c>
      <c r="O12" s="8" t="inlineStr">
        <is>
          <t>产品不合格</t>
        </is>
      </c>
    </row>
    <row r="13">
      <c r="A13" s="5" t="n">
        <v>11</v>
      </c>
      <c r="B13" s="5" t="inlineStr">
        <is>
          <t>东北-辽宁</t>
        </is>
      </c>
      <c r="C13" s="5" t="inlineStr">
        <is>
          <t>基层自治组织</t>
        </is>
      </c>
      <c r="D13" s="6" t="inlineStr">
        <is>
          <t>HT20250108</t>
        </is>
      </c>
      <c r="E13" s="6" t="inlineStr">
        <is>
          <t>20250807</t>
        </is>
      </c>
      <c r="F13" s="10" t="n">
        <v>34.12</v>
      </c>
      <c r="G13" s="8" t="n"/>
      <c r="H13" s="10" t="n">
        <v>2.82</v>
      </c>
      <c r="I13" s="10" t="n">
        <v>31.3</v>
      </c>
      <c r="J13" s="10" t="n">
        <v>24.023</v>
      </c>
      <c r="K13" s="10" t="n">
        <v>7.277</v>
      </c>
      <c r="L13" s="8" t="inlineStr">
        <is>
          <t>三部</t>
        </is>
      </c>
      <c r="M13" s="8" t="inlineStr">
        <is>
          <t>马超</t>
        </is>
      </c>
      <c r="N13" s="8" t="inlineStr">
        <is>
          <t>1-2年</t>
        </is>
      </c>
      <c r="O13" s="8" t="n"/>
    </row>
    <row r="14">
      <c r="A14" s="5" t="n">
        <v>12</v>
      </c>
      <c r="B14" s="5" t="inlineStr">
        <is>
          <t>华北-内蒙古</t>
        </is>
      </c>
      <c r="C14" s="5" t="inlineStr">
        <is>
          <t>党委机关</t>
        </is>
      </c>
      <c r="D14" s="6" t="inlineStr">
        <is>
          <t>HT20250109</t>
        </is>
      </c>
      <c r="E14" s="6" t="inlineStr">
        <is>
          <t>20251224</t>
        </is>
      </c>
      <c r="F14" s="10" t="n">
        <v>221.038</v>
      </c>
      <c r="G14" s="8" t="n"/>
      <c r="H14" s="10" t="n">
        <v>192.858</v>
      </c>
      <c r="I14" s="10" t="n">
        <v>28.18</v>
      </c>
      <c r="J14" s="10" t="n">
        <v>21.644</v>
      </c>
      <c r="K14" s="10" t="n">
        <v>6.536</v>
      </c>
      <c r="L14" s="8" t="inlineStr">
        <is>
          <t>二部</t>
        </is>
      </c>
      <c r="M14" s="8" t="inlineStr">
        <is>
          <t>杨磊</t>
        </is>
      </c>
      <c r="N14" s="8" t="inlineStr">
        <is>
          <t>1年以内</t>
        </is>
      </c>
      <c r="O14" s="8" t="n"/>
    </row>
    <row r="15">
      <c r="A15" s="5" t="n">
        <v>13</v>
      </c>
      <c r="B15" s="5" t="inlineStr">
        <is>
          <t>西北-宁夏</t>
        </is>
      </c>
      <c r="C15" s="5" t="inlineStr">
        <is>
          <t>政府机关</t>
        </is>
      </c>
      <c r="D15" s="6" t="inlineStr">
        <is>
          <t>HT20250110</t>
        </is>
      </c>
      <c r="E15" s="6" t="inlineStr">
        <is>
          <t>20250514</t>
        </is>
      </c>
      <c r="F15" s="10" t="n">
        <v>92.78700000000001</v>
      </c>
      <c r="G15" s="8" t="n"/>
      <c r="H15" s="10" t="n">
        <v>90.667</v>
      </c>
      <c r="I15" s="10" t="n">
        <v>2.12</v>
      </c>
      <c r="J15" s="10" t="n">
        <v>1.546</v>
      </c>
      <c r="K15" s="10" t="n">
        <v>0.574</v>
      </c>
      <c r="L15" s="8" t="inlineStr">
        <is>
          <t>一部</t>
        </is>
      </c>
      <c r="M15" s="8" t="inlineStr">
        <is>
          <t>张伟</t>
        </is>
      </c>
      <c r="N15" s="8" t="inlineStr">
        <is>
          <t>1年以内</t>
        </is>
      </c>
      <c r="O15" s="8" t="n"/>
    </row>
    <row r="16">
      <c r="A16" s="5" t="n">
        <v>14</v>
      </c>
      <c r="B16" s="5" t="inlineStr">
        <is>
          <t>华东-江苏</t>
        </is>
      </c>
      <c r="C16" s="5" t="inlineStr">
        <is>
          <t>国有企业</t>
        </is>
      </c>
      <c r="D16" s="6" t="inlineStr">
        <is>
          <t>HT20250111</t>
        </is>
      </c>
      <c r="E16" s="6" t="inlineStr">
        <is>
          <t>20250821</t>
        </is>
      </c>
      <c r="F16" s="10" t="n">
        <v>427.43</v>
      </c>
      <c r="G16" s="8" t="n"/>
      <c r="H16" s="10" t="n">
        <v>235.399</v>
      </c>
      <c r="I16" s="10" t="n">
        <v>192.031</v>
      </c>
      <c r="J16" s="10" t="n">
        <v>144.864</v>
      </c>
      <c r="K16" s="10" t="n">
        <v>47.167</v>
      </c>
      <c r="L16" s="8" t="inlineStr">
        <is>
          <t>五部</t>
        </is>
      </c>
      <c r="M16" s="8" t="inlineStr">
        <is>
          <t>梁雪</t>
        </is>
      </c>
      <c r="N16" s="8" t="inlineStr">
        <is>
          <t>1年以内</t>
        </is>
      </c>
      <c r="O16" s="8" t="inlineStr">
        <is>
          <t>需求不满足</t>
        </is>
      </c>
    </row>
    <row r="17">
      <c r="A17" s="5" t="n">
        <v>15</v>
      </c>
      <c r="B17" s="5" t="inlineStr">
        <is>
          <t>华北-内蒙古</t>
        </is>
      </c>
      <c r="C17" s="5" t="inlineStr">
        <is>
          <t>监察司法机关</t>
        </is>
      </c>
      <c r="D17" s="6" t="inlineStr">
        <is>
          <t>HT20250111</t>
        </is>
      </c>
      <c r="E17" s="6" t="inlineStr">
        <is>
          <t>20250821</t>
        </is>
      </c>
      <c r="F17" s="10" t="n">
        <v>478.866</v>
      </c>
      <c r="G17" s="8" t="n"/>
      <c r="H17" s="10" t="n">
        <v>275.771</v>
      </c>
      <c r="I17" s="10" t="n">
        <v>203.095</v>
      </c>
      <c r="J17" s="10" t="n">
        <v>63.314</v>
      </c>
      <c r="K17" s="10" t="n">
        <v>139.781</v>
      </c>
      <c r="L17" s="8" t="inlineStr">
        <is>
          <t>八部</t>
        </is>
      </c>
      <c r="M17" s="8" t="inlineStr">
        <is>
          <t>吕强</t>
        </is>
      </c>
      <c r="N17" s="8" t="inlineStr">
        <is>
          <t>1-2年</t>
        </is>
      </c>
      <c r="O17" s="8" t="n"/>
    </row>
    <row r="18">
      <c r="A18" s="5" t="n">
        <v>16</v>
      </c>
      <c r="B18" s="5" t="inlineStr">
        <is>
          <t>华南-澳门</t>
        </is>
      </c>
      <c r="C18" s="5" t="inlineStr">
        <is>
          <t>事业单位</t>
        </is>
      </c>
      <c r="D18" s="6" t="inlineStr">
        <is>
          <t>HT20250114</t>
        </is>
      </c>
      <c r="E18" s="6" t="inlineStr">
        <is>
          <t>20250824</t>
        </is>
      </c>
      <c r="F18" s="10" t="n">
        <v>719.345</v>
      </c>
      <c r="G18" s="8" t="n"/>
      <c r="H18" s="10" t="n">
        <v>430.257</v>
      </c>
      <c r="I18" s="10" t="n">
        <v>289.088</v>
      </c>
      <c r="J18" s="10" t="n">
        <v>56.998</v>
      </c>
      <c r="K18" s="10" t="n">
        <v>232.09</v>
      </c>
      <c r="L18" s="8" t="inlineStr">
        <is>
          <t>一部</t>
        </is>
      </c>
      <c r="M18" s="8" t="inlineStr">
        <is>
          <t>刘洋</t>
        </is>
      </c>
      <c r="N18" s="8" t="inlineStr">
        <is>
          <t>2-3年</t>
        </is>
      </c>
      <c r="O18" s="8" t="inlineStr">
        <is>
          <t>服务不满意</t>
        </is>
      </c>
    </row>
    <row r="19">
      <c r="A19" s="5" t="n">
        <v>17</v>
      </c>
      <c r="B19" s="5" t="inlineStr">
        <is>
          <t>东北-吉林</t>
        </is>
      </c>
      <c r="C19" s="5" t="inlineStr">
        <is>
          <t>基层自治组织</t>
        </is>
      </c>
      <c r="D19" s="6" t="inlineStr">
        <is>
          <t>HT20250114</t>
        </is>
      </c>
      <c r="E19" s="6" t="inlineStr">
        <is>
          <t>20250824</t>
        </is>
      </c>
      <c r="F19" s="10" t="n">
        <v>329.607</v>
      </c>
      <c r="G19" s="8" t="n"/>
      <c r="H19" s="10" t="n">
        <v>253.206</v>
      </c>
      <c r="I19" s="10" t="n">
        <v>76.401</v>
      </c>
      <c r="J19" s="10" t="n">
        <v>46.249</v>
      </c>
      <c r="K19" s="10" t="n">
        <v>30.152</v>
      </c>
      <c r="L19" s="8" t="inlineStr">
        <is>
          <t>七部</t>
        </is>
      </c>
      <c r="M19" s="8" t="inlineStr">
        <is>
          <t>沈刚</t>
        </is>
      </c>
      <c r="N19" s="8" t="inlineStr">
        <is>
          <t>2-3年</t>
        </is>
      </c>
      <c r="O19" s="8" t="inlineStr">
        <is>
          <t>公司负债</t>
        </is>
      </c>
    </row>
    <row r="20">
      <c r="A20" s="5" t="n">
        <v>18</v>
      </c>
      <c r="B20" s="5" t="inlineStr">
        <is>
          <t>华北-内蒙古</t>
        </is>
      </c>
      <c r="C20" s="5" t="inlineStr">
        <is>
          <t>监察司法机关</t>
        </is>
      </c>
      <c r="D20" s="6" t="inlineStr">
        <is>
          <t>HT20250115</t>
        </is>
      </c>
      <c r="E20" s="6" t="inlineStr">
        <is>
          <t>20260222</t>
        </is>
      </c>
      <c r="F20" s="10" t="n">
        <v>768.352</v>
      </c>
      <c r="G20" s="8" t="n"/>
      <c r="H20" s="10" t="n">
        <v>283.474</v>
      </c>
      <c r="I20" s="10" t="n">
        <v>484.878</v>
      </c>
      <c r="J20" s="10" t="n">
        <v>30.906</v>
      </c>
      <c r="K20" s="10" t="n">
        <v>453.972</v>
      </c>
      <c r="L20" s="8" t="inlineStr">
        <is>
          <t>四部</t>
        </is>
      </c>
      <c r="M20" s="8" t="inlineStr">
        <is>
          <t>郭鹏</t>
        </is>
      </c>
      <c r="N20" s="8" t="inlineStr">
        <is>
          <t>1年以内</t>
        </is>
      </c>
      <c r="O20" s="8" t="n"/>
    </row>
    <row r="21">
      <c r="A21" s="5" t="n">
        <v>19</v>
      </c>
      <c r="B21" s="5" t="inlineStr">
        <is>
          <t>西北-青海</t>
        </is>
      </c>
      <c r="C21" s="5" t="inlineStr">
        <is>
          <t>事业单位</t>
        </is>
      </c>
      <c r="D21" s="6" t="inlineStr">
        <is>
          <t>HT20250115</t>
        </is>
      </c>
      <c r="E21" s="6" t="inlineStr">
        <is>
          <t>20260222</t>
        </is>
      </c>
      <c r="F21" s="10" t="n">
        <v>150.427</v>
      </c>
      <c r="G21" s="8" t="n"/>
      <c r="H21" s="10" t="n">
        <v>84.133</v>
      </c>
      <c r="I21" s="10" t="n">
        <v>66.294</v>
      </c>
      <c r="J21" s="10" t="n">
        <v>26.471</v>
      </c>
      <c r="K21" s="10" t="n">
        <v>39.823</v>
      </c>
      <c r="L21" s="8" t="inlineStr">
        <is>
          <t>十部</t>
        </is>
      </c>
      <c r="M21" s="8" t="inlineStr">
        <is>
          <t>薛峰</t>
        </is>
      </c>
      <c r="N21" s="8" t="inlineStr">
        <is>
          <t>1年以内</t>
        </is>
      </c>
      <c r="O21" s="8" t="inlineStr">
        <is>
          <t>服务不满意</t>
        </is>
      </c>
    </row>
    <row r="22">
      <c r="A22" s="5" t="n">
        <v>20</v>
      </c>
      <c r="B22" s="5" t="inlineStr">
        <is>
          <t>华东-山东</t>
        </is>
      </c>
      <c r="C22" s="5" t="inlineStr">
        <is>
          <t>党委机关</t>
        </is>
      </c>
      <c r="D22" s="6" t="inlineStr">
        <is>
          <t>HT20250115</t>
        </is>
      </c>
      <c r="E22" s="6" t="inlineStr">
        <is>
          <t>20260222</t>
        </is>
      </c>
      <c r="F22" s="10" t="n">
        <v>2561.06</v>
      </c>
      <c r="G22" s="8" t="n"/>
      <c r="H22" s="10" t="n">
        <v>204.85</v>
      </c>
      <c r="I22" s="10" t="n">
        <v>2356.21</v>
      </c>
      <c r="J22" s="10" t="n">
        <v>1980.529</v>
      </c>
      <c r="K22" s="10" t="n">
        <v>375.681</v>
      </c>
      <c r="L22" s="8" t="inlineStr">
        <is>
          <t>三部</t>
        </is>
      </c>
      <c r="M22" s="8" t="inlineStr">
        <is>
          <t>徐涛</t>
        </is>
      </c>
      <c r="N22" s="8" t="inlineStr">
        <is>
          <t>1-2年</t>
        </is>
      </c>
      <c r="O22" s="8" t="n"/>
    </row>
    <row r="23">
      <c r="A23" s="5" t="n">
        <v>21</v>
      </c>
      <c r="B23" s="5" t="inlineStr">
        <is>
          <t>西南-重庆</t>
        </is>
      </c>
      <c r="C23" s="5" t="inlineStr">
        <is>
          <t>监察司法机关</t>
        </is>
      </c>
      <c r="D23" s="6" t="inlineStr">
        <is>
          <t>HT20250115</t>
        </is>
      </c>
      <c r="E23" s="6" t="inlineStr">
        <is>
          <t>20260222</t>
        </is>
      </c>
      <c r="F23" s="10" t="n">
        <v>416.806</v>
      </c>
      <c r="G23" s="8" t="n"/>
      <c r="H23" s="10" t="n">
        <v>82.795</v>
      </c>
      <c r="I23" s="10" t="n">
        <v>334.011</v>
      </c>
      <c r="J23" s="10" t="n">
        <v>172.386</v>
      </c>
      <c r="K23" s="10" t="n">
        <v>161.625</v>
      </c>
      <c r="L23" s="8" t="inlineStr">
        <is>
          <t>四部</t>
        </is>
      </c>
      <c r="M23" s="8" t="inlineStr">
        <is>
          <t>何萍</t>
        </is>
      </c>
      <c r="N23" s="8" t="inlineStr">
        <is>
          <t>2-3年</t>
        </is>
      </c>
      <c r="O23" s="8" t="inlineStr">
        <is>
          <t>服务不满意</t>
        </is>
      </c>
    </row>
    <row r="24">
      <c r="A24" s="5" t="n">
        <v>22</v>
      </c>
      <c r="B24" s="5" t="inlineStr">
        <is>
          <t>华东-浙江</t>
        </is>
      </c>
      <c r="C24" s="5" t="inlineStr">
        <is>
          <t>群团组织</t>
        </is>
      </c>
      <c r="D24" s="6" t="inlineStr">
        <is>
          <t>HT20250117</t>
        </is>
      </c>
      <c r="E24" s="6" t="inlineStr">
        <is>
          <t>20250819</t>
        </is>
      </c>
      <c r="F24" s="10" t="n">
        <v>837.732</v>
      </c>
      <c r="G24" s="8" t="n"/>
      <c r="H24" s="10" t="n">
        <v>240.479</v>
      </c>
      <c r="I24" s="10" t="n">
        <v>597.253</v>
      </c>
      <c r="J24" s="10" t="n">
        <v>397.179</v>
      </c>
      <c r="K24" s="10" t="n">
        <v>200.074</v>
      </c>
      <c r="L24" s="8" t="inlineStr">
        <is>
          <t>十部</t>
        </is>
      </c>
      <c r="M24" s="8" t="inlineStr">
        <is>
          <t>雷声</t>
        </is>
      </c>
      <c r="N24" s="8" t="inlineStr">
        <is>
          <t>1-2年</t>
        </is>
      </c>
      <c r="O24" s="8" t="n"/>
    </row>
    <row r="25">
      <c r="A25" s="5" t="n">
        <v>23</v>
      </c>
      <c r="B25" s="5" t="inlineStr">
        <is>
          <t>西南-贵州</t>
        </is>
      </c>
      <c r="C25" s="5" t="inlineStr">
        <is>
          <t>监察司法机关</t>
        </is>
      </c>
      <c r="D25" s="6" t="inlineStr">
        <is>
          <t>HT20250117</t>
        </is>
      </c>
      <c r="E25" s="6" t="inlineStr">
        <is>
          <t>20250819</t>
        </is>
      </c>
      <c r="F25" s="10" t="n">
        <v>955.217</v>
      </c>
      <c r="G25" s="8" t="n"/>
      <c r="H25" s="10" t="n">
        <v>434.732</v>
      </c>
      <c r="I25" s="10" t="n">
        <v>520.485</v>
      </c>
      <c r="J25" s="10" t="n">
        <v>41.374</v>
      </c>
      <c r="K25" s="10" t="n">
        <v>479.111</v>
      </c>
      <c r="L25" s="8" t="inlineStr">
        <is>
          <t>三部</t>
        </is>
      </c>
      <c r="M25" s="8" t="inlineStr">
        <is>
          <t>胡蓉</t>
        </is>
      </c>
      <c r="N25" s="8" t="inlineStr">
        <is>
          <t>1年以内</t>
        </is>
      </c>
      <c r="O25" s="8" t="n"/>
    </row>
    <row r="26">
      <c r="A26" s="5" t="n">
        <v>24</v>
      </c>
      <c r="B26" s="5" t="inlineStr">
        <is>
          <t>东北-吉林</t>
        </is>
      </c>
      <c r="C26" s="5" t="inlineStr">
        <is>
          <t>基层自治组织</t>
        </is>
      </c>
      <c r="D26" s="6" t="inlineStr">
        <is>
          <t>HT20250118</t>
        </is>
      </c>
      <c r="E26" s="6" t="inlineStr">
        <is>
          <t>20260816</t>
        </is>
      </c>
      <c r="F26" s="10" t="n">
        <v>508.692</v>
      </c>
      <c r="G26" s="8" t="n"/>
      <c r="H26" s="10" t="n">
        <v>226.31</v>
      </c>
      <c r="I26" s="10" t="n">
        <v>282.382</v>
      </c>
      <c r="J26" s="10" t="n">
        <v>222.458</v>
      </c>
      <c r="K26" s="10" t="n">
        <v>59.924</v>
      </c>
      <c r="L26" s="8" t="inlineStr">
        <is>
          <t>九部</t>
        </is>
      </c>
      <c r="M26" s="8" t="inlineStr">
        <is>
          <t>魏红</t>
        </is>
      </c>
      <c r="N26" s="8" t="inlineStr">
        <is>
          <t>1-2年</t>
        </is>
      </c>
      <c r="O26" s="8" t="inlineStr">
        <is>
          <t>需求不满足</t>
        </is>
      </c>
    </row>
    <row r="27">
      <c r="A27" s="5" t="n">
        <v>25</v>
      </c>
      <c r="B27" s="5" t="inlineStr">
        <is>
          <t>西北-陕西</t>
        </is>
      </c>
      <c r="C27" s="5" t="inlineStr">
        <is>
          <t>事业单位</t>
        </is>
      </c>
      <c r="D27" s="6" t="inlineStr">
        <is>
          <t>HT20250118</t>
        </is>
      </c>
      <c r="E27" s="6" t="inlineStr">
        <is>
          <t>20260816</t>
        </is>
      </c>
      <c r="F27" s="10" t="n">
        <v>313.818</v>
      </c>
      <c r="G27" s="8" t="n"/>
      <c r="H27" s="10" t="n">
        <v>129.843</v>
      </c>
      <c r="I27" s="10" t="n">
        <v>183.975</v>
      </c>
      <c r="J27" s="10" t="n">
        <v>180.273</v>
      </c>
      <c r="K27" s="10" t="n">
        <v>3.702</v>
      </c>
      <c r="L27" s="8" t="inlineStr">
        <is>
          <t>三部</t>
        </is>
      </c>
      <c r="M27" s="8" t="inlineStr">
        <is>
          <t>孙艳</t>
        </is>
      </c>
      <c r="N27" s="8" t="inlineStr">
        <is>
          <t>1-2年</t>
        </is>
      </c>
      <c r="O27" s="8" t="n"/>
    </row>
    <row r="28">
      <c r="A28" s="5" t="n">
        <v>26</v>
      </c>
      <c r="B28" s="5" t="inlineStr">
        <is>
          <t>西南-贵州</t>
        </is>
      </c>
      <c r="C28" s="5" t="inlineStr">
        <is>
          <t>事业单位</t>
        </is>
      </c>
      <c r="D28" s="6" t="inlineStr">
        <is>
          <t>HT20250118</t>
        </is>
      </c>
      <c r="E28" s="6" t="inlineStr">
        <is>
          <t>20260816</t>
        </is>
      </c>
      <c r="F28" s="10" t="n">
        <v>359.746</v>
      </c>
      <c r="G28" s="8" t="n"/>
      <c r="H28" s="10" t="n">
        <v>298.822</v>
      </c>
      <c r="I28" s="10" t="n">
        <v>60.924</v>
      </c>
      <c r="J28" s="10" t="n">
        <v>22.389</v>
      </c>
      <c r="K28" s="10" t="n">
        <v>38.535</v>
      </c>
      <c r="L28" s="8" t="inlineStr">
        <is>
          <t>一部</t>
        </is>
      </c>
      <c r="M28" s="8" t="inlineStr">
        <is>
          <t>陈静</t>
        </is>
      </c>
      <c r="N28" s="8" t="inlineStr">
        <is>
          <t>2-3年</t>
        </is>
      </c>
      <c r="O28" s="8" t="inlineStr">
        <is>
          <t>服务不满意</t>
        </is>
      </c>
    </row>
    <row r="29">
      <c r="A29" s="5" t="n">
        <v>27</v>
      </c>
      <c r="B29" s="5" t="inlineStr">
        <is>
          <t>华东-江苏</t>
        </is>
      </c>
      <c r="C29" s="5" t="inlineStr">
        <is>
          <t>政府机关</t>
        </is>
      </c>
      <c r="D29" s="6" t="inlineStr">
        <is>
          <t>HT20250118</t>
        </is>
      </c>
      <c r="E29" s="6" t="inlineStr">
        <is>
          <t>20260816</t>
        </is>
      </c>
      <c r="F29" s="10" t="n">
        <v>479.256</v>
      </c>
      <c r="G29" s="8" t="n"/>
      <c r="H29" s="10" t="n">
        <v>23.932</v>
      </c>
      <c r="I29" s="10" t="n">
        <v>455.324</v>
      </c>
      <c r="J29" s="10" t="n">
        <v>83.63800000000001</v>
      </c>
      <c r="K29" s="10" t="n">
        <v>371.686</v>
      </c>
      <c r="L29" s="8" t="inlineStr">
        <is>
          <t>四部</t>
        </is>
      </c>
      <c r="M29" s="8" t="inlineStr">
        <is>
          <t>郭鹏</t>
        </is>
      </c>
      <c r="N29" s="8" t="inlineStr">
        <is>
          <t>1年以内</t>
        </is>
      </c>
      <c r="O29" s="8" t="n"/>
    </row>
    <row r="30">
      <c r="A30" s="5" t="n">
        <v>28</v>
      </c>
      <c r="B30" s="5" t="inlineStr">
        <is>
          <t>西北-宁夏</t>
        </is>
      </c>
      <c r="C30" s="5" t="inlineStr">
        <is>
          <t>政府机关</t>
        </is>
      </c>
      <c r="D30" s="6" t="inlineStr">
        <is>
          <t>HT20250118</t>
        </is>
      </c>
      <c r="E30" s="6" t="inlineStr">
        <is>
          <t>20260816</t>
        </is>
      </c>
      <c r="F30" s="10" t="n">
        <v>117.905</v>
      </c>
      <c r="G30" s="8" t="n"/>
      <c r="H30" s="10" t="n">
        <v>63.808</v>
      </c>
      <c r="I30" s="10" t="n">
        <v>54.097</v>
      </c>
      <c r="J30" s="10" t="n">
        <v>51.178</v>
      </c>
      <c r="K30" s="10" t="n">
        <v>2.919</v>
      </c>
      <c r="L30" s="8" t="inlineStr">
        <is>
          <t>十部</t>
        </is>
      </c>
      <c r="M30" s="8" t="inlineStr">
        <is>
          <t>侯敏</t>
        </is>
      </c>
      <c r="N30" s="8" t="inlineStr">
        <is>
          <t>1-2年</t>
        </is>
      </c>
      <c r="O30" s="8" t="inlineStr">
        <is>
          <t>服务不满意</t>
        </is>
      </c>
    </row>
    <row r="31">
      <c r="A31" s="5" t="n">
        <v>29</v>
      </c>
      <c r="B31" s="5" t="inlineStr">
        <is>
          <t>西北-陕西</t>
        </is>
      </c>
      <c r="C31" s="5" t="inlineStr">
        <is>
          <t>基层自治组织</t>
        </is>
      </c>
      <c r="D31" s="6" t="inlineStr">
        <is>
          <t>HT20250118</t>
        </is>
      </c>
      <c r="E31" s="6" t="inlineStr">
        <is>
          <t>20260816</t>
        </is>
      </c>
      <c r="F31" s="10" t="n">
        <v>859.362</v>
      </c>
      <c r="G31" s="8" t="n"/>
      <c r="H31" s="10" t="n">
        <v>722.794</v>
      </c>
      <c r="I31" s="10" t="n">
        <v>136.568</v>
      </c>
      <c r="J31" s="10" t="n">
        <v>74.68300000000001</v>
      </c>
      <c r="K31" s="10" t="n">
        <v>61.885</v>
      </c>
      <c r="L31" s="8" t="inlineStr">
        <is>
          <t>九部</t>
        </is>
      </c>
      <c r="M31" s="8" t="inlineStr">
        <is>
          <t>魏红</t>
        </is>
      </c>
      <c r="N31" s="8" t="inlineStr">
        <is>
          <t>1年以内</t>
        </is>
      </c>
      <c r="O31" s="8" t="n"/>
    </row>
    <row r="32">
      <c r="A32" s="5" t="n">
        <v>30</v>
      </c>
      <c r="B32" s="5" t="inlineStr">
        <is>
          <t>华南-广西</t>
        </is>
      </c>
      <c r="C32" s="5" t="inlineStr">
        <is>
          <t>事业单位</t>
        </is>
      </c>
      <c r="D32" s="6" t="inlineStr">
        <is>
          <t>HT20250121</t>
        </is>
      </c>
      <c r="E32" s="6" t="inlineStr">
        <is>
          <t>20250714</t>
        </is>
      </c>
      <c r="F32" s="10" t="n">
        <v>79.60599999999999</v>
      </c>
      <c r="G32" s="8" t="n"/>
      <c r="H32" s="10" t="n">
        <v>55.865</v>
      </c>
      <c r="I32" s="10" t="n">
        <v>23.741</v>
      </c>
      <c r="J32" s="10" t="n">
        <v>7.077</v>
      </c>
      <c r="K32" s="10" t="n">
        <v>16.664</v>
      </c>
      <c r="L32" s="8" t="inlineStr">
        <is>
          <t>六部</t>
        </is>
      </c>
      <c r="M32" s="8" t="inlineStr">
        <is>
          <t>唐亮</t>
        </is>
      </c>
      <c r="N32" s="8" t="inlineStr">
        <is>
          <t>1年以内</t>
        </is>
      </c>
      <c r="O32" s="8" t="inlineStr">
        <is>
          <t>公司负债</t>
        </is>
      </c>
    </row>
    <row r="33">
      <c r="A33" s="5" t="n">
        <v>31</v>
      </c>
      <c r="B33" s="5" t="inlineStr">
        <is>
          <t>华北-山西</t>
        </is>
      </c>
      <c r="C33" s="5" t="inlineStr">
        <is>
          <t>国有企业</t>
        </is>
      </c>
      <c r="D33" s="6" t="inlineStr">
        <is>
          <t>HT20250121</t>
        </is>
      </c>
      <c r="E33" s="6" t="inlineStr">
        <is>
          <t>20250714</t>
        </is>
      </c>
      <c r="F33" s="10" t="n">
        <v>86.512</v>
      </c>
      <c r="G33" s="8" t="n"/>
      <c r="H33" s="10" t="n">
        <v>42.784</v>
      </c>
      <c r="I33" s="10" t="n">
        <v>43.728</v>
      </c>
      <c r="J33" s="10" t="n">
        <v>10.294</v>
      </c>
      <c r="K33" s="10" t="n">
        <v>33.434</v>
      </c>
      <c r="L33" s="8" t="inlineStr">
        <is>
          <t>七部</t>
        </is>
      </c>
      <c r="M33" s="8" t="inlineStr">
        <is>
          <t>邓丽</t>
        </is>
      </c>
      <c r="N33" s="8" t="inlineStr">
        <is>
          <t>1-2年</t>
        </is>
      </c>
      <c r="O33" s="8" t="n"/>
    </row>
    <row r="34">
      <c r="A34" s="5" t="n">
        <v>32</v>
      </c>
      <c r="B34" s="5" t="inlineStr">
        <is>
          <t>华东-福建</t>
        </is>
      </c>
      <c r="C34" s="5" t="inlineStr">
        <is>
          <t>政府机关</t>
        </is>
      </c>
      <c r="D34" s="6" t="inlineStr">
        <is>
          <t>HT20250122</t>
        </is>
      </c>
      <c r="E34" s="6" t="inlineStr">
        <is>
          <t>20260115</t>
        </is>
      </c>
      <c r="F34" s="10" t="n">
        <v>953.148</v>
      </c>
      <c r="G34" s="8" t="n"/>
      <c r="H34" s="10" t="n">
        <v>372.427</v>
      </c>
      <c r="I34" s="10" t="n">
        <v>580.721</v>
      </c>
      <c r="J34" s="10" t="n">
        <v>136.622</v>
      </c>
      <c r="K34" s="10" t="n">
        <v>444.099</v>
      </c>
      <c r="L34" s="8" t="inlineStr">
        <is>
          <t>九部</t>
        </is>
      </c>
      <c r="M34" s="8" t="inlineStr">
        <is>
          <t>丁磊</t>
        </is>
      </c>
      <c r="N34" s="8" t="inlineStr">
        <is>
          <t>1-2年</t>
        </is>
      </c>
      <c r="O34" s="8" t="n"/>
    </row>
    <row r="35">
      <c r="A35" s="5" t="n">
        <v>33</v>
      </c>
      <c r="B35" s="5" t="inlineStr">
        <is>
          <t>华北-山西</t>
        </is>
      </c>
      <c r="C35" s="5" t="inlineStr">
        <is>
          <t>群团组织</t>
        </is>
      </c>
      <c r="D35" s="6" t="inlineStr">
        <is>
          <t>HT20250122</t>
        </is>
      </c>
      <c r="E35" s="6" t="inlineStr">
        <is>
          <t>20260115</t>
        </is>
      </c>
      <c r="F35" s="10" t="n">
        <v>1784.052</v>
      </c>
      <c r="G35" s="8" t="n"/>
      <c r="H35" s="10" t="n">
        <v>619.564</v>
      </c>
      <c r="I35" s="10" t="n">
        <v>1164.488</v>
      </c>
      <c r="J35" s="10" t="n">
        <v>682.702</v>
      </c>
      <c r="K35" s="10" t="n">
        <v>481.786</v>
      </c>
      <c r="L35" s="8" t="inlineStr">
        <is>
          <t>四部</t>
        </is>
      </c>
      <c r="M35" s="8" t="inlineStr">
        <is>
          <t>何萍</t>
        </is>
      </c>
      <c r="N35" s="8" t="inlineStr">
        <is>
          <t>1年以内</t>
        </is>
      </c>
      <c r="O35" s="8" t="n"/>
    </row>
    <row r="36">
      <c r="A36" s="5" t="n">
        <v>34</v>
      </c>
      <c r="B36" s="5" t="inlineStr">
        <is>
          <t>西北-新疆</t>
        </is>
      </c>
      <c r="C36" s="5" t="inlineStr">
        <is>
          <t>事业单位</t>
        </is>
      </c>
      <c r="D36" s="6" t="inlineStr">
        <is>
          <t>HT20250123</t>
        </is>
      </c>
      <c r="E36" s="6" t="inlineStr">
        <is>
          <t>20251111</t>
        </is>
      </c>
      <c r="F36" s="10" t="n">
        <v>580.394</v>
      </c>
      <c r="G36" s="8" t="n"/>
      <c r="H36" s="10" t="n">
        <v>415.797</v>
      </c>
      <c r="I36" s="10" t="n">
        <v>164.597</v>
      </c>
      <c r="J36" s="10" t="n">
        <v>37.526</v>
      </c>
      <c r="K36" s="10" t="n">
        <v>127.071</v>
      </c>
      <c r="L36" s="8" t="inlineStr">
        <is>
          <t>九部</t>
        </is>
      </c>
      <c r="M36" s="8" t="inlineStr">
        <is>
          <t>贾静</t>
        </is>
      </c>
      <c r="N36" s="8" t="inlineStr">
        <is>
          <t>1年以内</t>
        </is>
      </c>
      <c r="O36" s="8" t="inlineStr">
        <is>
          <t>需求不满足</t>
        </is>
      </c>
    </row>
    <row r="37">
      <c r="A37" s="5" t="n">
        <v>35</v>
      </c>
      <c r="B37" s="5" t="inlineStr">
        <is>
          <t>东北-吉林</t>
        </is>
      </c>
      <c r="C37" s="5" t="inlineStr">
        <is>
          <t>党委机关</t>
        </is>
      </c>
      <c r="D37" s="6" t="inlineStr">
        <is>
          <t>HT20250124</t>
        </is>
      </c>
      <c r="E37" s="6" t="inlineStr">
        <is>
          <t>20260707</t>
        </is>
      </c>
      <c r="F37" s="10" t="n">
        <v>38.385</v>
      </c>
      <c r="G37" s="8" t="n"/>
      <c r="H37" s="10" t="n">
        <v>20.104</v>
      </c>
      <c r="I37" s="10" t="n">
        <v>18.281</v>
      </c>
      <c r="J37" s="10" t="n">
        <v>0.161</v>
      </c>
      <c r="K37" s="10" t="n">
        <v>18.12</v>
      </c>
      <c r="L37" s="8" t="inlineStr">
        <is>
          <t>四部</t>
        </is>
      </c>
      <c r="M37" s="8" t="inlineStr">
        <is>
          <t>高翔</t>
        </is>
      </c>
      <c r="N37" s="8" t="inlineStr">
        <is>
          <t>2-3年</t>
        </is>
      </c>
      <c r="O37" s="8" t="n"/>
    </row>
    <row r="38">
      <c r="A38" s="5" t="n">
        <v>36</v>
      </c>
      <c r="B38" s="5" t="inlineStr">
        <is>
          <t>华南-香港</t>
        </is>
      </c>
      <c r="C38" s="5" t="inlineStr">
        <is>
          <t>国有企业</t>
        </is>
      </c>
      <c r="D38" s="6" t="inlineStr">
        <is>
          <t>HT20250124</t>
        </is>
      </c>
      <c r="E38" s="6" t="inlineStr">
        <is>
          <t>20260707</t>
        </is>
      </c>
      <c r="F38" s="10" t="n">
        <v>197.708</v>
      </c>
      <c r="G38" s="8" t="n"/>
      <c r="H38" s="10" t="n">
        <v>16.007</v>
      </c>
      <c r="I38" s="10" t="n">
        <v>181.701</v>
      </c>
      <c r="J38" s="10" t="n">
        <v>56.327</v>
      </c>
      <c r="K38" s="10" t="n">
        <v>125.374</v>
      </c>
      <c r="L38" s="8" t="inlineStr">
        <is>
          <t>五部</t>
        </is>
      </c>
      <c r="M38" s="8" t="inlineStr">
        <is>
          <t>梁雪</t>
        </is>
      </c>
      <c r="N38" s="8" t="inlineStr">
        <is>
          <t>2-3年</t>
        </is>
      </c>
      <c r="O38" s="8" t="n"/>
    </row>
    <row r="39">
      <c r="A39" s="5" t="n">
        <v>37</v>
      </c>
      <c r="B39" s="5" t="inlineStr">
        <is>
          <t>西南-重庆</t>
        </is>
      </c>
      <c r="C39" s="5" t="inlineStr">
        <is>
          <t>事业单位</t>
        </is>
      </c>
      <c r="D39" s="6" t="inlineStr">
        <is>
          <t>HT20250124</t>
        </is>
      </c>
      <c r="E39" s="6" t="inlineStr">
        <is>
          <t>20260707</t>
        </is>
      </c>
      <c r="F39" s="10" t="n">
        <v>999.866</v>
      </c>
      <c r="G39" s="8" t="n"/>
      <c r="H39" s="10" t="n">
        <v>478.808</v>
      </c>
      <c r="I39" s="10" t="n">
        <v>521.058</v>
      </c>
      <c r="J39" s="10" t="n">
        <v>471.12</v>
      </c>
      <c r="K39" s="10" t="n">
        <v>49.938</v>
      </c>
      <c r="L39" s="8" t="inlineStr">
        <is>
          <t>四部</t>
        </is>
      </c>
      <c r="M39" s="8" t="inlineStr">
        <is>
          <t>高翔</t>
        </is>
      </c>
      <c r="N39" s="8" t="inlineStr">
        <is>
          <t>2-3年</t>
        </is>
      </c>
      <c r="O39" s="8" t="inlineStr">
        <is>
          <t>需求不满足</t>
        </is>
      </c>
    </row>
    <row r="40">
      <c r="A40" s="5" t="n">
        <v>38</v>
      </c>
      <c r="B40" s="5" t="inlineStr">
        <is>
          <t>东北-黑龙江</t>
        </is>
      </c>
      <c r="C40" s="5" t="inlineStr">
        <is>
          <t>党委机关</t>
        </is>
      </c>
      <c r="D40" s="6" t="inlineStr">
        <is>
          <t>HT20250125</t>
        </is>
      </c>
      <c r="E40" s="6" t="inlineStr">
        <is>
          <t>20260710</t>
        </is>
      </c>
      <c r="F40" s="10" t="n">
        <v>293.452</v>
      </c>
      <c r="G40" s="8" t="n"/>
      <c r="H40" s="10" t="n">
        <v>36.831</v>
      </c>
      <c r="I40" s="10" t="n">
        <v>256.621</v>
      </c>
      <c r="J40" s="10" t="n">
        <v>137.646</v>
      </c>
      <c r="K40" s="10" t="n">
        <v>118.975</v>
      </c>
      <c r="L40" s="8" t="inlineStr">
        <is>
          <t>七部</t>
        </is>
      </c>
      <c r="M40" s="8" t="inlineStr">
        <is>
          <t>傅蓉</t>
        </is>
      </c>
      <c r="N40" s="8" t="inlineStr">
        <is>
          <t>1-2年</t>
        </is>
      </c>
      <c r="O40" s="8" t="n"/>
    </row>
    <row r="41">
      <c r="A41" s="5" t="n">
        <v>39</v>
      </c>
      <c r="B41" s="5" t="inlineStr">
        <is>
          <t>华南-广西</t>
        </is>
      </c>
      <c r="C41" s="5" t="inlineStr">
        <is>
          <t>事业单位</t>
        </is>
      </c>
      <c r="D41" s="6" t="inlineStr">
        <is>
          <t>HT20250125</t>
        </is>
      </c>
      <c r="E41" s="6" t="inlineStr">
        <is>
          <t>20260710</t>
        </is>
      </c>
      <c r="F41" s="10" t="n">
        <v>11.701</v>
      </c>
      <c r="G41" s="8" t="n"/>
      <c r="H41" s="10" t="n">
        <v>11.592</v>
      </c>
      <c r="I41" s="10" t="n">
        <v>0.109</v>
      </c>
      <c r="J41" s="10" t="n">
        <v>0.013</v>
      </c>
      <c r="K41" s="10" t="n">
        <v>0.096</v>
      </c>
      <c r="L41" s="8" t="inlineStr">
        <is>
          <t>五部</t>
        </is>
      </c>
      <c r="M41" s="8" t="inlineStr">
        <is>
          <t>郑浩</t>
        </is>
      </c>
      <c r="N41" s="8" t="inlineStr">
        <is>
          <t>1-2年</t>
        </is>
      </c>
      <c r="O41" s="8" t="inlineStr">
        <is>
          <t>服务不满意</t>
        </is>
      </c>
    </row>
    <row r="42">
      <c r="A42" s="5" t="n">
        <v>40</v>
      </c>
      <c r="B42" s="5" t="inlineStr">
        <is>
          <t>华东-浙江</t>
        </is>
      </c>
      <c r="C42" s="5" t="inlineStr">
        <is>
          <t>事业单位</t>
        </is>
      </c>
      <c r="D42" s="6" t="inlineStr">
        <is>
          <t>HT20250125</t>
        </is>
      </c>
      <c r="E42" s="6" t="inlineStr">
        <is>
          <t>20260710</t>
        </is>
      </c>
      <c r="F42" s="10" t="n">
        <v>413.478</v>
      </c>
      <c r="G42" s="8" t="n"/>
      <c r="H42" s="10" t="n">
        <v>121.719</v>
      </c>
      <c r="I42" s="10" t="n">
        <v>291.759</v>
      </c>
      <c r="J42" s="10" t="n">
        <v>230.106</v>
      </c>
      <c r="K42" s="10" t="n">
        <v>61.653</v>
      </c>
      <c r="L42" s="8" t="inlineStr">
        <is>
          <t>九部</t>
        </is>
      </c>
      <c r="M42" s="8" t="inlineStr">
        <is>
          <t>蒋涛</t>
        </is>
      </c>
      <c r="N42" s="8" t="inlineStr">
        <is>
          <t>2-3年</t>
        </is>
      </c>
      <c r="O42" s="8" t="n"/>
    </row>
    <row r="43">
      <c r="A43" s="5" t="n">
        <v>41</v>
      </c>
      <c r="B43" s="5" t="inlineStr">
        <is>
          <t>东北-辽宁</t>
        </is>
      </c>
      <c r="C43" s="5" t="inlineStr">
        <is>
          <t>国有企业</t>
        </is>
      </c>
      <c r="D43" s="6" t="inlineStr">
        <is>
          <t>HT20250125</t>
        </is>
      </c>
      <c r="E43" s="6" t="inlineStr">
        <is>
          <t>20260710</t>
        </is>
      </c>
      <c r="F43" s="10" t="n">
        <v>624.6849999999999</v>
      </c>
      <c r="G43" s="8" t="n"/>
      <c r="H43" s="10" t="n">
        <v>600.357</v>
      </c>
      <c r="I43" s="10" t="n">
        <v>24.328</v>
      </c>
      <c r="J43" s="10" t="n">
        <v>7.911</v>
      </c>
      <c r="K43" s="10" t="n">
        <v>16.417</v>
      </c>
      <c r="L43" s="8" t="inlineStr">
        <is>
          <t>八部</t>
        </is>
      </c>
      <c r="M43" s="8" t="inlineStr">
        <is>
          <t>曾辉</t>
        </is>
      </c>
      <c r="N43" s="8" t="inlineStr">
        <is>
          <t>1年以内</t>
        </is>
      </c>
      <c r="O43" s="8" t="n"/>
    </row>
    <row r="44">
      <c r="A44" s="5" t="n">
        <v>42</v>
      </c>
      <c r="B44" s="5" t="inlineStr">
        <is>
          <t>华中-湖南</t>
        </is>
      </c>
      <c r="C44" s="5" t="inlineStr">
        <is>
          <t>群团组织</t>
        </is>
      </c>
      <c r="D44" s="6" t="inlineStr">
        <is>
          <t>HT20250125</t>
        </is>
      </c>
      <c r="E44" s="6" t="inlineStr">
        <is>
          <t>20260710</t>
        </is>
      </c>
      <c r="F44" s="10" t="n">
        <v>815.861</v>
      </c>
      <c r="G44" s="8" t="n"/>
      <c r="H44" s="10" t="n">
        <v>74.71899999999999</v>
      </c>
      <c r="I44" s="10" t="n">
        <v>741.1420000000001</v>
      </c>
      <c r="J44" s="10" t="n">
        <v>551.16</v>
      </c>
      <c r="K44" s="10" t="n">
        <v>189.982</v>
      </c>
      <c r="L44" s="8" t="inlineStr">
        <is>
          <t>九部</t>
        </is>
      </c>
      <c r="M44" s="8" t="inlineStr">
        <is>
          <t>丁磊</t>
        </is>
      </c>
      <c r="N44" s="8" t="inlineStr">
        <is>
          <t>1-2年</t>
        </is>
      </c>
      <c r="O44" s="8" t="inlineStr">
        <is>
          <t>服务不满意</t>
        </is>
      </c>
    </row>
    <row r="45">
      <c r="A45" s="5" t="n">
        <v>43</v>
      </c>
      <c r="B45" s="5" t="inlineStr">
        <is>
          <t>华东-浙江</t>
        </is>
      </c>
      <c r="C45" s="5" t="inlineStr">
        <is>
          <t>监察司法机关</t>
        </is>
      </c>
      <c r="D45" s="6" t="inlineStr">
        <is>
          <t>HT20250126</t>
        </is>
      </c>
      <c r="E45" s="6" t="inlineStr">
        <is>
          <t>20260206</t>
        </is>
      </c>
      <c r="F45" s="10" t="n">
        <v>991.217</v>
      </c>
      <c r="G45" s="8" t="n"/>
      <c r="H45" s="10" t="n">
        <v>356.103</v>
      </c>
      <c r="I45" s="10" t="n">
        <v>635.114</v>
      </c>
      <c r="J45" s="10" t="n">
        <v>396.211</v>
      </c>
      <c r="K45" s="10" t="n">
        <v>238.903</v>
      </c>
      <c r="L45" s="8" t="inlineStr">
        <is>
          <t>六部</t>
        </is>
      </c>
      <c r="M45" s="8" t="inlineStr">
        <is>
          <t>唐亮</t>
        </is>
      </c>
      <c r="N45" s="8" t="inlineStr">
        <is>
          <t>2-3年</t>
        </is>
      </c>
      <c r="O45" s="8" t="n"/>
    </row>
    <row r="46">
      <c r="A46" s="5" t="n">
        <v>44</v>
      </c>
      <c r="B46" s="5" t="inlineStr">
        <is>
          <t>西南-重庆</t>
        </is>
      </c>
      <c r="C46" s="5" t="inlineStr">
        <is>
          <t>基层自治组织</t>
        </is>
      </c>
      <c r="D46" s="6" t="inlineStr">
        <is>
          <t>HT20250126</t>
        </is>
      </c>
      <c r="E46" s="6" t="inlineStr">
        <is>
          <t>20260206</t>
        </is>
      </c>
      <c r="F46" s="10" t="n">
        <v>304.137</v>
      </c>
      <c r="G46" s="8" t="n"/>
      <c r="H46" s="10" t="n">
        <v>134.78</v>
      </c>
      <c r="I46" s="10" t="n">
        <v>169.357</v>
      </c>
      <c r="J46" s="10" t="n">
        <v>164.301</v>
      </c>
      <c r="K46" s="10" t="n">
        <v>5.056</v>
      </c>
      <c r="L46" s="8" t="inlineStr">
        <is>
          <t>二部</t>
        </is>
      </c>
      <c r="M46" s="8" t="inlineStr">
        <is>
          <t>黄强</t>
        </is>
      </c>
      <c r="N46" s="8" t="inlineStr">
        <is>
          <t>1-2年</t>
        </is>
      </c>
      <c r="O46" s="8" t="n"/>
    </row>
    <row r="47">
      <c r="A47" s="5" t="n">
        <v>45</v>
      </c>
      <c r="B47" s="5" t="inlineStr">
        <is>
          <t>西南-云南</t>
        </is>
      </c>
      <c r="C47" s="5" t="inlineStr">
        <is>
          <t>国有企业</t>
        </is>
      </c>
      <c r="D47" s="6" t="inlineStr">
        <is>
          <t>HT20250126</t>
        </is>
      </c>
      <c r="E47" s="6" t="inlineStr">
        <is>
          <t>20260206</t>
        </is>
      </c>
      <c r="F47" s="10" t="n">
        <v>453.132</v>
      </c>
      <c r="G47" s="8" t="n"/>
      <c r="H47" s="10" t="n">
        <v>201.492</v>
      </c>
      <c r="I47" s="10" t="n">
        <v>251.64</v>
      </c>
      <c r="J47" s="10" t="n">
        <v>115.879</v>
      </c>
      <c r="K47" s="10" t="n">
        <v>135.761</v>
      </c>
      <c r="L47" s="8" t="inlineStr">
        <is>
          <t>四部</t>
        </is>
      </c>
      <c r="M47" s="8" t="inlineStr">
        <is>
          <t>何萍</t>
        </is>
      </c>
      <c r="N47" s="8" t="inlineStr">
        <is>
          <t>1年以内</t>
        </is>
      </c>
      <c r="O47" s="8" t="inlineStr">
        <is>
          <t>需求不满足</t>
        </is>
      </c>
    </row>
    <row r="48">
      <c r="A48" s="5" t="n">
        <v>46</v>
      </c>
      <c r="B48" s="5" t="inlineStr">
        <is>
          <t>西南-重庆</t>
        </is>
      </c>
      <c r="C48" s="5" t="inlineStr">
        <is>
          <t>群团组织</t>
        </is>
      </c>
      <c r="D48" s="6" t="inlineStr">
        <is>
          <t>HT20250127</t>
        </is>
      </c>
      <c r="E48" s="6" t="inlineStr">
        <is>
          <t>20260321</t>
        </is>
      </c>
      <c r="F48" s="10" t="n">
        <v>370.71</v>
      </c>
      <c r="G48" s="8" t="n"/>
      <c r="H48" s="10" t="n">
        <v>271.192</v>
      </c>
      <c r="I48" s="10" t="n">
        <v>99.518</v>
      </c>
      <c r="J48" s="10" t="n">
        <v>65.2</v>
      </c>
      <c r="K48" s="10" t="n">
        <v>34.318</v>
      </c>
      <c r="L48" s="8" t="inlineStr">
        <is>
          <t>七部</t>
        </is>
      </c>
      <c r="M48" s="8" t="inlineStr">
        <is>
          <t>邓丽</t>
        </is>
      </c>
      <c r="N48" s="8" t="inlineStr">
        <is>
          <t>1-2年</t>
        </is>
      </c>
      <c r="O48" s="8" t="n"/>
    </row>
    <row r="49">
      <c r="A49" s="5" t="n">
        <v>47</v>
      </c>
      <c r="B49" s="5" t="inlineStr">
        <is>
          <t>华北-内蒙古</t>
        </is>
      </c>
      <c r="C49" s="5" t="inlineStr">
        <is>
          <t>人大政协</t>
        </is>
      </c>
      <c r="D49" s="6" t="inlineStr">
        <is>
          <t>HT20250128</t>
        </is>
      </c>
      <c r="E49" s="6" t="inlineStr">
        <is>
          <t>20260125</t>
        </is>
      </c>
      <c r="F49" s="10" t="n">
        <v>267.317</v>
      </c>
      <c r="G49" s="8" t="n"/>
      <c r="H49" s="10" t="n">
        <v>37.055</v>
      </c>
      <c r="I49" s="10" t="n">
        <v>230.262</v>
      </c>
      <c r="J49" s="10" t="n">
        <v>103.92</v>
      </c>
      <c r="K49" s="10" t="n">
        <v>126.342</v>
      </c>
      <c r="L49" s="8" t="inlineStr">
        <is>
          <t>四部</t>
        </is>
      </c>
      <c r="M49" s="8" t="inlineStr">
        <is>
          <t>罗刚</t>
        </is>
      </c>
      <c r="N49" s="8" t="inlineStr">
        <is>
          <t>2-3年</t>
        </is>
      </c>
      <c r="O49" s="8" t="n"/>
    </row>
    <row r="50">
      <c r="A50" s="5" t="n">
        <v>48</v>
      </c>
      <c r="B50" s="5" t="inlineStr">
        <is>
          <t>华东-台湾</t>
        </is>
      </c>
      <c r="C50" s="5" t="inlineStr">
        <is>
          <t>事业单位</t>
        </is>
      </c>
      <c r="D50" s="6" t="inlineStr">
        <is>
          <t>HT20250128</t>
        </is>
      </c>
      <c r="E50" s="6" t="inlineStr">
        <is>
          <t>20260125</t>
        </is>
      </c>
      <c r="F50" s="10" t="n">
        <v>171.277</v>
      </c>
      <c r="G50" s="8" t="n"/>
      <c r="H50" s="10" t="n">
        <v>75.29000000000001</v>
      </c>
      <c r="I50" s="10" t="n">
        <v>95.98699999999999</v>
      </c>
      <c r="J50" s="10" t="n">
        <v>45.047</v>
      </c>
      <c r="K50" s="10" t="n">
        <v>50.94</v>
      </c>
      <c r="L50" s="8" t="inlineStr">
        <is>
          <t>三部</t>
        </is>
      </c>
      <c r="M50" s="8" t="inlineStr">
        <is>
          <t>马超</t>
        </is>
      </c>
      <c r="N50" s="8" t="inlineStr">
        <is>
          <t>2-3年</t>
        </is>
      </c>
      <c r="O50" s="8" t="n"/>
    </row>
    <row r="51">
      <c r="A51" s="5" t="n">
        <v>49</v>
      </c>
      <c r="B51" s="5" t="inlineStr">
        <is>
          <t>华北-北京</t>
        </is>
      </c>
      <c r="C51" s="5" t="inlineStr">
        <is>
          <t>人大政协</t>
        </is>
      </c>
      <c r="D51" s="6" t="inlineStr">
        <is>
          <t>HT20250129</t>
        </is>
      </c>
      <c r="E51" s="6" t="inlineStr">
        <is>
          <t>20260325</t>
        </is>
      </c>
      <c r="F51" s="10" t="n">
        <v>632.419</v>
      </c>
      <c r="G51" s="8" t="n"/>
      <c r="H51" s="10" t="n">
        <v>23.551</v>
      </c>
      <c r="I51" s="10" t="n">
        <v>608.8680000000001</v>
      </c>
      <c r="J51" s="10" t="n">
        <v>535.3579999999999</v>
      </c>
      <c r="K51" s="10" t="n">
        <v>73.51000000000001</v>
      </c>
      <c r="L51" s="8" t="inlineStr">
        <is>
          <t>一部</t>
        </is>
      </c>
      <c r="M51" s="8" t="inlineStr">
        <is>
          <t>李娜</t>
        </is>
      </c>
      <c r="N51" s="8" t="inlineStr">
        <is>
          <t>2-3年</t>
        </is>
      </c>
      <c r="O51" s="8" t="n"/>
    </row>
    <row r="52">
      <c r="A52" s="5" t="n">
        <v>50</v>
      </c>
      <c r="B52" s="5" t="inlineStr">
        <is>
          <t>华南-澳门</t>
        </is>
      </c>
      <c r="C52" s="5" t="inlineStr">
        <is>
          <t>监察司法机关</t>
        </is>
      </c>
      <c r="D52" s="6" t="inlineStr">
        <is>
          <t>HT20250129</t>
        </is>
      </c>
      <c r="E52" s="6" t="inlineStr">
        <is>
          <t>20260325</t>
        </is>
      </c>
      <c r="F52" s="10" t="n">
        <v>6053.396</v>
      </c>
      <c r="G52" s="8" t="n"/>
      <c r="H52" s="10" t="n">
        <v>4995.55</v>
      </c>
      <c r="I52" s="10" t="n">
        <v>1057.846</v>
      </c>
      <c r="J52" s="10" t="n">
        <v>887.912</v>
      </c>
      <c r="K52" s="10" t="n">
        <v>169.934</v>
      </c>
      <c r="L52" s="8" t="inlineStr">
        <is>
          <t>七部</t>
        </is>
      </c>
      <c r="M52" s="8" t="inlineStr">
        <is>
          <t>袁博</t>
        </is>
      </c>
      <c r="N52" s="8" t="inlineStr">
        <is>
          <t>1年以内</t>
        </is>
      </c>
      <c r="O52" s="8" t="inlineStr">
        <is>
          <t>服务不满意</t>
        </is>
      </c>
    </row>
    <row r="53">
      <c r="A53" s="5" t="n">
        <v>51</v>
      </c>
      <c r="B53" s="5" t="inlineStr">
        <is>
          <t>西北-新疆</t>
        </is>
      </c>
      <c r="C53" s="5" t="inlineStr">
        <is>
          <t>监察司法机关</t>
        </is>
      </c>
      <c r="D53" s="6" t="inlineStr">
        <is>
          <t>HT20250130</t>
        </is>
      </c>
      <c r="E53" s="6" t="inlineStr">
        <is>
          <t>20260715</t>
        </is>
      </c>
      <c r="F53" s="10" t="n">
        <v>953.814</v>
      </c>
      <c r="G53" s="8" t="n"/>
      <c r="H53" s="10" t="n">
        <v>812.797</v>
      </c>
      <c r="I53" s="10" t="n">
        <v>141.017</v>
      </c>
      <c r="J53" s="10" t="n">
        <v>91.93600000000001</v>
      </c>
      <c r="K53" s="10" t="n">
        <v>49.081</v>
      </c>
      <c r="L53" s="8" t="inlineStr">
        <is>
          <t>四部</t>
        </is>
      </c>
      <c r="M53" s="8" t="inlineStr">
        <is>
          <t>高翔</t>
        </is>
      </c>
      <c r="N53" s="8" t="inlineStr">
        <is>
          <t>2-3年</t>
        </is>
      </c>
      <c r="O53" s="8" t="n"/>
    </row>
    <row r="54">
      <c r="A54" s="5" t="n">
        <v>52</v>
      </c>
      <c r="B54" s="5" t="inlineStr">
        <is>
          <t>西北-青海</t>
        </is>
      </c>
      <c r="C54" s="5" t="inlineStr">
        <is>
          <t>人大政协</t>
        </is>
      </c>
      <c r="D54" s="6" t="inlineStr">
        <is>
          <t>HT20250131</t>
        </is>
      </c>
      <c r="E54" s="6" t="inlineStr">
        <is>
          <t>20260626</t>
        </is>
      </c>
      <c r="F54" s="10" t="n">
        <v>927.818</v>
      </c>
      <c r="G54" s="8" t="n"/>
      <c r="H54" s="10" t="n">
        <v>697.402</v>
      </c>
      <c r="I54" s="10" t="n">
        <v>230.416</v>
      </c>
      <c r="J54" s="10" t="n">
        <v>128.674</v>
      </c>
      <c r="K54" s="10" t="n">
        <v>101.742</v>
      </c>
      <c r="L54" s="8" t="inlineStr">
        <is>
          <t>四部</t>
        </is>
      </c>
      <c r="M54" s="8" t="inlineStr">
        <is>
          <t>高翔</t>
        </is>
      </c>
      <c r="N54" s="8" t="inlineStr">
        <is>
          <t>1年以内</t>
        </is>
      </c>
      <c r="O54" s="8" t="n"/>
    </row>
    <row r="55">
      <c r="A55" s="5" t="n">
        <v>53</v>
      </c>
      <c r="B55" s="5" t="inlineStr">
        <is>
          <t>西北-甘肃</t>
        </is>
      </c>
      <c r="C55" s="5" t="inlineStr">
        <is>
          <t>事业单位</t>
        </is>
      </c>
      <c r="D55" s="6" t="inlineStr">
        <is>
          <t>HT20250202</t>
        </is>
      </c>
      <c r="E55" s="6" t="inlineStr">
        <is>
          <t>20260612</t>
        </is>
      </c>
      <c r="F55" s="10" t="n">
        <v>380.542</v>
      </c>
      <c r="G55" s="8" t="n"/>
      <c r="H55" s="10" t="n">
        <v>292.047</v>
      </c>
      <c r="I55" s="10" t="n">
        <v>88.495</v>
      </c>
      <c r="J55" s="10" t="n">
        <v>16.492</v>
      </c>
      <c r="K55" s="10" t="n">
        <v>72.003</v>
      </c>
      <c r="L55" s="8" t="inlineStr">
        <is>
          <t>三部</t>
        </is>
      </c>
      <c r="M55" s="8" t="inlineStr">
        <is>
          <t>朱军</t>
        </is>
      </c>
      <c r="N55" s="8" t="inlineStr">
        <is>
          <t>1年以内</t>
        </is>
      </c>
      <c r="O55" s="8" t="n"/>
    </row>
    <row r="56">
      <c r="A56" s="5" t="n">
        <v>54</v>
      </c>
      <c r="B56" s="5" t="inlineStr">
        <is>
          <t>华北-内蒙古</t>
        </is>
      </c>
      <c r="C56" s="5" t="inlineStr">
        <is>
          <t>国有企业</t>
        </is>
      </c>
      <c r="D56" s="6" t="inlineStr">
        <is>
          <t>HT20250202</t>
        </is>
      </c>
      <c r="E56" s="6" t="inlineStr">
        <is>
          <t>20260612</t>
        </is>
      </c>
      <c r="F56" s="10" t="n">
        <v>221.242</v>
      </c>
      <c r="G56" s="8" t="n"/>
      <c r="H56" s="10" t="n">
        <v>5.679</v>
      </c>
      <c r="I56" s="10" t="n">
        <v>215.563</v>
      </c>
      <c r="J56" s="10" t="n">
        <v>49.767</v>
      </c>
      <c r="K56" s="10" t="n">
        <v>165.796</v>
      </c>
      <c r="L56" s="8" t="inlineStr">
        <is>
          <t>四部</t>
        </is>
      </c>
      <c r="M56" s="8" t="inlineStr">
        <is>
          <t>郭鹏</t>
        </is>
      </c>
      <c r="N56" s="8" t="inlineStr">
        <is>
          <t>2-3年</t>
        </is>
      </c>
      <c r="O56" s="8" t="inlineStr">
        <is>
          <t>公司负债</t>
        </is>
      </c>
    </row>
    <row r="57">
      <c r="A57" s="5" t="n">
        <v>55</v>
      </c>
      <c r="B57" s="5" t="inlineStr">
        <is>
          <t>西南-四川</t>
        </is>
      </c>
      <c r="C57" s="5" t="inlineStr">
        <is>
          <t>国有企业</t>
        </is>
      </c>
      <c r="D57" s="6" t="inlineStr">
        <is>
          <t>HT20250204</t>
        </is>
      </c>
      <c r="E57" s="6" t="inlineStr">
        <is>
          <t>20260214</t>
        </is>
      </c>
      <c r="F57" s="10" t="n">
        <v>3944.458</v>
      </c>
      <c r="G57" s="8" t="n"/>
      <c r="H57" s="10" t="n">
        <v>2850.041</v>
      </c>
      <c r="I57" s="10" t="n">
        <v>1094.417</v>
      </c>
      <c r="J57" s="10" t="n">
        <v>645.569</v>
      </c>
      <c r="K57" s="10" t="n">
        <v>448.848</v>
      </c>
      <c r="L57" s="8" t="inlineStr">
        <is>
          <t>十部</t>
        </is>
      </c>
      <c r="M57" s="8" t="inlineStr">
        <is>
          <t>雷声</t>
        </is>
      </c>
      <c r="N57" s="8" t="inlineStr">
        <is>
          <t>1年以内</t>
        </is>
      </c>
      <c r="O57" s="8" t="n"/>
    </row>
    <row r="58">
      <c r="A58" s="5" t="n">
        <v>56</v>
      </c>
      <c r="B58" s="5" t="inlineStr">
        <is>
          <t>华南-澳门</t>
        </is>
      </c>
      <c r="C58" s="5" t="inlineStr">
        <is>
          <t>基层自治组织</t>
        </is>
      </c>
      <c r="D58" s="6" t="inlineStr">
        <is>
          <t>HT20250205</t>
        </is>
      </c>
      <c r="E58" s="6" t="inlineStr">
        <is>
          <t>20260519</t>
        </is>
      </c>
      <c r="F58" s="10" t="n">
        <v>37.421</v>
      </c>
      <c r="G58" s="8" t="n"/>
      <c r="H58" s="10" t="n">
        <v>31.242</v>
      </c>
      <c r="I58" s="10" t="n">
        <v>6.179</v>
      </c>
      <c r="J58" s="10" t="n">
        <v>0.521</v>
      </c>
      <c r="K58" s="10" t="n">
        <v>5.658</v>
      </c>
      <c r="L58" s="8" t="inlineStr">
        <is>
          <t>二部</t>
        </is>
      </c>
      <c r="M58" s="8" t="inlineStr">
        <is>
          <t>杨磊</t>
        </is>
      </c>
      <c r="N58" s="8" t="inlineStr">
        <is>
          <t>2-3年</t>
        </is>
      </c>
      <c r="O58" s="8" t="n"/>
    </row>
    <row r="59">
      <c r="A59" s="5" t="n">
        <v>57</v>
      </c>
      <c r="B59" s="5" t="inlineStr">
        <is>
          <t>东北-黑龙江</t>
        </is>
      </c>
      <c r="C59" s="5" t="inlineStr">
        <is>
          <t>监察司法机关</t>
        </is>
      </c>
      <c r="D59" s="6" t="inlineStr">
        <is>
          <t>HT20250205</t>
        </is>
      </c>
      <c r="E59" s="6" t="inlineStr">
        <is>
          <t>20260519</t>
        </is>
      </c>
      <c r="F59" s="10" t="n">
        <v>491.89</v>
      </c>
      <c r="G59" s="8" t="n"/>
      <c r="H59" s="10" t="n">
        <v>397.679</v>
      </c>
      <c r="I59" s="10" t="n">
        <v>94.211</v>
      </c>
      <c r="J59" s="10" t="n">
        <v>70.20399999999999</v>
      </c>
      <c r="K59" s="10" t="n">
        <v>24.007</v>
      </c>
      <c r="L59" s="8" t="inlineStr">
        <is>
          <t>六部</t>
        </is>
      </c>
      <c r="M59" s="8" t="inlineStr">
        <is>
          <t>唐亮</t>
        </is>
      </c>
      <c r="N59" s="8" t="inlineStr">
        <is>
          <t>2-3年</t>
        </is>
      </c>
      <c r="O59" s="8" t="n"/>
    </row>
    <row r="60">
      <c r="A60" s="5" t="n">
        <v>58</v>
      </c>
      <c r="B60" s="5" t="inlineStr">
        <is>
          <t>西北-宁夏</t>
        </is>
      </c>
      <c r="C60" s="5" t="inlineStr">
        <is>
          <t>基层自治组织</t>
        </is>
      </c>
      <c r="D60" s="6" t="inlineStr">
        <is>
          <t>HT20250205</t>
        </is>
      </c>
      <c r="E60" s="6" t="inlineStr">
        <is>
          <t>20260519</t>
        </is>
      </c>
      <c r="F60" s="10" t="n">
        <v>441.42</v>
      </c>
      <c r="G60" s="8" t="n"/>
      <c r="H60" s="10" t="n">
        <v>101.826</v>
      </c>
      <c r="I60" s="10" t="n">
        <v>339.594</v>
      </c>
      <c r="J60" s="10" t="n">
        <v>21.778</v>
      </c>
      <c r="K60" s="10" t="n">
        <v>317.816</v>
      </c>
      <c r="L60" s="8" t="inlineStr">
        <is>
          <t>一部</t>
        </is>
      </c>
      <c r="M60" s="8" t="inlineStr">
        <is>
          <t>王芳</t>
        </is>
      </c>
      <c r="N60" s="8" t="inlineStr">
        <is>
          <t>1年以内</t>
        </is>
      </c>
      <c r="O60" s="8" t="inlineStr">
        <is>
          <t>需求不满足</t>
        </is>
      </c>
    </row>
    <row r="61">
      <c r="A61" s="5" t="n">
        <v>59</v>
      </c>
      <c r="B61" s="5" t="inlineStr">
        <is>
          <t>西南-四川</t>
        </is>
      </c>
      <c r="C61" s="5" t="inlineStr">
        <is>
          <t>国有企业</t>
        </is>
      </c>
      <c r="D61" s="6" t="inlineStr">
        <is>
          <t>HT20250205</t>
        </is>
      </c>
      <c r="E61" s="6" t="inlineStr">
        <is>
          <t>20260519</t>
        </is>
      </c>
      <c r="F61" s="10" t="n">
        <v>421.401</v>
      </c>
      <c r="G61" s="8" t="n"/>
      <c r="H61" s="10" t="n">
        <v>293.753</v>
      </c>
      <c r="I61" s="10" t="n">
        <v>127.648</v>
      </c>
      <c r="J61" s="10" t="n">
        <v>121.962</v>
      </c>
      <c r="K61" s="10" t="n">
        <v>5.686</v>
      </c>
      <c r="L61" s="8" t="inlineStr">
        <is>
          <t>一部</t>
        </is>
      </c>
      <c r="M61" s="8" t="inlineStr">
        <is>
          <t>王芳</t>
        </is>
      </c>
      <c r="N61" s="8" t="inlineStr">
        <is>
          <t>1年以内</t>
        </is>
      </c>
      <c r="O61" s="8" t="n"/>
    </row>
    <row r="62">
      <c r="A62" s="5" t="n">
        <v>60</v>
      </c>
      <c r="B62" s="5" t="inlineStr">
        <is>
          <t>华中-河南</t>
        </is>
      </c>
      <c r="C62" s="5" t="inlineStr">
        <is>
          <t>群团组织</t>
        </is>
      </c>
      <c r="D62" s="6" t="inlineStr">
        <is>
          <t>HT20250205</t>
        </is>
      </c>
      <c r="E62" s="6" t="inlineStr">
        <is>
          <t>20260519</t>
        </is>
      </c>
      <c r="F62" s="10" t="n">
        <v>602.859</v>
      </c>
      <c r="G62" s="8" t="n"/>
      <c r="H62" s="10" t="n">
        <v>344.906</v>
      </c>
      <c r="I62" s="10" t="n">
        <v>257.953</v>
      </c>
      <c r="J62" s="10" t="n">
        <v>154.741</v>
      </c>
      <c r="K62" s="10" t="n">
        <v>103.212</v>
      </c>
      <c r="L62" s="8" t="inlineStr">
        <is>
          <t>二部</t>
        </is>
      </c>
      <c r="M62" s="8" t="inlineStr">
        <is>
          <t>杨磊</t>
        </is>
      </c>
      <c r="N62" s="8" t="inlineStr">
        <is>
          <t>2-3年</t>
        </is>
      </c>
      <c r="O62" s="8" t="n"/>
    </row>
    <row r="63">
      <c r="A63" s="5" t="n">
        <v>61</v>
      </c>
      <c r="B63" s="5" t="inlineStr">
        <is>
          <t>华南-香港</t>
        </is>
      </c>
      <c r="C63" s="5" t="inlineStr">
        <is>
          <t>国有企业</t>
        </is>
      </c>
      <c r="D63" s="6" t="inlineStr">
        <is>
          <t>HT20250206</t>
        </is>
      </c>
      <c r="E63" s="6" t="inlineStr">
        <is>
          <t>20250613</t>
        </is>
      </c>
      <c r="F63" s="10" t="n">
        <v>629.653</v>
      </c>
      <c r="G63" s="8" t="n"/>
      <c r="H63" s="10" t="n">
        <v>410.448</v>
      </c>
      <c r="I63" s="10" t="n">
        <v>219.205</v>
      </c>
      <c r="J63" s="10" t="n">
        <v>132.948</v>
      </c>
      <c r="K63" s="10" t="n">
        <v>86.25700000000001</v>
      </c>
      <c r="L63" s="8" t="inlineStr">
        <is>
          <t>九部</t>
        </is>
      </c>
      <c r="M63" s="8" t="inlineStr">
        <is>
          <t>蒋涛</t>
        </is>
      </c>
      <c r="N63" s="8" t="inlineStr">
        <is>
          <t>1年以内</t>
        </is>
      </c>
      <c r="O63" s="8" t="inlineStr">
        <is>
          <t>服务不满意</t>
        </is>
      </c>
    </row>
    <row r="64">
      <c r="A64" s="5" t="n">
        <v>62</v>
      </c>
      <c r="B64" s="5" t="inlineStr">
        <is>
          <t>华南-广西</t>
        </is>
      </c>
      <c r="C64" s="5" t="inlineStr">
        <is>
          <t>基层自治组织</t>
        </is>
      </c>
      <c r="D64" s="6" t="inlineStr">
        <is>
          <t>HT20250206</t>
        </is>
      </c>
      <c r="E64" s="6" t="inlineStr">
        <is>
          <t>20250613</t>
        </is>
      </c>
      <c r="F64" s="10" t="n">
        <v>338.9</v>
      </c>
      <c r="G64" s="8" t="n"/>
      <c r="H64" s="10" t="n">
        <v>147.92</v>
      </c>
      <c r="I64" s="10" t="n">
        <v>190.98</v>
      </c>
      <c r="J64" s="10" t="n">
        <v>98.26900000000001</v>
      </c>
      <c r="K64" s="10" t="n">
        <v>92.711</v>
      </c>
      <c r="L64" s="8" t="inlineStr">
        <is>
          <t>七部</t>
        </is>
      </c>
      <c r="M64" s="8" t="inlineStr">
        <is>
          <t>傅蓉</t>
        </is>
      </c>
      <c r="N64" s="8" t="inlineStr">
        <is>
          <t>1-2年</t>
        </is>
      </c>
      <c r="O64" s="8" t="n"/>
    </row>
    <row r="65">
      <c r="A65" s="5" t="n">
        <v>63</v>
      </c>
      <c r="B65" s="5" t="inlineStr">
        <is>
          <t>东北-吉林</t>
        </is>
      </c>
      <c r="C65" s="5" t="inlineStr">
        <is>
          <t>党委机关</t>
        </is>
      </c>
      <c r="D65" s="6" t="inlineStr">
        <is>
          <t>HT20250207</t>
        </is>
      </c>
      <c r="E65" s="6" t="inlineStr">
        <is>
          <t>20260522</t>
        </is>
      </c>
      <c r="F65" s="10" t="n">
        <v>762.852</v>
      </c>
      <c r="G65" s="8" t="n"/>
      <c r="H65" s="10" t="n">
        <v>399.668</v>
      </c>
      <c r="I65" s="10" t="n">
        <v>363.184</v>
      </c>
      <c r="J65" s="10" t="n">
        <v>141.722</v>
      </c>
      <c r="K65" s="10" t="n">
        <v>221.462</v>
      </c>
      <c r="L65" s="8" t="inlineStr">
        <is>
          <t>三部</t>
        </is>
      </c>
      <c r="M65" s="8" t="inlineStr">
        <is>
          <t>徐涛</t>
        </is>
      </c>
      <c r="N65" s="8" t="inlineStr">
        <is>
          <t>1-2年</t>
        </is>
      </c>
      <c r="O65" s="8" t="n"/>
    </row>
    <row r="66">
      <c r="A66" s="5" t="n">
        <v>64</v>
      </c>
      <c r="B66" s="5" t="inlineStr">
        <is>
          <t>华中-河南</t>
        </is>
      </c>
      <c r="C66" s="5" t="inlineStr">
        <is>
          <t>监察司法机关</t>
        </is>
      </c>
      <c r="D66" s="6" t="inlineStr">
        <is>
          <t>HT20250207</t>
        </is>
      </c>
      <c r="E66" s="6" t="inlineStr">
        <is>
          <t>20260522</t>
        </is>
      </c>
      <c r="F66" s="10" t="n">
        <v>67.98999999999999</v>
      </c>
      <c r="G66" s="8" t="n"/>
      <c r="H66" s="10" t="n">
        <v>45.373</v>
      </c>
      <c r="I66" s="10" t="n">
        <v>22.617</v>
      </c>
      <c r="J66" s="10" t="n">
        <v>7.656</v>
      </c>
      <c r="K66" s="10" t="n">
        <v>14.961</v>
      </c>
      <c r="L66" s="8" t="inlineStr">
        <is>
          <t>五部</t>
        </is>
      </c>
      <c r="M66" s="8" t="inlineStr">
        <is>
          <t>梁雪</t>
        </is>
      </c>
      <c r="N66" s="8" t="inlineStr">
        <is>
          <t>2-3年</t>
        </is>
      </c>
      <c r="O66" s="8" t="n"/>
    </row>
    <row r="67">
      <c r="A67" s="5" t="n">
        <v>65</v>
      </c>
      <c r="B67" s="5" t="inlineStr">
        <is>
          <t>华东-安徽</t>
        </is>
      </c>
      <c r="C67" s="5" t="inlineStr">
        <is>
          <t>国有企业</t>
        </is>
      </c>
      <c r="D67" s="6" t="inlineStr">
        <is>
          <t>HT20250208</t>
        </is>
      </c>
      <c r="E67" s="6" t="inlineStr">
        <is>
          <t>20260709</t>
        </is>
      </c>
      <c r="F67" s="10" t="n">
        <v>33.462</v>
      </c>
      <c r="G67" s="8" t="n"/>
      <c r="H67" s="10" t="n">
        <v>29.272</v>
      </c>
      <c r="I67" s="10" t="n">
        <v>4.19</v>
      </c>
      <c r="J67" s="10" t="n">
        <v>1.147</v>
      </c>
      <c r="K67" s="10" t="n">
        <v>3.043</v>
      </c>
      <c r="L67" s="8" t="inlineStr">
        <is>
          <t>八部</t>
        </is>
      </c>
      <c r="M67" s="8" t="inlineStr">
        <is>
          <t>苏珊</t>
        </is>
      </c>
      <c r="N67" s="8" t="inlineStr">
        <is>
          <t>2-3年</t>
        </is>
      </c>
      <c r="O67" s="8" t="n"/>
    </row>
    <row r="68">
      <c r="A68" s="5" t="n">
        <v>66</v>
      </c>
      <c r="B68" s="5" t="inlineStr">
        <is>
          <t>华北-河北</t>
        </is>
      </c>
      <c r="C68" s="5" t="inlineStr">
        <is>
          <t>群团组织</t>
        </is>
      </c>
      <c r="D68" s="6" t="inlineStr">
        <is>
          <t>HT20250208</t>
        </is>
      </c>
      <c r="E68" s="6" t="inlineStr">
        <is>
          <t>20260709</t>
        </is>
      </c>
      <c r="F68" s="10" t="n">
        <v>620.0069999999999</v>
      </c>
      <c r="G68" s="8" t="n"/>
      <c r="H68" s="10" t="n">
        <v>167.978</v>
      </c>
      <c r="I68" s="10" t="n">
        <v>452.029</v>
      </c>
      <c r="J68" s="10" t="n">
        <v>156.887</v>
      </c>
      <c r="K68" s="10" t="n">
        <v>295.142</v>
      </c>
      <c r="L68" s="8" t="inlineStr">
        <is>
          <t>八部</t>
        </is>
      </c>
      <c r="M68" s="8" t="inlineStr">
        <is>
          <t>卢俊</t>
        </is>
      </c>
      <c r="N68" s="8" t="inlineStr">
        <is>
          <t>2-3年</t>
        </is>
      </c>
      <c r="O68" s="8" t="n"/>
    </row>
    <row r="69">
      <c r="A69" s="5" t="n">
        <v>67</v>
      </c>
      <c r="B69" s="5" t="inlineStr">
        <is>
          <t>华东-江西</t>
        </is>
      </c>
      <c r="C69" s="5" t="inlineStr">
        <is>
          <t>党委机关</t>
        </is>
      </c>
      <c r="D69" s="6" t="inlineStr">
        <is>
          <t>HT20250209</t>
        </is>
      </c>
      <c r="E69" s="6" t="inlineStr">
        <is>
          <t>20260626</t>
        </is>
      </c>
      <c r="F69" s="10" t="n">
        <v>400.573</v>
      </c>
      <c r="G69" s="8" t="n"/>
      <c r="H69" s="10" t="n">
        <v>222.78</v>
      </c>
      <c r="I69" s="10" t="n">
        <v>177.793</v>
      </c>
      <c r="J69" s="10" t="n">
        <v>18.405</v>
      </c>
      <c r="K69" s="10" t="n">
        <v>159.388</v>
      </c>
      <c r="L69" s="8" t="inlineStr">
        <is>
          <t>三部</t>
        </is>
      </c>
      <c r="M69" s="8" t="inlineStr">
        <is>
          <t>胡蓉</t>
        </is>
      </c>
      <c r="N69" s="8" t="inlineStr">
        <is>
          <t>2-3年</t>
        </is>
      </c>
      <c r="O69" s="8" t="inlineStr">
        <is>
          <t>需求不满足</t>
        </is>
      </c>
    </row>
    <row r="70">
      <c r="A70" s="5" t="n">
        <v>68</v>
      </c>
      <c r="B70" s="5" t="inlineStr">
        <is>
          <t>华中-河南</t>
        </is>
      </c>
      <c r="C70" s="5" t="inlineStr">
        <is>
          <t>国有企业</t>
        </is>
      </c>
      <c r="D70" s="6" t="inlineStr">
        <is>
          <t>HT20250209</t>
        </is>
      </c>
      <c r="E70" s="6" t="inlineStr">
        <is>
          <t>20260626</t>
        </is>
      </c>
      <c r="F70" s="10" t="n">
        <v>50.881</v>
      </c>
      <c r="G70" s="8" t="n"/>
      <c r="H70" s="10" t="n">
        <v>47.733</v>
      </c>
      <c r="I70" s="10" t="n">
        <v>3.148</v>
      </c>
      <c r="J70" s="10" t="n">
        <v>2.469</v>
      </c>
      <c r="K70" s="10" t="n">
        <v>0.679</v>
      </c>
      <c r="L70" s="8" t="inlineStr">
        <is>
          <t>五部</t>
        </is>
      </c>
      <c r="M70" s="8" t="inlineStr">
        <is>
          <t>郑浩</t>
        </is>
      </c>
      <c r="N70" s="8" t="inlineStr">
        <is>
          <t>1年以内</t>
        </is>
      </c>
      <c r="O70" s="8" t="n"/>
    </row>
    <row r="71">
      <c r="A71" s="5" t="n">
        <v>69</v>
      </c>
      <c r="B71" s="5" t="inlineStr">
        <is>
          <t>西北-新疆</t>
        </is>
      </c>
      <c r="C71" s="5" t="inlineStr">
        <is>
          <t>党委机关</t>
        </is>
      </c>
      <c r="D71" s="6" t="inlineStr">
        <is>
          <t>HT20250210</t>
        </is>
      </c>
      <c r="E71" s="6" t="inlineStr">
        <is>
          <t>20251009</t>
        </is>
      </c>
      <c r="F71" s="10" t="n">
        <v>630.931</v>
      </c>
      <c r="G71" s="8" t="n"/>
      <c r="H71" s="10" t="n">
        <v>540.751</v>
      </c>
      <c r="I71" s="10" t="n">
        <v>90.18000000000001</v>
      </c>
      <c r="J71" s="10" t="n">
        <v>36.915</v>
      </c>
      <c r="K71" s="10" t="n">
        <v>53.265</v>
      </c>
      <c r="L71" s="8" t="inlineStr">
        <is>
          <t>七部</t>
        </is>
      </c>
      <c r="M71" s="8" t="inlineStr">
        <is>
          <t>袁博</t>
        </is>
      </c>
      <c r="N71" s="8" t="inlineStr">
        <is>
          <t>1年以内</t>
        </is>
      </c>
      <c r="O71" s="8" t="n"/>
    </row>
    <row r="72">
      <c r="A72" s="5" t="n">
        <v>70</v>
      </c>
      <c r="B72" s="5" t="inlineStr">
        <is>
          <t>华北-河北</t>
        </is>
      </c>
      <c r="C72" s="5" t="inlineStr">
        <is>
          <t>基层自治组织</t>
        </is>
      </c>
      <c r="D72" s="6" t="inlineStr">
        <is>
          <t>HT20250210</t>
        </is>
      </c>
      <c r="E72" s="6" t="inlineStr">
        <is>
          <t>20251009</t>
        </is>
      </c>
      <c r="F72" s="10" t="n">
        <v>329.147</v>
      </c>
      <c r="G72" s="8" t="n"/>
      <c r="H72" s="10" t="n">
        <v>237.055</v>
      </c>
      <c r="I72" s="10" t="n">
        <v>92.092</v>
      </c>
      <c r="J72" s="10" t="n">
        <v>57.261</v>
      </c>
      <c r="K72" s="10" t="n">
        <v>34.831</v>
      </c>
      <c r="L72" s="8" t="inlineStr">
        <is>
          <t>十部</t>
        </is>
      </c>
      <c r="M72" s="8" t="inlineStr">
        <is>
          <t>段勇</t>
        </is>
      </c>
      <c r="N72" s="8" t="inlineStr">
        <is>
          <t>1年以内</t>
        </is>
      </c>
      <c r="O72" s="8" t="n"/>
    </row>
    <row r="73">
      <c r="A73" s="5" t="n">
        <v>71</v>
      </c>
      <c r="B73" s="5" t="inlineStr">
        <is>
          <t>西南-四川</t>
        </is>
      </c>
      <c r="C73" s="5" t="inlineStr">
        <is>
          <t>事业单位</t>
        </is>
      </c>
      <c r="D73" s="6" t="inlineStr">
        <is>
          <t>HT20250212</t>
        </is>
      </c>
      <c r="E73" s="6" t="inlineStr">
        <is>
          <t>20260831</t>
        </is>
      </c>
      <c r="F73" s="10" t="n">
        <v>5.103</v>
      </c>
      <c r="G73" s="8" t="n"/>
      <c r="H73" s="10" t="n">
        <v>0.82</v>
      </c>
      <c r="I73" s="10" t="n">
        <v>4.283</v>
      </c>
      <c r="J73" s="10" t="n">
        <v>1.061</v>
      </c>
      <c r="K73" s="10" t="n">
        <v>3.222</v>
      </c>
      <c r="L73" s="8" t="inlineStr">
        <is>
          <t>六部</t>
        </is>
      </c>
      <c r="M73" s="8" t="inlineStr">
        <is>
          <t>董辉</t>
        </is>
      </c>
      <c r="N73" s="8" t="inlineStr">
        <is>
          <t>1-2年</t>
        </is>
      </c>
      <c r="O73" s="8" t="n"/>
    </row>
    <row r="74">
      <c r="A74" s="5" t="n">
        <v>72</v>
      </c>
      <c r="B74" s="5" t="inlineStr">
        <is>
          <t>西北-新疆</t>
        </is>
      </c>
      <c r="C74" s="5" t="inlineStr">
        <is>
          <t>人大政协</t>
        </is>
      </c>
      <c r="D74" s="6" t="inlineStr">
        <is>
          <t>HT20250212</t>
        </is>
      </c>
      <c r="E74" s="6" t="inlineStr">
        <is>
          <t>20260831</t>
        </is>
      </c>
      <c r="F74" s="10" t="n">
        <v>950.033</v>
      </c>
      <c r="G74" s="8" t="n"/>
      <c r="H74" s="10" t="n">
        <v>398.182</v>
      </c>
      <c r="I74" s="10" t="n">
        <v>551.851</v>
      </c>
      <c r="J74" s="10" t="n">
        <v>455.373</v>
      </c>
      <c r="K74" s="10" t="n">
        <v>96.47799999999999</v>
      </c>
      <c r="L74" s="8" t="inlineStr">
        <is>
          <t>四部</t>
        </is>
      </c>
      <c r="M74" s="8" t="inlineStr">
        <is>
          <t>郭鹏</t>
        </is>
      </c>
      <c r="N74" s="8" t="inlineStr">
        <is>
          <t>1-2年</t>
        </is>
      </c>
      <c r="O74" s="8" t="inlineStr">
        <is>
          <t>需求不满足</t>
        </is>
      </c>
    </row>
    <row r="75">
      <c r="A75" s="5" t="n">
        <v>73</v>
      </c>
      <c r="B75" s="5" t="inlineStr">
        <is>
          <t>东北-辽宁</t>
        </is>
      </c>
      <c r="C75" s="5" t="inlineStr">
        <is>
          <t>群团组织</t>
        </is>
      </c>
      <c r="D75" s="6" t="inlineStr">
        <is>
          <t>HT20250212</t>
        </is>
      </c>
      <c r="E75" s="6" t="inlineStr">
        <is>
          <t>20260831</t>
        </is>
      </c>
      <c r="F75" s="10" t="n">
        <v>27.534</v>
      </c>
      <c r="G75" s="8" t="n"/>
      <c r="H75" s="10" t="n">
        <v>20.63</v>
      </c>
      <c r="I75" s="10" t="n">
        <v>6.904</v>
      </c>
      <c r="J75" s="10" t="n">
        <v>2.425</v>
      </c>
      <c r="K75" s="10" t="n">
        <v>4.479</v>
      </c>
      <c r="L75" s="8" t="inlineStr">
        <is>
          <t>九部</t>
        </is>
      </c>
      <c r="M75" s="8" t="inlineStr">
        <is>
          <t>贾静</t>
        </is>
      </c>
      <c r="N75" s="8" t="inlineStr">
        <is>
          <t>2-3年</t>
        </is>
      </c>
      <c r="O75" s="8" t="n"/>
    </row>
    <row r="76">
      <c r="A76" s="5" t="n">
        <v>74</v>
      </c>
      <c r="B76" s="5" t="inlineStr">
        <is>
          <t>华中-湖北</t>
        </is>
      </c>
      <c r="C76" s="5" t="inlineStr">
        <is>
          <t>基层自治组织</t>
        </is>
      </c>
      <c r="D76" s="6" t="inlineStr">
        <is>
          <t>HT20250213</t>
        </is>
      </c>
      <c r="E76" s="6" t="inlineStr">
        <is>
          <t>20260122</t>
        </is>
      </c>
      <c r="F76" s="10" t="n">
        <v>5410.249</v>
      </c>
      <c r="G76" s="8" t="n"/>
      <c r="H76" s="10" t="n">
        <v>1243.297</v>
      </c>
      <c r="I76" s="10" t="n">
        <v>4166.952</v>
      </c>
      <c r="J76" s="10" t="n">
        <v>1799.362</v>
      </c>
      <c r="K76" s="10" t="n">
        <v>2367.59</v>
      </c>
      <c r="L76" s="8" t="inlineStr">
        <is>
          <t>五部</t>
        </is>
      </c>
      <c r="M76" s="8" t="inlineStr">
        <is>
          <t>郑浩</t>
        </is>
      </c>
      <c r="N76" s="8" t="inlineStr">
        <is>
          <t>1-2年</t>
        </is>
      </c>
      <c r="O76" s="8" t="n"/>
    </row>
    <row r="77">
      <c r="A77" s="5" t="n">
        <v>75</v>
      </c>
      <c r="B77" s="5" t="inlineStr">
        <is>
          <t>西北-新疆</t>
        </is>
      </c>
      <c r="C77" s="5" t="inlineStr">
        <is>
          <t>党委机关</t>
        </is>
      </c>
      <c r="D77" s="6" t="inlineStr">
        <is>
          <t>HT20250213</t>
        </is>
      </c>
      <c r="E77" s="6" t="inlineStr">
        <is>
          <t>20260122</t>
        </is>
      </c>
      <c r="F77" s="10" t="n">
        <v>453.005</v>
      </c>
      <c r="G77" s="8" t="n"/>
      <c r="H77" s="10" t="n">
        <v>105.269</v>
      </c>
      <c r="I77" s="10" t="n">
        <v>347.736</v>
      </c>
      <c r="J77" s="10" t="n">
        <v>103.799</v>
      </c>
      <c r="K77" s="10" t="n">
        <v>243.937</v>
      </c>
      <c r="L77" s="8" t="inlineStr">
        <is>
          <t>七部</t>
        </is>
      </c>
      <c r="M77" s="8" t="inlineStr">
        <is>
          <t>袁博</t>
        </is>
      </c>
      <c r="N77" s="8" t="inlineStr">
        <is>
          <t>1年以内</t>
        </is>
      </c>
      <c r="O77" s="8" t="n"/>
    </row>
    <row r="78">
      <c r="A78" s="5" t="n">
        <v>76</v>
      </c>
      <c r="B78" s="5" t="inlineStr">
        <is>
          <t>西南-西藏</t>
        </is>
      </c>
      <c r="C78" s="5" t="inlineStr">
        <is>
          <t>监察司法机关</t>
        </is>
      </c>
      <c r="D78" s="6" t="inlineStr">
        <is>
          <t>HT20250214</t>
        </is>
      </c>
      <c r="E78" s="6" t="inlineStr">
        <is>
          <t>20250916</t>
        </is>
      </c>
      <c r="F78" s="10" t="n">
        <v>568.698</v>
      </c>
      <c r="G78" s="8" t="n"/>
      <c r="H78" s="10" t="n">
        <v>185.903</v>
      </c>
      <c r="I78" s="10" t="n">
        <v>382.795</v>
      </c>
      <c r="J78" s="10" t="n">
        <v>265.131</v>
      </c>
      <c r="K78" s="10" t="n">
        <v>117.664</v>
      </c>
      <c r="L78" s="8" t="inlineStr">
        <is>
          <t>六部</t>
        </is>
      </c>
      <c r="M78" s="8" t="inlineStr">
        <is>
          <t>曹阳</t>
        </is>
      </c>
      <c r="N78" s="8" t="inlineStr">
        <is>
          <t>2-3年</t>
        </is>
      </c>
      <c r="O78" s="8" t="n"/>
    </row>
    <row r="79">
      <c r="A79" s="5" t="n">
        <v>77</v>
      </c>
      <c r="B79" s="5" t="inlineStr">
        <is>
          <t>东北-辽宁</t>
        </is>
      </c>
      <c r="C79" s="5" t="inlineStr">
        <is>
          <t>政府机关</t>
        </is>
      </c>
      <c r="D79" s="6" t="inlineStr">
        <is>
          <t>HT20250214</t>
        </is>
      </c>
      <c r="E79" s="6" t="inlineStr">
        <is>
          <t>20250916</t>
        </is>
      </c>
      <c r="F79" s="10" t="n">
        <v>151.257</v>
      </c>
      <c r="G79" s="8" t="n"/>
      <c r="H79" s="10" t="n">
        <v>119.294</v>
      </c>
      <c r="I79" s="10" t="n">
        <v>31.963</v>
      </c>
      <c r="J79" s="10" t="n">
        <v>22.288</v>
      </c>
      <c r="K79" s="10" t="n">
        <v>9.675000000000001</v>
      </c>
      <c r="L79" s="8" t="inlineStr">
        <is>
          <t>九部</t>
        </is>
      </c>
      <c r="M79" s="8" t="inlineStr">
        <is>
          <t>蒋涛</t>
        </is>
      </c>
      <c r="N79" s="8" t="inlineStr">
        <is>
          <t>1年以内</t>
        </is>
      </c>
      <c r="O79" s="8" t="n"/>
    </row>
    <row r="80">
      <c r="A80" s="5" t="n">
        <v>78</v>
      </c>
      <c r="B80" s="5" t="inlineStr">
        <is>
          <t>华东-浙江</t>
        </is>
      </c>
      <c r="C80" s="5" t="inlineStr">
        <is>
          <t>群团组织</t>
        </is>
      </c>
      <c r="D80" s="6" t="inlineStr">
        <is>
          <t>HT20250214</t>
        </is>
      </c>
      <c r="E80" s="6" t="inlineStr">
        <is>
          <t>20250916</t>
        </is>
      </c>
      <c r="F80" s="10" t="n">
        <v>845.024</v>
      </c>
      <c r="G80" s="8" t="n"/>
      <c r="H80" s="10" t="n">
        <v>453.391</v>
      </c>
      <c r="I80" s="10" t="n">
        <v>391.633</v>
      </c>
      <c r="J80" s="10" t="n">
        <v>328.134</v>
      </c>
      <c r="K80" s="10" t="n">
        <v>63.499</v>
      </c>
      <c r="L80" s="8" t="inlineStr">
        <is>
          <t>十部</t>
        </is>
      </c>
      <c r="M80" s="8" t="inlineStr">
        <is>
          <t>雷声</t>
        </is>
      </c>
      <c r="N80" s="8" t="inlineStr">
        <is>
          <t>2-3年</t>
        </is>
      </c>
      <c r="O80" s="8" t="inlineStr">
        <is>
          <t>需求不满足</t>
        </is>
      </c>
    </row>
    <row r="81">
      <c r="A81" s="5" t="n">
        <v>79</v>
      </c>
      <c r="B81" s="5" t="inlineStr">
        <is>
          <t>华东-山东</t>
        </is>
      </c>
      <c r="C81" s="5" t="inlineStr">
        <is>
          <t>国有企业</t>
        </is>
      </c>
      <c r="D81" s="6" t="inlineStr">
        <is>
          <t>HT20250214</t>
        </is>
      </c>
      <c r="E81" s="6" t="inlineStr">
        <is>
          <t>20250916</t>
        </is>
      </c>
      <c r="F81" s="10" t="n">
        <v>347.494</v>
      </c>
      <c r="G81" s="8" t="n"/>
      <c r="H81" s="10" t="n">
        <v>320.46</v>
      </c>
      <c r="I81" s="10" t="n">
        <v>27.034</v>
      </c>
      <c r="J81" s="10" t="n">
        <v>14.085</v>
      </c>
      <c r="K81" s="10" t="n">
        <v>12.949</v>
      </c>
      <c r="L81" s="8" t="inlineStr">
        <is>
          <t>三部</t>
        </is>
      </c>
      <c r="M81" s="8" t="inlineStr">
        <is>
          <t>孙艳</t>
        </is>
      </c>
      <c r="N81" s="8" t="inlineStr">
        <is>
          <t>1年以内</t>
        </is>
      </c>
      <c r="O81" s="8" t="n"/>
    </row>
    <row r="82">
      <c r="A82" s="5" t="n">
        <v>80</v>
      </c>
      <c r="B82" s="5" t="inlineStr">
        <is>
          <t>华北-河北</t>
        </is>
      </c>
      <c r="C82" s="5" t="inlineStr">
        <is>
          <t>群团组织</t>
        </is>
      </c>
      <c r="D82" s="6" t="inlineStr">
        <is>
          <t>HT20250214</t>
        </is>
      </c>
      <c r="E82" s="6" t="inlineStr">
        <is>
          <t>20250916</t>
        </is>
      </c>
      <c r="F82" s="10" t="n">
        <v>837.794</v>
      </c>
      <c r="G82" s="8" t="n"/>
      <c r="H82" s="10" t="n">
        <v>525.484</v>
      </c>
      <c r="I82" s="10" t="n">
        <v>312.31</v>
      </c>
      <c r="J82" s="10" t="n">
        <v>274.358</v>
      </c>
      <c r="K82" s="10" t="n">
        <v>37.952</v>
      </c>
      <c r="L82" s="8" t="inlineStr">
        <is>
          <t>八部</t>
        </is>
      </c>
      <c r="M82" s="8" t="inlineStr">
        <is>
          <t>吕强</t>
        </is>
      </c>
      <c r="N82" s="8" t="inlineStr">
        <is>
          <t>1-2年</t>
        </is>
      </c>
      <c r="O82" s="8" t="n"/>
    </row>
    <row r="83">
      <c r="A83" s="5" t="n">
        <v>81</v>
      </c>
      <c r="B83" s="5" t="inlineStr">
        <is>
          <t>华北-北京</t>
        </is>
      </c>
      <c r="C83" s="5" t="inlineStr">
        <is>
          <t>群团组织</t>
        </is>
      </c>
      <c r="D83" s="6" t="inlineStr">
        <is>
          <t>HT20250216</t>
        </is>
      </c>
      <c r="E83" s="6" t="inlineStr">
        <is>
          <t>20260828</t>
        </is>
      </c>
      <c r="F83" s="10" t="n">
        <v>433.866</v>
      </c>
      <c r="G83" s="8" t="n"/>
      <c r="H83" s="10" t="n">
        <v>334.285</v>
      </c>
      <c r="I83" s="10" t="n">
        <v>99.581</v>
      </c>
      <c r="J83" s="10" t="n">
        <v>89.61799999999999</v>
      </c>
      <c r="K83" s="10" t="n">
        <v>9.962999999999999</v>
      </c>
      <c r="L83" s="8" t="inlineStr">
        <is>
          <t>六部</t>
        </is>
      </c>
      <c r="M83" s="8" t="inlineStr">
        <is>
          <t>董辉</t>
        </is>
      </c>
      <c r="N83" s="8" t="inlineStr">
        <is>
          <t>2-3年</t>
        </is>
      </c>
      <c r="O83" s="8" t="n"/>
    </row>
    <row r="84">
      <c r="A84" s="5" t="n">
        <v>82</v>
      </c>
      <c r="B84" s="5" t="inlineStr">
        <is>
          <t>东北-黑龙江</t>
        </is>
      </c>
      <c r="C84" s="5" t="inlineStr">
        <is>
          <t>群团组织</t>
        </is>
      </c>
      <c r="D84" s="6" t="inlineStr">
        <is>
          <t>HT20250216</t>
        </is>
      </c>
      <c r="E84" s="6" t="inlineStr">
        <is>
          <t>20260828</t>
        </is>
      </c>
      <c r="F84" s="10" t="n">
        <v>847.451</v>
      </c>
      <c r="G84" s="8" t="n"/>
      <c r="H84" s="10" t="n">
        <v>507.333</v>
      </c>
      <c r="I84" s="10" t="n">
        <v>340.118</v>
      </c>
      <c r="J84" s="10" t="n">
        <v>169.665</v>
      </c>
      <c r="K84" s="10" t="n">
        <v>170.453</v>
      </c>
      <c r="L84" s="8" t="inlineStr">
        <is>
          <t>四部</t>
        </is>
      </c>
      <c r="M84" s="8" t="inlineStr">
        <is>
          <t>林燕</t>
        </is>
      </c>
      <c r="N84" s="8" t="inlineStr">
        <is>
          <t>1年以内</t>
        </is>
      </c>
      <c r="O84" s="8" t="n"/>
    </row>
    <row r="85">
      <c r="A85" s="5" t="n">
        <v>83</v>
      </c>
      <c r="B85" s="5" t="inlineStr">
        <is>
          <t>华南-广东</t>
        </is>
      </c>
      <c r="C85" s="5" t="inlineStr">
        <is>
          <t>国有企业</t>
        </is>
      </c>
      <c r="D85" s="6" t="inlineStr">
        <is>
          <t>HT20250217</t>
        </is>
      </c>
      <c r="E85" s="6" t="inlineStr">
        <is>
          <t>20260511</t>
        </is>
      </c>
      <c r="F85" s="10" t="n">
        <v>227.023</v>
      </c>
      <c r="G85" s="8" t="n"/>
      <c r="H85" s="10" t="n">
        <v>56.716</v>
      </c>
      <c r="I85" s="10" t="n">
        <v>170.307</v>
      </c>
      <c r="J85" s="10" t="n">
        <v>83.252</v>
      </c>
      <c r="K85" s="10" t="n">
        <v>87.05500000000001</v>
      </c>
      <c r="L85" s="8" t="inlineStr">
        <is>
          <t>六部</t>
        </is>
      </c>
      <c r="M85" s="8" t="inlineStr">
        <is>
          <t>曹阳</t>
        </is>
      </c>
      <c r="N85" s="8" t="inlineStr">
        <is>
          <t>1年以内</t>
        </is>
      </c>
      <c r="O85" s="8" t="n"/>
    </row>
    <row r="86">
      <c r="A86" s="5" t="n">
        <v>84</v>
      </c>
      <c r="B86" s="5" t="inlineStr">
        <is>
          <t>华南-澳门</t>
        </is>
      </c>
      <c r="C86" s="5" t="inlineStr">
        <is>
          <t>党委机关</t>
        </is>
      </c>
      <c r="D86" s="6" t="inlineStr">
        <is>
          <t>HT20250217</t>
        </is>
      </c>
      <c r="E86" s="6" t="inlineStr">
        <is>
          <t>20260511</t>
        </is>
      </c>
      <c r="F86" s="10" t="n">
        <v>6388.211</v>
      </c>
      <c r="G86" s="8" t="n"/>
      <c r="H86" s="10" t="n">
        <v>5293.888</v>
      </c>
      <c r="I86" s="10" t="n">
        <v>1094.323</v>
      </c>
      <c r="J86" s="10" t="n">
        <v>330.589</v>
      </c>
      <c r="K86" s="10" t="n">
        <v>763.734</v>
      </c>
      <c r="L86" s="8" t="inlineStr">
        <is>
          <t>三部</t>
        </is>
      </c>
      <c r="M86" s="8" t="inlineStr">
        <is>
          <t>朱军</t>
        </is>
      </c>
      <c r="N86" s="8" t="inlineStr">
        <is>
          <t>1-2年</t>
        </is>
      </c>
      <c r="O86" s="8" t="inlineStr">
        <is>
          <t>需求不满足</t>
        </is>
      </c>
    </row>
    <row r="87">
      <c r="A87" s="5" t="n">
        <v>85</v>
      </c>
      <c r="B87" s="5" t="inlineStr">
        <is>
          <t>华东-江苏</t>
        </is>
      </c>
      <c r="C87" s="5" t="inlineStr">
        <is>
          <t>政府机关</t>
        </is>
      </c>
      <c r="D87" s="6" t="inlineStr">
        <is>
          <t>HT20250219</t>
        </is>
      </c>
      <c r="E87" s="6" t="inlineStr">
        <is>
          <t>20260526</t>
        </is>
      </c>
      <c r="F87" s="10" t="n">
        <v>840.753</v>
      </c>
      <c r="G87" s="8" t="n"/>
      <c r="H87" s="10" t="n">
        <v>512.773</v>
      </c>
      <c r="I87" s="10" t="n">
        <v>327.98</v>
      </c>
      <c r="J87" s="10" t="n">
        <v>75.416</v>
      </c>
      <c r="K87" s="10" t="n">
        <v>252.564</v>
      </c>
      <c r="L87" s="8" t="inlineStr">
        <is>
          <t>六部</t>
        </is>
      </c>
      <c r="M87" s="8" t="inlineStr">
        <is>
          <t>程琳</t>
        </is>
      </c>
      <c r="N87" s="8" t="inlineStr">
        <is>
          <t>1-2年</t>
        </is>
      </c>
      <c r="O87" s="8" t="n"/>
    </row>
    <row r="88">
      <c r="A88" s="5" t="n">
        <v>86</v>
      </c>
      <c r="B88" s="5" t="inlineStr">
        <is>
          <t>西北-甘肃</t>
        </is>
      </c>
      <c r="C88" s="5" t="inlineStr">
        <is>
          <t>基层自治组织</t>
        </is>
      </c>
      <c r="D88" s="6" t="inlineStr">
        <is>
          <t>HT20250219</t>
        </is>
      </c>
      <c r="E88" s="6" t="inlineStr">
        <is>
          <t>20260526</t>
        </is>
      </c>
      <c r="F88" s="10" t="n">
        <v>174.385</v>
      </c>
      <c r="G88" s="8" t="n"/>
      <c r="H88" s="10" t="n">
        <v>34.766</v>
      </c>
      <c r="I88" s="10" t="n">
        <v>139.619</v>
      </c>
      <c r="J88" s="10" t="n">
        <v>103.871</v>
      </c>
      <c r="K88" s="10" t="n">
        <v>35.748</v>
      </c>
      <c r="L88" s="8" t="inlineStr">
        <is>
          <t>九部</t>
        </is>
      </c>
      <c r="M88" s="8" t="inlineStr">
        <is>
          <t>丁磊</t>
        </is>
      </c>
      <c r="N88" s="8" t="inlineStr">
        <is>
          <t>1年以内</t>
        </is>
      </c>
      <c r="O88" s="8" t="n"/>
    </row>
    <row r="89">
      <c r="A89" s="5" t="n">
        <v>87</v>
      </c>
      <c r="B89" s="5" t="inlineStr">
        <is>
          <t>华北-河北</t>
        </is>
      </c>
      <c r="C89" s="5" t="inlineStr">
        <is>
          <t>事业单位</t>
        </is>
      </c>
      <c r="D89" s="6" t="inlineStr">
        <is>
          <t>HT20250220</t>
        </is>
      </c>
      <c r="E89" s="6" t="inlineStr">
        <is>
          <t>20251220</t>
        </is>
      </c>
      <c r="F89" s="10" t="n">
        <v>7687.358</v>
      </c>
      <c r="G89" s="8" t="n"/>
      <c r="H89" s="10" t="n">
        <v>2205.501</v>
      </c>
      <c r="I89" s="10" t="n">
        <v>5481.857</v>
      </c>
      <c r="J89" s="10" t="n">
        <v>2146.942</v>
      </c>
      <c r="K89" s="10" t="n">
        <v>3334.915</v>
      </c>
      <c r="L89" s="8" t="inlineStr">
        <is>
          <t>八部</t>
        </is>
      </c>
      <c r="M89" s="8" t="inlineStr">
        <is>
          <t>卢俊</t>
        </is>
      </c>
      <c r="N89" s="8" t="inlineStr">
        <is>
          <t>1-2年</t>
        </is>
      </c>
      <c r="O89" s="8" t="n"/>
    </row>
    <row r="90">
      <c r="A90" s="5" t="n">
        <v>88</v>
      </c>
      <c r="B90" s="5" t="inlineStr">
        <is>
          <t>华南-澳门</t>
        </is>
      </c>
      <c r="C90" s="5" t="inlineStr">
        <is>
          <t>政府机关</t>
        </is>
      </c>
      <c r="D90" s="6" t="inlineStr">
        <is>
          <t>HT20250220</t>
        </is>
      </c>
      <c r="E90" s="6" t="inlineStr">
        <is>
          <t>20251220</t>
        </is>
      </c>
      <c r="F90" s="10" t="n">
        <v>843.513</v>
      </c>
      <c r="G90" s="8" t="n"/>
      <c r="H90" s="10" t="n">
        <v>414.74</v>
      </c>
      <c r="I90" s="10" t="n">
        <v>428.773</v>
      </c>
      <c r="J90" s="10" t="n">
        <v>157.862</v>
      </c>
      <c r="K90" s="10" t="n">
        <v>270.911</v>
      </c>
      <c r="L90" s="8" t="inlineStr">
        <is>
          <t>八部</t>
        </is>
      </c>
      <c r="M90" s="8" t="inlineStr">
        <is>
          <t>曾辉</t>
        </is>
      </c>
      <c r="N90" s="8" t="inlineStr">
        <is>
          <t>2-3年</t>
        </is>
      </c>
      <c r="O90" s="8" t="n"/>
    </row>
    <row r="91">
      <c r="A91" s="5" t="n">
        <v>89</v>
      </c>
      <c r="B91" s="5" t="inlineStr">
        <is>
          <t>华北-天津</t>
        </is>
      </c>
      <c r="C91" s="5" t="inlineStr">
        <is>
          <t>人大政协</t>
        </is>
      </c>
      <c r="D91" s="6" t="inlineStr">
        <is>
          <t>HT20250220</t>
        </is>
      </c>
      <c r="E91" s="6" t="inlineStr">
        <is>
          <t>20251220</t>
        </is>
      </c>
      <c r="F91" s="10" t="n">
        <v>7628.358</v>
      </c>
      <c r="G91" s="8" t="n"/>
      <c r="H91" s="10" t="n">
        <v>6802.534</v>
      </c>
      <c r="I91" s="10" t="n">
        <v>825.824</v>
      </c>
      <c r="J91" s="10" t="n">
        <v>348.97</v>
      </c>
      <c r="K91" s="10" t="n">
        <v>476.854</v>
      </c>
      <c r="L91" s="8" t="inlineStr">
        <is>
          <t>四部</t>
        </is>
      </c>
      <c r="M91" s="8" t="inlineStr">
        <is>
          <t>罗刚</t>
        </is>
      </c>
      <c r="N91" s="8" t="inlineStr">
        <is>
          <t>1-2年</t>
        </is>
      </c>
      <c r="O91" s="8" t="n"/>
    </row>
    <row r="92">
      <c r="A92" s="5" t="n">
        <v>90</v>
      </c>
      <c r="B92" s="5" t="inlineStr">
        <is>
          <t>华北-北京</t>
        </is>
      </c>
      <c r="C92" s="5" t="inlineStr">
        <is>
          <t>基层自治组织</t>
        </is>
      </c>
      <c r="D92" s="6" t="inlineStr">
        <is>
          <t>HT20250220</t>
        </is>
      </c>
      <c r="E92" s="6" t="inlineStr">
        <is>
          <t>20251220</t>
        </is>
      </c>
      <c r="F92" s="10" t="n">
        <v>439.019</v>
      </c>
      <c r="G92" s="8" t="n"/>
      <c r="H92" s="10" t="n">
        <v>324.42</v>
      </c>
      <c r="I92" s="10" t="n">
        <v>114.599</v>
      </c>
      <c r="J92" s="10" t="n">
        <v>10.053</v>
      </c>
      <c r="K92" s="10" t="n">
        <v>104.546</v>
      </c>
      <c r="L92" s="8" t="inlineStr">
        <is>
          <t>二部</t>
        </is>
      </c>
      <c r="M92" s="8" t="inlineStr">
        <is>
          <t>赵敏</t>
        </is>
      </c>
      <c r="N92" s="8" t="inlineStr">
        <is>
          <t>2-3年</t>
        </is>
      </c>
      <c r="O92" s="8" t="inlineStr">
        <is>
          <t>服务不满意</t>
        </is>
      </c>
    </row>
    <row r="93">
      <c r="A93" s="5" t="n">
        <v>91</v>
      </c>
      <c r="B93" s="5" t="inlineStr">
        <is>
          <t>西南-重庆</t>
        </is>
      </c>
      <c r="C93" s="5" t="inlineStr">
        <is>
          <t>政府机关</t>
        </is>
      </c>
      <c r="D93" s="6" t="inlineStr">
        <is>
          <t>HT20250220</t>
        </is>
      </c>
      <c r="E93" s="6" t="inlineStr">
        <is>
          <t>20251220</t>
        </is>
      </c>
      <c r="F93" s="10" t="n">
        <v>255.837</v>
      </c>
      <c r="G93" s="8" t="n"/>
      <c r="H93" s="10" t="n">
        <v>77.866</v>
      </c>
      <c r="I93" s="10" t="n">
        <v>177.971</v>
      </c>
      <c r="J93" s="10" t="n">
        <v>57.682</v>
      </c>
      <c r="K93" s="10" t="n">
        <v>120.289</v>
      </c>
      <c r="L93" s="8" t="inlineStr">
        <is>
          <t>一部</t>
        </is>
      </c>
      <c r="M93" s="8" t="inlineStr">
        <is>
          <t>陈静</t>
        </is>
      </c>
      <c r="N93" s="8" t="inlineStr">
        <is>
          <t>1年以内</t>
        </is>
      </c>
      <c r="O93" s="8" t="n"/>
    </row>
    <row r="94">
      <c r="A94" s="5" t="n">
        <v>92</v>
      </c>
      <c r="B94" s="5" t="inlineStr">
        <is>
          <t>华北-内蒙古</t>
        </is>
      </c>
      <c r="C94" s="5" t="inlineStr">
        <is>
          <t>政府机关</t>
        </is>
      </c>
      <c r="D94" s="6" t="inlineStr">
        <is>
          <t>HT20250221</t>
        </is>
      </c>
      <c r="E94" s="6" t="inlineStr">
        <is>
          <t>20260510</t>
        </is>
      </c>
      <c r="F94" s="10" t="n">
        <v>7.996</v>
      </c>
      <c r="G94" s="8" t="n"/>
      <c r="H94" s="10" t="n">
        <v>0.884</v>
      </c>
      <c r="I94" s="10" t="n">
        <v>7.112</v>
      </c>
      <c r="J94" s="10" t="n">
        <v>3.706</v>
      </c>
      <c r="K94" s="10" t="n">
        <v>3.406</v>
      </c>
      <c r="L94" s="8" t="inlineStr">
        <is>
          <t>八部</t>
        </is>
      </c>
      <c r="M94" s="8" t="inlineStr">
        <is>
          <t>卢俊</t>
        </is>
      </c>
      <c r="N94" s="8" t="inlineStr">
        <is>
          <t>2-3年</t>
        </is>
      </c>
      <c r="O94" s="8" t="n"/>
    </row>
    <row r="95">
      <c r="A95" s="5" t="n">
        <v>93</v>
      </c>
      <c r="B95" s="5" t="inlineStr">
        <is>
          <t>华中-湖南</t>
        </is>
      </c>
      <c r="C95" s="5" t="inlineStr">
        <is>
          <t>群团组织</t>
        </is>
      </c>
      <c r="D95" s="6" t="inlineStr">
        <is>
          <t>HT20250221</t>
        </is>
      </c>
      <c r="E95" s="6" t="inlineStr">
        <is>
          <t>20260510</t>
        </is>
      </c>
      <c r="F95" s="10" t="n">
        <v>521.486</v>
      </c>
      <c r="G95" s="8" t="n"/>
      <c r="H95" s="10" t="n">
        <v>432.098</v>
      </c>
      <c r="I95" s="10" t="n">
        <v>89.38800000000001</v>
      </c>
      <c r="J95" s="10" t="n">
        <v>71.738</v>
      </c>
      <c r="K95" s="10" t="n">
        <v>17.65</v>
      </c>
      <c r="L95" s="8" t="inlineStr">
        <is>
          <t>四部</t>
        </is>
      </c>
      <c r="M95" s="8" t="inlineStr">
        <is>
          <t>林燕</t>
        </is>
      </c>
      <c r="N95" s="8" t="inlineStr">
        <is>
          <t>1年以内</t>
        </is>
      </c>
      <c r="O95" s="8" t="n"/>
    </row>
    <row r="96">
      <c r="A96" s="5" t="n">
        <v>94</v>
      </c>
      <c r="B96" s="5" t="inlineStr">
        <is>
          <t>华北-内蒙古</t>
        </is>
      </c>
      <c r="C96" s="5" t="inlineStr">
        <is>
          <t>事业单位</t>
        </is>
      </c>
      <c r="D96" s="6" t="inlineStr">
        <is>
          <t>HT20250224</t>
        </is>
      </c>
      <c r="E96" s="6" t="inlineStr">
        <is>
          <t>20260321</t>
        </is>
      </c>
      <c r="F96" s="10" t="n">
        <v>392.725</v>
      </c>
      <c r="G96" s="8" t="n"/>
      <c r="H96" s="10" t="n">
        <v>91.928</v>
      </c>
      <c r="I96" s="10" t="n">
        <v>300.797</v>
      </c>
      <c r="J96" s="10" t="n">
        <v>139.819</v>
      </c>
      <c r="K96" s="10" t="n">
        <v>160.978</v>
      </c>
      <c r="L96" s="8" t="inlineStr">
        <is>
          <t>三部</t>
        </is>
      </c>
      <c r="M96" s="8" t="inlineStr">
        <is>
          <t>徐涛</t>
        </is>
      </c>
      <c r="N96" s="8" t="inlineStr">
        <is>
          <t>1年以内</t>
        </is>
      </c>
      <c r="O96" s="8" t="n"/>
    </row>
    <row r="97">
      <c r="A97" s="5" t="n">
        <v>95</v>
      </c>
      <c r="B97" s="5" t="inlineStr">
        <is>
          <t>华南-广西</t>
        </is>
      </c>
      <c r="C97" s="5" t="inlineStr">
        <is>
          <t>党委机关</t>
        </is>
      </c>
      <c r="D97" s="6" t="inlineStr">
        <is>
          <t>HT20250224</t>
        </is>
      </c>
      <c r="E97" s="6" t="inlineStr">
        <is>
          <t>20260321</t>
        </is>
      </c>
      <c r="F97" s="10" t="n">
        <v>614.2430000000001</v>
      </c>
      <c r="G97" s="8" t="n"/>
      <c r="H97" s="10" t="n">
        <v>601.147</v>
      </c>
      <c r="I97" s="10" t="n">
        <v>13.096</v>
      </c>
      <c r="J97" s="10" t="n">
        <v>5.726</v>
      </c>
      <c r="K97" s="10" t="n">
        <v>7.37</v>
      </c>
      <c r="L97" s="8" t="inlineStr">
        <is>
          <t>八部</t>
        </is>
      </c>
      <c r="M97" s="8" t="inlineStr">
        <is>
          <t>吕强</t>
        </is>
      </c>
      <c r="N97" s="8" t="inlineStr">
        <is>
          <t>1年以内</t>
        </is>
      </c>
      <c r="O97" s="8" t="n"/>
    </row>
    <row r="98">
      <c r="A98" s="5" t="n">
        <v>96</v>
      </c>
      <c r="B98" s="5" t="inlineStr">
        <is>
          <t>东北-吉林</t>
        </is>
      </c>
      <c r="C98" s="5" t="inlineStr">
        <is>
          <t>党委机关</t>
        </is>
      </c>
      <c r="D98" s="6" t="inlineStr">
        <is>
          <t>HT20250224</t>
        </is>
      </c>
      <c r="E98" s="6" t="inlineStr">
        <is>
          <t>20260321</t>
        </is>
      </c>
      <c r="F98" s="10" t="n">
        <v>4640.321</v>
      </c>
      <c r="G98" s="8" t="n"/>
      <c r="H98" s="10" t="n">
        <v>615.151</v>
      </c>
      <c r="I98" s="10" t="n">
        <v>4025.17</v>
      </c>
      <c r="J98" s="10" t="n">
        <v>2722.525</v>
      </c>
      <c r="K98" s="10" t="n">
        <v>1302.645</v>
      </c>
      <c r="L98" s="8" t="inlineStr">
        <is>
          <t>七部</t>
        </is>
      </c>
      <c r="M98" s="8" t="inlineStr">
        <is>
          <t>邓丽</t>
        </is>
      </c>
      <c r="N98" s="8" t="inlineStr">
        <is>
          <t>1年以内</t>
        </is>
      </c>
      <c r="O98" s="8" t="n"/>
    </row>
    <row r="99">
      <c r="A99" s="5" t="n">
        <v>97</v>
      </c>
      <c r="B99" s="5" t="inlineStr">
        <is>
          <t>西北-青海</t>
        </is>
      </c>
      <c r="C99" s="5" t="inlineStr">
        <is>
          <t>人大政协</t>
        </is>
      </c>
      <c r="D99" s="6" t="inlineStr">
        <is>
          <t>HT20250224</t>
        </is>
      </c>
      <c r="E99" s="6" t="inlineStr">
        <is>
          <t>20260321</t>
        </is>
      </c>
      <c r="F99" s="10" t="n">
        <v>136.91</v>
      </c>
      <c r="G99" s="8" t="n"/>
      <c r="H99" s="10" t="n">
        <v>29.847</v>
      </c>
      <c r="I99" s="10" t="n">
        <v>107.063</v>
      </c>
      <c r="J99" s="10" t="n">
        <v>88.614</v>
      </c>
      <c r="K99" s="10" t="n">
        <v>18.449</v>
      </c>
      <c r="L99" s="8" t="inlineStr">
        <is>
          <t>三部</t>
        </is>
      </c>
      <c r="M99" s="8" t="inlineStr">
        <is>
          <t>朱军</t>
        </is>
      </c>
      <c r="N99" s="8" t="inlineStr">
        <is>
          <t>1年以内</t>
        </is>
      </c>
      <c r="O99" s="8" t="n"/>
    </row>
    <row r="100">
      <c r="A100" s="5" t="n">
        <v>98</v>
      </c>
      <c r="B100" s="5" t="inlineStr">
        <is>
          <t>东北-辽宁</t>
        </is>
      </c>
      <c r="C100" s="5" t="inlineStr">
        <is>
          <t>事业单位</t>
        </is>
      </c>
      <c r="D100" s="6" t="inlineStr">
        <is>
          <t>HT20250225</t>
        </is>
      </c>
      <c r="E100" s="6" t="inlineStr">
        <is>
          <t>20260608</t>
        </is>
      </c>
      <c r="F100" s="10" t="n">
        <v>647.2329999999999</v>
      </c>
      <c r="G100" s="8" t="n"/>
      <c r="H100" s="10" t="n">
        <v>576.747</v>
      </c>
      <c r="I100" s="10" t="n">
        <v>70.486</v>
      </c>
      <c r="J100" s="10" t="n">
        <v>8.884</v>
      </c>
      <c r="K100" s="10" t="n">
        <v>61.602</v>
      </c>
      <c r="L100" s="8" t="inlineStr">
        <is>
          <t>十部</t>
        </is>
      </c>
      <c r="M100" s="8" t="inlineStr">
        <is>
          <t>雷声</t>
        </is>
      </c>
      <c r="N100" s="8" t="inlineStr">
        <is>
          <t>1年以内</t>
        </is>
      </c>
      <c r="O100" s="8" t="n"/>
    </row>
    <row r="101">
      <c r="A101" s="5" t="n">
        <v>99</v>
      </c>
      <c r="B101" s="5" t="inlineStr">
        <is>
          <t>西南-重庆</t>
        </is>
      </c>
      <c r="C101" s="5" t="inlineStr">
        <is>
          <t>群团组织</t>
        </is>
      </c>
      <c r="D101" s="6" t="inlineStr">
        <is>
          <t>HT20250225</t>
        </is>
      </c>
      <c r="E101" s="6" t="inlineStr">
        <is>
          <t>20260608</t>
        </is>
      </c>
      <c r="F101" s="10" t="n">
        <v>882.015</v>
      </c>
      <c r="G101" s="8" t="n"/>
      <c r="H101" s="10" t="n">
        <v>791.784</v>
      </c>
      <c r="I101" s="10" t="n">
        <v>90.23099999999999</v>
      </c>
      <c r="J101" s="10" t="n">
        <v>67.102</v>
      </c>
      <c r="K101" s="10" t="n">
        <v>23.129</v>
      </c>
      <c r="L101" s="8" t="inlineStr">
        <is>
          <t>三部</t>
        </is>
      </c>
      <c r="M101" s="8" t="inlineStr">
        <is>
          <t>徐涛</t>
        </is>
      </c>
      <c r="N101" s="8" t="inlineStr">
        <is>
          <t>1年以内</t>
        </is>
      </c>
      <c r="O101" s="8" t="n"/>
    </row>
    <row r="102">
      <c r="A102" s="5" t="n">
        <v>100</v>
      </c>
      <c r="B102" s="5" t="inlineStr">
        <is>
          <t>华北-天津</t>
        </is>
      </c>
      <c r="C102" s="5" t="inlineStr">
        <is>
          <t>政府机关</t>
        </is>
      </c>
      <c r="D102" s="6" t="inlineStr">
        <is>
          <t>HT20250226</t>
        </is>
      </c>
      <c r="E102" s="6" t="inlineStr">
        <is>
          <t>20260208</t>
        </is>
      </c>
      <c r="F102" s="10" t="n">
        <v>109.119</v>
      </c>
      <c r="G102" s="8" t="n"/>
      <c r="H102" s="10" t="n">
        <v>16.499</v>
      </c>
      <c r="I102" s="10" t="n">
        <v>92.62</v>
      </c>
      <c r="J102" s="10" t="n">
        <v>27.074</v>
      </c>
      <c r="K102" s="10" t="n">
        <v>65.54600000000001</v>
      </c>
      <c r="L102" s="8" t="inlineStr">
        <is>
          <t>一部</t>
        </is>
      </c>
      <c r="M102" s="8" t="inlineStr">
        <is>
          <t>张伟</t>
        </is>
      </c>
      <c r="N102" s="8" t="inlineStr">
        <is>
          <t>1年以内</t>
        </is>
      </c>
      <c r="O102" s="8" t="n"/>
    </row>
    <row r="103">
      <c r="A103" s="5" t="n">
        <v>101</v>
      </c>
      <c r="B103" s="5" t="inlineStr">
        <is>
          <t>西南-四川</t>
        </is>
      </c>
      <c r="C103" s="5" t="inlineStr">
        <is>
          <t>人大政协</t>
        </is>
      </c>
      <c r="D103" s="6" t="inlineStr">
        <is>
          <t>HT20250226</t>
        </is>
      </c>
      <c r="E103" s="6" t="inlineStr">
        <is>
          <t>20260208</t>
        </is>
      </c>
      <c r="F103" s="10" t="n">
        <v>4631.509</v>
      </c>
      <c r="G103" s="8" t="n"/>
      <c r="H103" s="10" t="n">
        <v>2198.989</v>
      </c>
      <c r="I103" s="10" t="n">
        <v>2432.52</v>
      </c>
      <c r="J103" s="10" t="n">
        <v>734.073</v>
      </c>
      <c r="K103" s="10" t="n">
        <v>1698.447</v>
      </c>
      <c r="L103" s="8" t="inlineStr">
        <is>
          <t>七部</t>
        </is>
      </c>
      <c r="M103" s="8" t="inlineStr">
        <is>
          <t>邓丽</t>
        </is>
      </c>
      <c r="N103" s="8" t="inlineStr">
        <is>
          <t>1-2年</t>
        </is>
      </c>
      <c r="O103" s="8" t="n"/>
    </row>
    <row r="104">
      <c r="A104" s="5" t="n">
        <v>102</v>
      </c>
      <c r="B104" s="5" t="inlineStr">
        <is>
          <t>东北-辽宁</t>
        </is>
      </c>
      <c r="C104" s="5" t="inlineStr">
        <is>
          <t>群团组织</t>
        </is>
      </c>
      <c r="D104" s="6" t="inlineStr">
        <is>
          <t>HT20250226</t>
        </is>
      </c>
      <c r="E104" s="6" t="inlineStr">
        <is>
          <t>20260208</t>
        </is>
      </c>
      <c r="F104" s="10" t="n">
        <v>656.545</v>
      </c>
      <c r="G104" s="8" t="n"/>
      <c r="H104" s="10" t="n">
        <v>145.161</v>
      </c>
      <c r="I104" s="10" t="n">
        <v>511.384</v>
      </c>
      <c r="J104" s="10" t="n">
        <v>184.178</v>
      </c>
      <c r="K104" s="10" t="n">
        <v>327.206</v>
      </c>
      <c r="L104" s="8" t="inlineStr">
        <is>
          <t>十部</t>
        </is>
      </c>
      <c r="M104" s="8" t="inlineStr">
        <is>
          <t>雷声</t>
        </is>
      </c>
      <c r="N104" s="8" t="inlineStr">
        <is>
          <t>1年以内</t>
        </is>
      </c>
      <c r="O104" s="8" t="n"/>
    </row>
    <row r="105">
      <c r="A105" s="5" t="n">
        <v>103</v>
      </c>
      <c r="B105" s="5" t="inlineStr">
        <is>
          <t>西北-青海</t>
        </is>
      </c>
      <c r="C105" s="5" t="inlineStr">
        <is>
          <t>事业单位</t>
        </is>
      </c>
      <c r="D105" s="6" t="inlineStr">
        <is>
          <t>HT20250226</t>
        </is>
      </c>
      <c r="E105" s="6" t="inlineStr">
        <is>
          <t>20260208</t>
        </is>
      </c>
      <c r="F105" s="10" t="n">
        <v>214.335</v>
      </c>
      <c r="G105" s="8" t="n"/>
      <c r="H105" s="10" t="n">
        <v>157.604</v>
      </c>
      <c r="I105" s="10" t="n">
        <v>56.731</v>
      </c>
      <c r="J105" s="10" t="n">
        <v>10.756</v>
      </c>
      <c r="K105" s="10" t="n">
        <v>45.975</v>
      </c>
      <c r="L105" s="8" t="inlineStr">
        <is>
          <t>三部</t>
        </is>
      </c>
      <c r="M105" s="8" t="inlineStr">
        <is>
          <t>孙艳</t>
        </is>
      </c>
      <c r="N105" s="8" t="inlineStr">
        <is>
          <t>1年以内</t>
        </is>
      </c>
      <c r="O105" s="8" t="n"/>
    </row>
    <row r="106">
      <c r="A106" s="5" t="n">
        <v>104</v>
      </c>
      <c r="B106" s="5" t="inlineStr">
        <is>
          <t>华东-台湾</t>
        </is>
      </c>
      <c r="C106" s="5" t="inlineStr">
        <is>
          <t>人大政协</t>
        </is>
      </c>
      <c r="D106" s="6" t="inlineStr">
        <is>
          <t>HT20250226</t>
        </is>
      </c>
      <c r="E106" s="6" t="inlineStr">
        <is>
          <t>20260208</t>
        </is>
      </c>
      <c r="F106" s="10" t="n">
        <v>774.373</v>
      </c>
      <c r="G106" s="8" t="n"/>
      <c r="H106" s="10" t="n">
        <v>251.486</v>
      </c>
      <c r="I106" s="10" t="n">
        <v>522.8869999999999</v>
      </c>
      <c r="J106" s="10" t="n">
        <v>100.776</v>
      </c>
      <c r="K106" s="10" t="n">
        <v>422.111</v>
      </c>
      <c r="L106" s="8" t="inlineStr">
        <is>
          <t>五部</t>
        </is>
      </c>
      <c r="M106" s="8" t="inlineStr">
        <is>
          <t>谢峰</t>
        </is>
      </c>
      <c r="N106" s="8" t="inlineStr">
        <is>
          <t>1-2年</t>
        </is>
      </c>
      <c r="O106" s="8" t="n"/>
    </row>
    <row r="107">
      <c r="A107" s="5" t="n">
        <v>105</v>
      </c>
      <c r="B107" s="5" t="inlineStr">
        <is>
          <t>华南-澳门</t>
        </is>
      </c>
      <c r="C107" s="5" t="inlineStr">
        <is>
          <t>国有企业</t>
        </is>
      </c>
      <c r="D107" s="6" t="inlineStr">
        <is>
          <t>HT20250226</t>
        </is>
      </c>
      <c r="E107" s="6" t="inlineStr">
        <is>
          <t>20260208</t>
        </is>
      </c>
      <c r="F107" s="10" t="n">
        <v>426.664</v>
      </c>
      <c r="G107" s="8" t="n"/>
      <c r="H107" s="10" t="n">
        <v>338.084</v>
      </c>
      <c r="I107" s="10" t="n">
        <v>88.58</v>
      </c>
      <c r="J107" s="10" t="n">
        <v>63</v>
      </c>
      <c r="K107" s="10" t="n">
        <v>25.58</v>
      </c>
      <c r="L107" s="8" t="inlineStr">
        <is>
          <t>九部</t>
        </is>
      </c>
      <c r="M107" s="8" t="inlineStr">
        <is>
          <t>魏红</t>
        </is>
      </c>
      <c r="N107" s="8" t="inlineStr">
        <is>
          <t>1年以内</t>
        </is>
      </c>
      <c r="O107" s="8" t="n"/>
    </row>
    <row r="108">
      <c r="A108" s="5" t="n">
        <v>106</v>
      </c>
      <c r="B108" s="5" t="inlineStr">
        <is>
          <t>华南-澳门</t>
        </is>
      </c>
      <c r="C108" s="5" t="inlineStr">
        <is>
          <t>人大政协</t>
        </is>
      </c>
      <c r="D108" s="6" t="inlineStr">
        <is>
          <t>HT20250226</t>
        </is>
      </c>
      <c r="E108" s="6" t="inlineStr">
        <is>
          <t>20260208</t>
        </is>
      </c>
      <c r="F108" s="10" t="n">
        <v>290.238</v>
      </c>
      <c r="G108" s="8" t="n"/>
      <c r="H108" s="10" t="n">
        <v>38.122</v>
      </c>
      <c r="I108" s="10" t="n">
        <v>252.116</v>
      </c>
      <c r="J108" s="10" t="n">
        <v>8.718999999999999</v>
      </c>
      <c r="K108" s="10" t="n">
        <v>243.397</v>
      </c>
      <c r="L108" s="8" t="inlineStr">
        <is>
          <t>四部</t>
        </is>
      </c>
      <c r="M108" s="8" t="inlineStr">
        <is>
          <t>罗刚</t>
        </is>
      </c>
      <c r="N108" s="8" t="inlineStr">
        <is>
          <t>2-3年</t>
        </is>
      </c>
      <c r="O108" s="8" t="n"/>
    </row>
    <row r="109">
      <c r="A109" s="5" t="n">
        <v>107</v>
      </c>
      <c r="B109" s="5" t="inlineStr">
        <is>
          <t>华东-上海</t>
        </is>
      </c>
      <c r="C109" s="5" t="inlineStr">
        <is>
          <t>国有企业</t>
        </is>
      </c>
      <c r="D109" s="6" t="inlineStr">
        <is>
          <t>HT20250226</t>
        </is>
      </c>
      <c r="E109" s="6" t="inlineStr">
        <is>
          <t>20260208</t>
        </is>
      </c>
      <c r="F109" s="10" t="n">
        <v>706.74</v>
      </c>
      <c r="G109" s="8" t="n"/>
      <c r="H109" s="10" t="n">
        <v>647.4109999999999</v>
      </c>
      <c r="I109" s="10" t="n">
        <v>59.329</v>
      </c>
      <c r="J109" s="10" t="n">
        <v>27.45</v>
      </c>
      <c r="K109" s="10" t="n">
        <v>31.879</v>
      </c>
      <c r="L109" s="8" t="inlineStr">
        <is>
          <t>十部</t>
        </is>
      </c>
      <c r="M109" s="8" t="inlineStr">
        <is>
          <t>侯敏</t>
        </is>
      </c>
      <c r="N109" s="8" t="inlineStr">
        <is>
          <t>1-2年</t>
        </is>
      </c>
      <c r="O109" s="8" t="n"/>
    </row>
    <row r="110">
      <c r="A110" s="5" t="n">
        <v>108</v>
      </c>
      <c r="B110" s="5" t="inlineStr">
        <is>
          <t>华东-安徽</t>
        </is>
      </c>
      <c r="C110" s="5" t="inlineStr">
        <is>
          <t>监察司法机关</t>
        </is>
      </c>
      <c r="D110" s="6" t="inlineStr">
        <is>
          <t>HT20250305</t>
        </is>
      </c>
      <c r="E110" s="6" t="inlineStr">
        <is>
          <t>20260614</t>
        </is>
      </c>
      <c r="F110" s="10" t="n">
        <v>85.643</v>
      </c>
      <c r="G110" s="8" t="n"/>
      <c r="H110" s="10" t="n">
        <v>13.2</v>
      </c>
      <c r="I110" s="10" t="n">
        <v>72.443</v>
      </c>
      <c r="J110" s="10" t="n">
        <v>7.101</v>
      </c>
      <c r="K110" s="10" t="n">
        <v>65.342</v>
      </c>
      <c r="L110" s="8" t="inlineStr">
        <is>
          <t>三部</t>
        </is>
      </c>
      <c r="M110" s="8" t="inlineStr">
        <is>
          <t>马超</t>
        </is>
      </c>
      <c r="N110" s="8" t="inlineStr">
        <is>
          <t>1-2年</t>
        </is>
      </c>
      <c r="O110" s="8" t="n"/>
    </row>
    <row r="111">
      <c r="A111" s="5" t="n">
        <v>109</v>
      </c>
      <c r="B111" s="5" t="inlineStr">
        <is>
          <t>西南-云南</t>
        </is>
      </c>
      <c r="C111" s="5" t="inlineStr">
        <is>
          <t>基层自治组织</t>
        </is>
      </c>
      <c r="D111" s="6" t="inlineStr">
        <is>
          <t>HT20250306</t>
        </is>
      </c>
      <c r="E111" s="6" t="inlineStr">
        <is>
          <t>20250728</t>
        </is>
      </c>
      <c r="F111" s="10" t="n">
        <v>475.429</v>
      </c>
      <c r="G111" s="8" t="n"/>
      <c r="H111" s="10" t="n">
        <v>8.106</v>
      </c>
      <c r="I111" s="10" t="n">
        <v>467.323</v>
      </c>
      <c r="J111" s="10" t="n">
        <v>75.29900000000001</v>
      </c>
      <c r="K111" s="10" t="n">
        <v>392.024</v>
      </c>
      <c r="L111" s="8" t="inlineStr">
        <is>
          <t>十部</t>
        </is>
      </c>
      <c r="M111" s="8" t="inlineStr">
        <is>
          <t>阎莉</t>
        </is>
      </c>
      <c r="N111" s="8" t="inlineStr">
        <is>
          <t>2-3年</t>
        </is>
      </c>
      <c r="O111" s="8" t="n"/>
    </row>
    <row r="112">
      <c r="A112" s="5" t="n">
        <v>110</v>
      </c>
      <c r="B112" s="5" t="inlineStr">
        <is>
          <t>华东-安徽</t>
        </is>
      </c>
      <c r="C112" s="5" t="inlineStr">
        <is>
          <t>政府机关</t>
        </is>
      </c>
      <c r="D112" s="6" t="inlineStr">
        <is>
          <t>HT20250306</t>
        </is>
      </c>
      <c r="E112" s="6" t="inlineStr">
        <is>
          <t>20250728</t>
        </is>
      </c>
      <c r="F112" s="10" t="n">
        <v>265.057</v>
      </c>
      <c r="G112" s="8" t="n"/>
      <c r="H112" s="10" t="n">
        <v>52.482</v>
      </c>
      <c r="I112" s="10" t="n">
        <v>212.575</v>
      </c>
      <c r="J112" s="10" t="n">
        <v>61.561</v>
      </c>
      <c r="K112" s="10" t="n">
        <v>151.014</v>
      </c>
      <c r="L112" s="8" t="inlineStr">
        <is>
          <t>九部</t>
        </is>
      </c>
      <c r="M112" s="8" t="inlineStr">
        <is>
          <t>丁磊</t>
        </is>
      </c>
      <c r="N112" s="8" t="inlineStr">
        <is>
          <t>1年以内</t>
        </is>
      </c>
      <c r="O112" s="8" t="n"/>
    </row>
    <row r="113">
      <c r="A113" s="5" t="n">
        <v>111</v>
      </c>
      <c r="B113" s="5" t="inlineStr">
        <is>
          <t>华东-福建</t>
        </is>
      </c>
      <c r="C113" s="5" t="inlineStr">
        <is>
          <t>基层自治组织</t>
        </is>
      </c>
      <c r="D113" s="6" t="inlineStr">
        <is>
          <t>HT20250307</t>
        </is>
      </c>
      <c r="E113" s="6" t="inlineStr">
        <is>
          <t>20260312</t>
        </is>
      </c>
      <c r="F113" s="10" t="n">
        <v>394.532</v>
      </c>
      <c r="G113" s="8" t="n"/>
      <c r="H113" s="10" t="n">
        <v>138.059</v>
      </c>
      <c r="I113" s="10" t="n">
        <v>256.473</v>
      </c>
      <c r="J113" s="10" t="n">
        <v>239.025</v>
      </c>
      <c r="K113" s="10" t="n">
        <v>17.448</v>
      </c>
      <c r="L113" s="8" t="inlineStr">
        <is>
          <t>九部</t>
        </is>
      </c>
      <c r="M113" s="8" t="inlineStr">
        <is>
          <t>魏红</t>
        </is>
      </c>
      <c r="N113" s="8" t="inlineStr">
        <is>
          <t>2-3年</t>
        </is>
      </c>
      <c r="O113" s="8" t="n"/>
    </row>
    <row r="114">
      <c r="A114" s="5" t="n">
        <v>112</v>
      </c>
      <c r="B114" s="5" t="inlineStr">
        <is>
          <t>华中-湖南</t>
        </is>
      </c>
      <c r="C114" s="5" t="inlineStr">
        <is>
          <t>人大政协</t>
        </is>
      </c>
      <c r="D114" s="6" t="inlineStr">
        <is>
          <t>HT20250307</t>
        </is>
      </c>
      <c r="E114" s="6" t="inlineStr">
        <is>
          <t>20260312</t>
        </is>
      </c>
      <c r="F114" s="10" t="n">
        <v>77.523</v>
      </c>
      <c r="G114" s="8" t="n"/>
      <c r="H114" s="10" t="n">
        <v>61.479</v>
      </c>
      <c r="I114" s="10" t="n">
        <v>16.044</v>
      </c>
      <c r="J114" s="10" t="n">
        <v>1.444</v>
      </c>
      <c r="K114" s="10" t="n">
        <v>14.6</v>
      </c>
      <c r="L114" s="8" t="inlineStr">
        <is>
          <t>九部</t>
        </is>
      </c>
      <c r="M114" s="8" t="inlineStr">
        <is>
          <t>魏红</t>
        </is>
      </c>
      <c r="N114" s="8" t="inlineStr">
        <is>
          <t>2-3年</t>
        </is>
      </c>
      <c r="O114" s="8" t="n"/>
    </row>
    <row r="115">
      <c r="A115" s="5" t="n">
        <v>113</v>
      </c>
      <c r="B115" s="5" t="inlineStr">
        <is>
          <t>华南-广东</t>
        </is>
      </c>
      <c r="C115" s="5" t="inlineStr">
        <is>
          <t>政府机关</t>
        </is>
      </c>
      <c r="D115" s="6" t="inlineStr">
        <is>
          <t>HT20250310</t>
        </is>
      </c>
      <c r="E115" s="6" t="inlineStr">
        <is>
          <t>20260317</t>
        </is>
      </c>
      <c r="F115" s="10" t="n">
        <v>936.78</v>
      </c>
      <c r="G115" s="8" t="n"/>
      <c r="H115" s="10" t="n">
        <v>900.543</v>
      </c>
      <c r="I115" s="10" t="n">
        <v>36.237</v>
      </c>
      <c r="J115" s="10" t="n">
        <v>29.024</v>
      </c>
      <c r="K115" s="10" t="n">
        <v>7.213</v>
      </c>
      <c r="L115" s="8" t="inlineStr">
        <is>
          <t>七部</t>
        </is>
      </c>
      <c r="M115" s="8" t="inlineStr">
        <is>
          <t>袁博</t>
        </is>
      </c>
      <c r="N115" s="8" t="inlineStr">
        <is>
          <t>1年以内</t>
        </is>
      </c>
      <c r="O115" s="8" t="n"/>
    </row>
    <row r="116">
      <c r="A116" s="5" t="n">
        <v>114</v>
      </c>
      <c r="B116" s="5" t="inlineStr">
        <is>
          <t>华北-山西</t>
        </is>
      </c>
      <c r="C116" s="5" t="inlineStr">
        <is>
          <t>人大政协</t>
        </is>
      </c>
      <c r="D116" s="6" t="inlineStr">
        <is>
          <t>HT20250310</t>
        </is>
      </c>
      <c r="E116" s="6" t="inlineStr">
        <is>
          <t>20260317</t>
        </is>
      </c>
      <c r="F116" s="10" t="n">
        <v>105.828</v>
      </c>
      <c r="G116" s="8" t="n"/>
      <c r="H116" s="10" t="n">
        <v>103.487</v>
      </c>
      <c r="I116" s="10" t="n">
        <v>2.341</v>
      </c>
      <c r="J116" s="10" t="n">
        <v>1.101</v>
      </c>
      <c r="K116" s="10" t="n">
        <v>1.24</v>
      </c>
      <c r="L116" s="8" t="inlineStr">
        <is>
          <t>三部</t>
        </is>
      </c>
      <c r="M116" s="8" t="inlineStr">
        <is>
          <t>孙艳</t>
        </is>
      </c>
      <c r="N116" s="8" t="inlineStr">
        <is>
          <t>1-2年</t>
        </is>
      </c>
      <c r="O116" s="8" t="n"/>
    </row>
    <row r="117">
      <c r="A117" s="5" t="n">
        <v>115</v>
      </c>
      <c r="B117" s="5" t="inlineStr">
        <is>
          <t>华东-安徽</t>
        </is>
      </c>
      <c r="C117" s="5" t="inlineStr">
        <is>
          <t>国有企业</t>
        </is>
      </c>
      <c r="D117" s="6" t="inlineStr">
        <is>
          <t>HT20250311</t>
        </is>
      </c>
      <c r="E117" s="6" t="inlineStr">
        <is>
          <t>20260406</t>
        </is>
      </c>
      <c r="F117" s="10" t="n">
        <v>1464.005</v>
      </c>
      <c r="G117" s="8" t="n"/>
      <c r="H117" s="10" t="n">
        <v>797.004</v>
      </c>
      <c r="I117" s="10" t="n">
        <v>667.001</v>
      </c>
      <c r="J117" s="10" t="n">
        <v>301.29</v>
      </c>
      <c r="K117" s="10" t="n">
        <v>365.711</v>
      </c>
      <c r="L117" s="8" t="inlineStr">
        <is>
          <t>二部</t>
        </is>
      </c>
      <c r="M117" s="8" t="inlineStr">
        <is>
          <t>周杰</t>
        </is>
      </c>
      <c r="N117" s="8" t="inlineStr">
        <is>
          <t>2-3年</t>
        </is>
      </c>
      <c r="O117" s="8" t="n"/>
    </row>
    <row r="118">
      <c r="A118" s="5" t="n">
        <v>116</v>
      </c>
      <c r="B118" s="5" t="inlineStr">
        <is>
          <t>华北-河北</t>
        </is>
      </c>
      <c r="C118" s="5" t="inlineStr">
        <is>
          <t>国有企业</t>
        </is>
      </c>
      <c r="D118" s="6" t="inlineStr">
        <is>
          <t>HT20250311</t>
        </is>
      </c>
      <c r="E118" s="6" t="inlineStr">
        <is>
          <t>20260406</t>
        </is>
      </c>
      <c r="F118" s="10" t="n">
        <v>469.403</v>
      </c>
      <c r="G118" s="8" t="n"/>
      <c r="H118" s="10" t="n">
        <v>167.406</v>
      </c>
      <c r="I118" s="10" t="n">
        <v>301.997</v>
      </c>
      <c r="J118" s="10" t="n">
        <v>103.552</v>
      </c>
      <c r="K118" s="10" t="n">
        <v>198.445</v>
      </c>
      <c r="L118" s="8" t="inlineStr">
        <is>
          <t>二部</t>
        </is>
      </c>
      <c r="M118" s="8" t="inlineStr">
        <is>
          <t>赵敏</t>
        </is>
      </c>
      <c r="N118" s="8" t="inlineStr">
        <is>
          <t>2-3年</t>
        </is>
      </c>
      <c r="O118" s="8" t="n"/>
    </row>
    <row r="119">
      <c r="A119" s="5" t="n">
        <v>117</v>
      </c>
      <c r="B119" s="5" t="inlineStr">
        <is>
          <t>华东-安徽</t>
        </is>
      </c>
      <c r="C119" s="5" t="inlineStr">
        <is>
          <t>基层自治组织</t>
        </is>
      </c>
      <c r="D119" s="6" t="inlineStr">
        <is>
          <t>HT20250311</t>
        </is>
      </c>
      <c r="E119" s="6" t="inlineStr">
        <is>
          <t>20260406</t>
        </is>
      </c>
      <c r="F119" s="10" t="n">
        <v>142.419</v>
      </c>
      <c r="G119" s="8" t="n"/>
      <c r="H119" s="10" t="n">
        <v>48.251</v>
      </c>
      <c r="I119" s="10" t="n">
        <v>94.16800000000001</v>
      </c>
      <c r="J119" s="10" t="n">
        <v>35.277</v>
      </c>
      <c r="K119" s="10" t="n">
        <v>58.891</v>
      </c>
      <c r="L119" s="8" t="inlineStr">
        <is>
          <t>五部</t>
        </is>
      </c>
      <c r="M119" s="8" t="inlineStr">
        <is>
          <t>韩梅</t>
        </is>
      </c>
      <c r="N119" s="8" t="inlineStr">
        <is>
          <t>1年以内</t>
        </is>
      </c>
      <c r="O119" s="8" t="n"/>
    </row>
    <row r="120">
      <c r="A120" s="5" t="n">
        <v>118</v>
      </c>
      <c r="B120" s="5" t="inlineStr">
        <is>
          <t>西南-重庆</t>
        </is>
      </c>
      <c r="C120" s="5" t="inlineStr">
        <is>
          <t>政府机关</t>
        </is>
      </c>
      <c r="D120" s="6" t="inlineStr">
        <is>
          <t>HT20250311</t>
        </is>
      </c>
      <c r="E120" s="6" t="inlineStr">
        <is>
          <t>20260406</t>
        </is>
      </c>
      <c r="F120" s="10" t="n">
        <v>718.769</v>
      </c>
      <c r="G120" s="8" t="n"/>
      <c r="H120" s="10" t="n">
        <v>33.377</v>
      </c>
      <c r="I120" s="10" t="n">
        <v>685.3920000000001</v>
      </c>
      <c r="J120" s="10" t="n">
        <v>575.116</v>
      </c>
      <c r="K120" s="10" t="n">
        <v>110.276</v>
      </c>
      <c r="L120" s="8" t="inlineStr">
        <is>
          <t>十部</t>
        </is>
      </c>
      <c r="M120" s="8" t="inlineStr">
        <is>
          <t>段勇</t>
        </is>
      </c>
      <c r="N120" s="8" t="inlineStr">
        <is>
          <t>1-2年</t>
        </is>
      </c>
      <c r="O120" s="8" t="n"/>
    </row>
    <row r="121">
      <c r="A121" s="5" t="n">
        <v>119</v>
      </c>
      <c r="B121" s="5" t="inlineStr">
        <is>
          <t>华南-广西</t>
        </is>
      </c>
      <c r="C121" s="5" t="inlineStr">
        <is>
          <t>基层自治组织</t>
        </is>
      </c>
      <c r="D121" s="6" t="inlineStr">
        <is>
          <t>HT20250313</t>
        </is>
      </c>
      <c r="E121" s="6" t="inlineStr">
        <is>
          <t>20260405</t>
        </is>
      </c>
      <c r="F121" s="10" t="n">
        <v>4401.178</v>
      </c>
      <c r="G121" s="8" t="n"/>
      <c r="H121" s="10" t="n">
        <v>2399.49</v>
      </c>
      <c r="I121" s="10" t="n">
        <v>2001.688</v>
      </c>
      <c r="J121" s="10" t="n">
        <v>1650.849</v>
      </c>
      <c r="K121" s="10" t="n">
        <v>350.839</v>
      </c>
      <c r="L121" s="8" t="inlineStr">
        <is>
          <t>六部</t>
        </is>
      </c>
      <c r="M121" s="8" t="inlineStr">
        <is>
          <t>程琳</t>
        </is>
      </c>
      <c r="N121" s="8" t="inlineStr">
        <is>
          <t>1-2年</t>
        </is>
      </c>
      <c r="O121" s="8" t="n"/>
    </row>
    <row r="122">
      <c r="A122" s="5" t="n">
        <v>120</v>
      </c>
      <c r="B122" s="5" t="inlineStr">
        <is>
          <t>华南-海南</t>
        </is>
      </c>
      <c r="C122" s="5" t="inlineStr">
        <is>
          <t>人大政协</t>
        </is>
      </c>
      <c r="D122" s="6" t="inlineStr">
        <is>
          <t>HT20250313</t>
        </is>
      </c>
      <c r="E122" s="6" t="inlineStr">
        <is>
          <t>20260405</t>
        </is>
      </c>
      <c r="F122" s="10" t="n">
        <v>406.433</v>
      </c>
      <c r="G122" s="8" t="n"/>
      <c r="H122" s="10" t="n">
        <v>227.796</v>
      </c>
      <c r="I122" s="10" t="n">
        <v>178.637</v>
      </c>
      <c r="J122" s="10" t="n">
        <v>70.13200000000001</v>
      </c>
      <c r="K122" s="10" t="n">
        <v>108.505</v>
      </c>
      <c r="L122" s="8" t="inlineStr">
        <is>
          <t>九部</t>
        </is>
      </c>
      <c r="M122" s="8" t="inlineStr">
        <is>
          <t>蒋涛</t>
        </is>
      </c>
      <c r="N122" s="8" t="inlineStr">
        <is>
          <t>1-2年</t>
        </is>
      </c>
      <c r="O122" s="8" t="n"/>
    </row>
    <row r="123">
      <c r="A123" s="5" t="n">
        <v>121</v>
      </c>
      <c r="B123" s="5" t="inlineStr">
        <is>
          <t>华南-香港</t>
        </is>
      </c>
      <c r="C123" s="5" t="inlineStr">
        <is>
          <t>基层自治组织</t>
        </is>
      </c>
      <c r="D123" s="6" t="inlineStr">
        <is>
          <t>HT20250317</t>
        </is>
      </c>
      <c r="E123" s="6" t="inlineStr">
        <is>
          <t>20260801</t>
        </is>
      </c>
      <c r="F123" s="10" t="n">
        <v>639.92</v>
      </c>
      <c r="G123" s="8" t="n"/>
      <c r="H123" s="10" t="n">
        <v>225.355</v>
      </c>
      <c r="I123" s="10" t="n">
        <v>414.565</v>
      </c>
      <c r="J123" s="10" t="n">
        <v>136.25</v>
      </c>
      <c r="K123" s="10" t="n">
        <v>278.315</v>
      </c>
      <c r="L123" s="8" t="inlineStr">
        <is>
          <t>四部</t>
        </is>
      </c>
      <c r="M123" s="8" t="inlineStr">
        <is>
          <t>郭鹏</t>
        </is>
      </c>
      <c r="N123" s="8" t="inlineStr">
        <is>
          <t>1年以内</t>
        </is>
      </c>
      <c r="O123" s="8" t="n"/>
    </row>
    <row r="124">
      <c r="A124" s="5" t="n">
        <v>122</v>
      </c>
      <c r="B124" s="5" t="inlineStr">
        <is>
          <t>华中-湖北</t>
        </is>
      </c>
      <c r="C124" s="5" t="inlineStr">
        <is>
          <t>群团组织</t>
        </is>
      </c>
      <c r="D124" s="6" t="inlineStr">
        <is>
          <t>HT20250318</t>
        </is>
      </c>
      <c r="E124" s="6" t="inlineStr">
        <is>
          <t>20260708</t>
        </is>
      </c>
      <c r="F124" s="10" t="n">
        <v>182.406</v>
      </c>
      <c r="G124" s="8" t="n"/>
      <c r="H124" s="10" t="n">
        <v>176.664</v>
      </c>
      <c r="I124" s="10" t="n">
        <v>5.742</v>
      </c>
      <c r="J124" s="10" t="n">
        <v>2.093</v>
      </c>
      <c r="K124" s="10" t="n">
        <v>3.649</v>
      </c>
      <c r="L124" s="8" t="inlineStr">
        <is>
          <t>十部</t>
        </is>
      </c>
      <c r="M124" s="8" t="inlineStr">
        <is>
          <t>薛峰</t>
        </is>
      </c>
      <c r="N124" s="8" t="inlineStr">
        <is>
          <t>2-3年</t>
        </is>
      </c>
      <c r="O124" s="8" t="n"/>
    </row>
    <row r="125">
      <c r="A125" s="5" t="n">
        <v>123</v>
      </c>
      <c r="B125" s="5" t="inlineStr">
        <is>
          <t>华南-广西</t>
        </is>
      </c>
      <c r="C125" s="5" t="inlineStr">
        <is>
          <t>群团组织</t>
        </is>
      </c>
      <c r="D125" s="6" t="inlineStr">
        <is>
          <t>HT20250320</t>
        </is>
      </c>
      <c r="E125" s="6" t="inlineStr">
        <is>
          <t>20260115</t>
        </is>
      </c>
      <c r="F125" s="10" t="n">
        <v>2955.233</v>
      </c>
      <c r="G125" s="8" t="n"/>
      <c r="H125" s="10" t="n">
        <v>2101.41</v>
      </c>
      <c r="I125" s="10" t="n">
        <v>853.823</v>
      </c>
      <c r="J125" s="10" t="n">
        <v>261.477</v>
      </c>
      <c r="K125" s="10" t="n">
        <v>592.346</v>
      </c>
      <c r="L125" s="8" t="inlineStr">
        <is>
          <t>五部</t>
        </is>
      </c>
      <c r="M125" s="8" t="inlineStr">
        <is>
          <t>宋佳</t>
        </is>
      </c>
      <c r="N125" s="8" t="inlineStr">
        <is>
          <t>1-2年</t>
        </is>
      </c>
      <c r="O125" s="8" t="n"/>
    </row>
    <row r="126">
      <c r="A126" s="5" t="n">
        <v>124</v>
      </c>
      <c r="B126" s="5" t="inlineStr">
        <is>
          <t>华南-广西</t>
        </is>
      </c>
      <c r="C126" s="5" t="inlineStr">
        <is>
          <t>人大政协</t>
        </is>
      </c>
      <c r="D126" s="6" t="inlineStr">
        <is>
          <t>HT20250320</t>
        </is>
      </c>
      <c r="E126" s="6" t="inlineStr">
        <is>
          <t>20260115</t>
        </is>
      </c>
      <c r="F126" s="10" t="n">
        <v>480.505</v>
      </c>
      <c r="G126" s="8" t="n"/>
      <c r="H126" s="10" t="n">
        <v>387.41</v>
      </c>
      <c r="I126" s="10" t="n">
        <v>93.095</v>
      </c>
      <c r="J126" s="10" t="n">
        <v>72.51300000000001</v>
      </c>
      <c r="K126" s="10" t="n">
        <v>20.582</v>
      </c>
      <c r="L126" s="8" t="inlineStr">
        <is>
          <t>四部</t>
        </is>
      </c>
      <c r="M126" s="8" t="inlineStr">
        <is>
          <t>林燕</t>
        </is>
      </c>
      <c r="N126" s="8" t="inlineStr">
        <is>
          <t>1-2年</t>
        </is>
      </c>
      <c r="O126" s="8" t="n"/>
    </row>
    <row r="127">
      <c r="A127" s="5" t="n">
        <v>125</v>
      </c>
      <c r="B127" s="5" t="inlineStr">
        <is>
          <t>华南-广东</t>
        </is>
      </c>
      <c r="C127" s="5" t="inlineStr">
        <is>
          <t>监察司法机关</t>
        </is>
      </c>
      <c r="D127" s="6" t="inlineStr">
        <is>
          <t>HT20250323</t>
        </is>
      </c>
      <c r="E127" s="6" t="inlineStr">
        <is>
          <t>20260629</t>
        </is>
      </c>
      <c r="F127" s="10" t="n">
        <v>414.379</v>
      </c>
      <c r="G127" s="8" t="n"/>
      <c r="H127" s="10" t="n">
        <v>192.689</v>
      </c>
      <c r="I127" s="10" t="n">
        <v>221.69</v>
      </c>
      <c r="J127" s="10" t="n">
        <v>182.971</v>
      </c>
      <c r="K127" s="10" t="n">
        <v>38.719</v>
      </c>
      <c r="L127" s="8" t="inlineStr">
        <is>
          <t>二部</t>
        </is>
      </c>
      <c r="M127" s="8" t="inlineStr">
        <is>
          <t>黄强</t>
        </is>
      </c>
      <c r="N127" s="8" t="inlineStr">
        <is>
          <t>2-3年</t>
        </is>
      </c>
      <c r="O127" s="8" t="n"/>
    </row>
    <row r="128">
      <c r="A128" s="5" t="n">
        <v>126</v>
      </c>
      <c r="B128" s="5" t="inlineStr">
        <is>
          <t>东北-辽宁</t>
        </is>
      </c>
      <c r="C128" s="5" t="inlineStr">
        <is>
          <t>基层自治组织</t>
        </is>
      </c>
      <c r="D128" s="6" t="inlineStr">
        <is>
          <t>HT20250323</t>
        </is>
      </c>
      <c r="E128" s="6" t="inlineStr">
        <is>
          <t>20260629</t>
        </is>
      </c>
      <c r="F128" s="10" t="n">
        <v>571.256</v>
      </c>
      <c r="G128" s="8" t="n"/>
      <c r="H128" s="10" t="n">
        <v>536.524</v>
      </c>
      <c r="I128" s="10" t="n">
        <v>34.732</v>
      </c>
      <c r="J128" s="10" t="n">
        <v>1.349</v>
      </c>
      <c r="K128" s="10" t="n">
        <v>33.383</v>
      </c>
      <c r="L128" s="8" t="inlineStr">
        <is>
          <t>一部</t>
        </is>
      </c>
      <c r="M128" s="8" t="inlineStr">
        <is>
          <t>李娜</t>
        </is>
      </c>
      <c r="N128" s="8" t="inlineStr">
        <is>
          <t>1年以内</t>
        </is>
      </c>
      <c r="O128" s="8" t="n"/>
    </row>
    <row r="129">
      <c r="A129" s="5" t="n">
        <v>127</v>
      </c>
      <c r="B129" s="5" t="inlineStr">
        <is>
          <t>华东-台湾</t>
        </is>
      </c>
      <c r="C129" s="5" t="inlineStr">
        <is>
          <t>群团组织</t>
        </is>
      </c>
      <c r="D129" s="6" t="inlineStr">
        <is>
          <t>HT20250323</t>
        </is>
      </c>
      <c r="E129" s="6" t="inlineStr">
        <is>
          <t>20260629</t>
        </is>
      </c>
      <c r="F129" s="10" t="n">
        <v>857.85</v>
      </c>
      <c r="G129" s="8" t="n"/>
      <c r="H129" s="10" t="n">
        <v>518.701</v>
      </c>
      <c r="I129" s="10" t="n">
        <v>339.149</v>
      </c>
      <c r="J129" s="10" t="n">
        <v>144.417</v>
      </c>
      <c r="K129" s="10" t="n">
        <v>194.732</v>
      </c>
      <c r="L129" s="8" t="inlineStr">
        <is>
          <t>一部</t>
        </is>
      </c>
      <c r="M129" s="8" t="inlineStr">
        <is>
          <t>刘洋</t>
        </is>
      </c>
      <c r="N129" s="8" t="inlineStr">
        <is>
          <t>1年以内</t>
        </is>
      </c>
      <c r="O129" s="8" t="n"/>
    </row>
    <row r="130">
      <c r="A130" s="5" t="n">
        <v>128</v>
      </c>
      <c r="B130" s="5" t="inlineStr">
        <is>
          <t>华北-河北</t>
        </is>
      </c>
      <c r="C130" s="5" t="inlineStr">
        <is>
          <t>事业单位</t>
        </is>
      </c>
      <c r="D130" s="6" t="inlineStr">
        <is>
          <t>HT20250325</t>
        </is>
      </c>
      <c r="E130" s="6" t="inlineStr">
        <is>
          <t>20260702</t>
        </is>
      </c>
      <c r="F130" s="10" t="n">
        <v>55.016</v>
      </c>
      <c r="G130" s="8" t="n"/>
      <c r="H130" s="10" t="n">
        <v>20.713</v>
      </c>
      <c r="I130" s="10" t="n">
        <v>34.303</v>
      </c>
      <c r="J130" s="10" t="n">
        <v>31.407</v>
      </c>
      <c r="K130" s="10" t="n">
        <v>2.896</v>
      </c>
      <c r="L130" s="8" t="inlineStr">
        <is>
          <t>四部</t>
        </is>
      </c>
      <c r="M130" s="8" t="inlineStr">
        <is>
          <t>何萍</t>
        </is>
      </c>
      <c r="N130" s="8" t="inlineStr">
        <is>
          <t>1年以内</t>
        </is>
      </c>
      <c r="O130" s="8" t="n"/>
    </row>
    <row r="131">
      <c r="A131" s="5" t="n">
        <v>129</v>
      </c>
      <c r="B131" s="5" t="inlineStr">
        <is>
          <t>东北-黑龙江</t>
        </is>
      </c>
      <c r="C131" s="5" t="inlineStr">
        <is>
          <t>监察司法机关</t>
        </is>
      </c>
      <c r="D131" s="6" t="inlineStr">
        <is>
          <t>HT20250325</t>
        </is>
      </c>
      <c r="E131" s="6" t="inlineStr">
        <is>
          <t>20260702</t>
        </is>
      </c>
      <c r="F131" s="10" t="n">
        <v>310.35</v>
      </c>
      <c r="G131" s="8" t="n"/>
      <c r="H131" s="10" t="n">
        <v>304.581</v>
      </c>
      <c r="I131" s="10" t="n">
        <v>5.769</v>
      </c>
      <c r="J131" s="10" t="n">
        <v>0.982</v>
      </c>
      <c r="K131" s="10" t="n">
        <v>4.787</v>
      </c>
      <c r="L131" s="8" t="inlineStr">
        <is>
          <t>八部</t>
        </is>
      </c>
      <c r="M131" s="8" t="inlineStr">
        <is>
          <t>曾辉</t>
        </is>
      </c>
      <c r="N131" s="8" t="inlineStr">
        <is>
          <t>1-2年</t>
        </is>
      </c>
      <c r="O131" s="8" t="n"/>
    </row>
    <row r="132">
      <c r="A132" s="5" t="n">
        <v>130</v>
      </c>
      <c r="B132" s="5" t="inlineStr">
        <is>
          <t>华东-福建</t>
        </is>
      </c>
      <c r="C132" s="5" t="inlineStr">
        <is>
          <t>国有企业</t>
        </is>
      </c>
      <c r="D132" s="6" t="inlineStr">
        <is>
          <t>HT20250325</t>
        </is>
      </c>
      <c r="E132" s="6" t="inlineStr">
        <is>
          <t>20260702</t>
        </is>
      </c>
      <c r="F132" s="10" t="n">
        <v>508.389</v>
      </c>
      <c r="G132" s="8" t="n"/>
      <c r="H132" s="10" t="n">
        <v>21.854</v>
      </c>
      <c r="I132" s="10" t="n">
        <v>486.535</v>
      </c>
      <c r="J132" s="10" t="n">
        <v>201.177</v>
      </c>
      <c r="K132" s="10" t="n">
        <v>285.358</v>
      </c>
      <c r="L132" s="8" t="inlineStr">
        <is>
          <t>二部</t>
        </is>
      </c>
      <c r="M132" s="8" t="inlineStr">
        <is>
          <t>赵敏</t>
        </is>
      </c>
      <c r="N132" s="8" t="inlineStr">
        <is>
          <t>1-2年</t>
        </is>
      </c>
      <c r="O132" s="8" t="n"/>
    </row>
    <row r="133">
      <c r="A133" s="5" t="n">
        <v>131</v>
      </c>
      <c r="B133" s="5" t="inlineStr">
        <is>
          <t>西北-甘肃</t>
        </is>
      </c>
      <c r="C133" s="5" t="inlineStr">
        <is>
          <t>党委机关</t>
        </is>
      </c>
      <c r="D133" s="6" t="inlineStr">
        <is>
          <t>HT20250325</t>
        </is>
      </c>
      <c r="E133" s="6" t="inlineStr">
        <is>
          <t>20260702</t>
        </is>
      </c>
      <c r="F133" s="10" t="n">
        <v>679.355</v>
      </c>
      <c r="G133" s="8" t="n"/>
      <c r="H133" s="10" t="n">
        <v>577.986</v>
      </c>
      <c r="I133" s="10" t="n">
        <v>101.369</v>
      </c>
      <c r="J133" s="10" t="n">
        <v>86.023</v>
      </c>
      <c r="K133" s="10" t="n">
        <v>15.346</v>
      </c>
      <c r="L133" s="8" t="inlineStr">
        <is>
          <t>一部</t>
        </is>
      </c>
      <c r="M133" s="8" t="inlineStr">
        <is>
          <t>张伟</t>
        </is>
      </c>
      <c r="N133" s="8" t="inlineStr">
        <is>
          <t>2-3年</t>
        </is>
      </c>
      <c r="O133" s="8" t="n"/>
    </row>
    <row r="134">
      <c r="A134" s="5" t="n">
        <v>132</v>
      </c>
      <c r="B134" s="5" t="inlineStr">
        <is>
          <t>华北-河北</t>
        </is>
      </c>
      <c r="C134" s="5" t="inlineStr">
        <is>
          <t>基层自治组织</t>
        </is>
      </c>
      <c r="D134" s="6" t="inlineStr">
        <is>
          <t>HT20250325</t>
        </is>
      </c>
      <c r="E134" s="6" t="inlineStr">
        <is>
          <t>20260702</t>
        </is>
      </c>
      <c r="F134" s="10" t="n">
        <v>986.141</v>
      </c>
      <c r="G134" s="8" t="n"/>
      <c r="H134" s="10" t="n">
        <v>620.2190000000001</v>
      </c>
      <c r="I134" s="10" t="n">
        <v>365.922</v>
      </c>
      <c r="J134" s="10" t="n">
        <v>72.35599999999999</v>
      </c>
      <c r="K134" s="10" t="n">
        <v>293.566</v>
      </c>
      <c r="L134" s="8" t="inlineStr">
        <is>
          <t>八部</t>
        </is>
      </c>
      <c r="M134" s="8" t="inlineStr">
        <is>
          <t>吕强</t>
        </is>
      </c>
      <c r="N134" s="8" t="inlineStr">
        <is>
          <t>1-2年</t>
        </is>
      </c>
      <c r="O134" s="8" t="n"/>
    </row>
    <row r="135">
      <c r="A135" s="5" t="n">
        <v>133</v>
      </c>
      <c r="B135" s="5" t="inlineStr">
        <is>
          <t>西北-甘肃</t>
        </is>
      </c>
      <c r="C135" s="5" t="inlineStr">
        <is>
          <t>基层自治组织</t>
        </is>
      </c>
      <c r="D135" s="6" t="inlineStr">
        <is>
          <t>HT20250326</t>
        </is>
      </c>
      <c r="E135" s="6" t="inlineStr">
        <is>
          <t>20250727</t>
        </is>
      </c>
      <c r="F135" s="10" t="n">
        <v>974.504</v>
      </c>
      <c r="G135" s="8" t="n"/>
      <c r="H135" s="10" t="n">
        <v>42.503</v>
      </c>
      <c r="I135" s="10" t="n">
        <v>932.001</v>
      </c>
      <c r="J135" s="10" t="n">
        <v>774.609</v>
      </c>
      <c r="K135" s="10" t="n">
        <v>157.392</v>
      </c>
      <c r="L135" s="8" t="inlineStr">
        <is>
          <t>八部</t>
        </is>
      </c>
      <c r="M135" s="8" t="inlineStr">
        <is>
          <t>卢俊</t>
        </is>
      </c>
      <c r="N135" s="8" t="inlineStr">
        <is>
          <t>1年以内</t>
        </is>
      </c>
      <c r="O135" s="8" t="n"/>
    </row>
    <row r="136">
      <c r="A136" s="5" t="n">
        <v>134</v>
      </c>
      <c r="B136" s="5" t="inlineStr">
        <is>
          <t>西南-贵州</t>
        </is>
      </c>
      <c r="C136" s="5" t="inlineStr">
        <is>
          <t>群团组织</t>
        </is>
      </c>
      <c r="D136" s="6" t="inlineStr">
        <is>
          <t>HT20250326</t>
        </is>
      </c>
      <c r="E136" s="6" t="inlineStr">
        <is>
          <t>20250727</t>
        </is>
      </c>
      <c r="F136" s="10" t="n">
        <v>61.727</v>
      </c>
      <c r="G136" s="8" t="n"/>
      <c r="H136" s="10" t="n">
        <v>49.427</v>
      </c>
      <c r="I136" s="10" t="n">
        <v>12.3</v>
      </c>
      <c r="J136" s="10" t="n">
        <v>9.619</v>
      </c>
      <c r="K136" s="10" t="n">
        <v>2.681</v>
      </c>
      <c r="L136" s="8" t="inlineStr">
        <is>
          <t>十部</t>
        </is>
      </c>
      <c r="M136" s="8" t="inlineStr">
        <is>
          <t>雷声</t>
        </is>
      </c>
      <c r="N136" s="8" t="inlineStr">
        <is>
          <t>1-2年</t>
        </is>
      </c>
      <c r="O136" s="8" t="n"/>
    </row>
    <row r="137">
      <c r="A137" s="5" t="n">
        <v>135</v>
      </c>
      <c r="B137" s="5" t="inlineStr">
        <is>
          <t>西北-宁夏</t>
        </is>
      </c>
      <c r="C137" s="5" t="inlineStr">
        <is>
          <t>监察司法机关</t>
        </is>
      </c>
      <c r="D137" s="6" t="inlineStr">
        <is>
          <t>HT20250326</t>
        </is>
      </c>
      <c r="E137" s="6" t="inlineStr">
        <is>
          <t>20250727</t>
        </is>
      </c>
      <c r="F137" s="10" t="n">
        <v>389.087</v>
      </c>
      <c r="G137" s="8" t="n"/>
      <c r="H137" s="10" t="n">
        <v>275.295</v>
      </c>
      <c r="I137" s="10" t="n">
        <v>113.792</v>
      </c>
      <c r="J137" s="10" t="n">
        <v>69.566</v>
      </c>
      <c r="K137" s="10" t="n">
        <v>44.226</v>
      </c>
      <c r="L137" s="8" t="inlineStr">
        <is>
          <t>三部</t>
        </is>
      </c>
      <c r="M137" s="8" t="inlineStr">
        <is>
          <t>马超</t>
        </is>
      </c>
      <c r="N137" s="8" t="inlineStr">
        <is>
          <t>1年以内</t>
        </is>
      </c>
      <c r="O137" s="8" t="n"/>
    </row>
    <row r="138">
      <c r="A138" s="5" t="n">
        <v>136</v>
      </c>
      <c r="B138" s="5" t="inlineStr">
        <is>
          <t>华北-河北</t>
        </is>
      </c>
      <c r="C138" s="5" t="inlineStr">
        <is>
          <t>政府机关</t>
        </is>
      </c>
      <c r="D138" s="6" t="inlineStr">
        <is>
          <t>HT20250327</t>
        </is>
      </c>
      <c r="E138" s="6" t="inlineStr">
        <is>
          <t>20260721</t>
        </is>
      </c>
      <c r="F138" s="10" t="n">
        <v>347.477</v>
      </c>
      <c r="G138" s="8" t="n"/>
      <c r="H138" s="10" t="n">
        <v>4.614</v>
      </c>
      <c r="I138" s="10" t="n">
        <v>342.863</v>
      </c>
      <c r="J138" s="10" t="n">
        <v>167.396</v>
      </c>
      <c r="K138" s="10" t="n">
        <v>175.467</v>
      </c>
      <c r="L138" s="8" t="inlineStr">
        <is>
          <t>五部</t>
        </is>
      </c>
      <c r="M138" s="8" t="inlineStr">
        <is>
          <t>谢峰</t>
        </is>
      </c>
      <c r="N138" s="8" t="inlineStr">
        <is>
          <t>2-3年</t>
        </is>
      </c>
      <c r="O138" s="8" t="n"/>
    </row>
    <row r="139">
      <c r="A139" s="5" t="n">
        <v>137</v>
      </c>
      <c r="B139" s="5" t="inlineStr">
        <is>
          <t>西北-青海</t>
        </is>
      </c>
      <c r="C139" s="5" t="inlineStr">
        <is>
          <t>监察司法机关</t>
        </is>
      </c>
      <c r="D139" s="6" t="inlineStr">
        <is>
          <t>HT20250328</t>
        </is>
      </c>
      <c r="E139" s="6" t="inlineStr">
        <is>
          <t>20260603</t>
        </is>
      </c>
      <c r="F139" s="10" t="n">
        <v>197.044</v>
      </c>
      <c r="G139" s="8" t="n"/>
      <c r="H139" s="10" t="n">
        <v>10.565</v>
      </c>
      <c r="I139" s="10" t="n">
        <v>186.479</v>
      </c>
      <c r="J139" s="10" t="n">
        <v>25.2</v>
      </c>
      <c r="K139" s="10" t="n">
        <v>161.279</v>
      </c>
      <c r="L139" s="8" t="inlineStr">
        <is>
          <t>六部</t>
        </is>
      </c>
      <c r="M139" s="8" t="inlineStr">
        <is>
          <t>冯倩</t>
        </is>
      </c>
      <c r="N139" s="8" t="inlineStr">
        <is>
          <t>1-2年</t>
        </is>
      </c>
      <c r="O139" s="8" t="n"/>
    </row>
    <row r="140">
      <c r="A140" s="5" t="n">
        <v>138</v>
      </c>
      <c r="B140" s="5" t="inlineStr">
        <is>
          <t>华东-江西</t>
        </is>
      </c>
      <c r="C140" s="5" t="inlineStr">
        <is>
          <t>党委机关</t>
        </is>
      </c>
      <c r="D140" s="6" t="inlineStr">
        <is>
          <t>HT20250330</t>
        </is>
      </c>
      <c r="E140" s="6" t="inlineStr">
        <is>
          <t>20260612</t>
        </is>
      </c>
      <c r="F140" s="10" t="n">
        <v>325.189</v>
      </c>
      <c r="G140" s="8" t="n"/>
      <c r="H140" s="10" t="n">
        <v>172.718</v>
      </c>
      <c r="I140" s="10" t="n">
        <v>152.471</v>
      </c>
      <c r="J140" s="10" t="n">
        <v>53.526</v>
      </c>
      <c r="K140" s="10" t="n">
        <v>98.94499999999999</v>
      </c>
      <c r="L140" s="8" t="inlineStr">
        <is>
          <t>六部</t>
        </is>
      </c>
      <c r="M140" s="8" t="inlineStr">
        <is>
          <t>程琳</t>
        </is>
      </c>
      <c r="N140" s="8" t="inlineStr">
        <is>
          <t>2-3年</t>
        </is>
      </c>
      <c r="O140" s="8" t="n"/>
    </row>
    <row r="141">
      <c r="A141" s="5" t="n">
        <v>139</v>
      </c>
      <c r="B141" s="5" t="inlineStr">
        <is>
          <t>华东-江苏</t>
        </is>
      </c>
      <c r="C141" s="5" t="inlineStr">
        <is>
          <t>人大政协</t>
        </is>
      </c>
      <c r="D141" s="6" t="inlineStr">
        <is>
          <t>HT20250330</t>
        </is>
      </c>
      <c r="E141" s="6" t="inlineStr">
        <is>
          <t>20260612</t>
        </is>
      </c>
      <c r="F141" s="10" t="n">
        <v>4307.765</v>
      </c>
      <c r="G141" s="8" t="n"/>
      <c r="H141" s="10" t="n">
        <v>3827.438</v>
      </c>
      <c r="I141" s="10" t="n">
        <v>480.327</v>
      </c>
      <c r="J141" s="10" t="n">
        <v>395.79</v>
      </c>
      <c r="K141" s="10" t="n">
        <v>84.53700000000001</v>
      </c>
      <c r="L141" s="8" t="inlineStr">
        <is>
          <t>五部</t>
        </is>
      </c>
      <c r="M141" s="8" t="inlineStr">
        <is>
          <t>郑浩</t>
        </is>
      </c>
      <c r="N141" s="8" t="inlineStr">
        <is>
          <t>1-2年</t>
        </is>
      </c>
      <c r="O141" s="8" t="n"/>
    </row>
    <row r="142">
      <c r="A142" s="5" t="n">
        <v>140</v>
      </c>
      <c r="B142" s="5" t="inlineStr">
        <is>
          <t>华南-澳门</t>
        </is>
      </c>
      <c r="C142" s="5" t="inlineStr">
        <is>
          <t>监察司法机关</t>
        </is>
      </c>
      <c r="D142" s="6" t="inlineStr">
        <is>
          <t>HT20250331</t>
        </is>
      </c>
      <c r="E142" s="6" t="inlineStr">
        <is>
          <t>20250715</t>
        </is>
      </c>
      <c r="F142" s="10" t="n">
        <v>612.742</v>
      </c>
      <c r="G142" s="8" t="n"/>
      <c r="H142" s="10" t="n">
        <v>439.638</v>
      </c>
      <c r="I142" s="10" t="n">
        <v>173.104</v>
      </c>
      <c r="J142" s="10" t="n">
        <v>17.166</v>
      </c>
      <c r="K142" s="10" t="n">
        <v>155.938</v>
      </c>
      <c r="L142" s="8" t="inlineStr">
        <is>
          <t>一部</t>
        </is>
      </c>
      <c r="M142" s="8" t="inlineStr">
        <is>
          <t>张伟</t>
        </is>
      </c>
      <c r="N142" s="8" t="inlineStr">
        <is>
          <t>2-3年</t>
        </is>
      </c>
      <c r="O142" s="8" t="n"/>
    </row>
    <row r="143">
      <c r="A143" s="5" t="n">
        <v>141</v>
      </c>
      <c r="B143" s="5" t="inlineStr">
        <is>
          <t>东北-辽宁</t>
        </is>
      </c>
      <c r="C143" s="5" t="inlineStr">
        <is>
          <t>政府机关</t>
        </is>
      </c>
      <c r="D143" s="6" t="inlineStr">
        <is>
          <t>HT20250401</t>
        </is>
      </c>
      <c r="E143" s="6" t="inlineStr">
        <is>
          <t>20260605</t>
        </is>
      </c>
      <c r="F143" s="10" t="n">
        <v>2946.638</v>
      </c>
      <c r="G143" s="8" t="n"/>
      <c r="H143" s="10" t="n">
        <v>2815.512</v>
      </c>
      <c r="I143" s="10" t="n">
        <v>131.126</v>
      </c>
      <c r="J143" s="10" t="n">
        <v>119.14</v>
      </c>
      <c r="K143" s="10" t="n">
        <v>11.986</v>
      </c>
      <c r="L143" s="8" t="inlineStr">
        <is>
          <t>六部</t>
        </is>
      </c>
      <c r="M143" s="8" t="inlineStr">
        <is>
          <t>曹阳</t>
        </is>
      </c>
      <c r="N143" s="8" t="inlineStr">
        <is>
          <t>2-3年</t>
        </is>
      </c>
      <c r="O143" s="8" t="n"/>
    </row>
    <row r="144">
      <c r="A144" s="5" t="n">
        <v>142</v>
      </c>
      <c r="B144" s="5" t="inlineStr">
        <is>
          <t>华中-湖南</t>
        </is>
      </c>
      <c r="C144" s="5" t="inlineStr">
        <is>
          <t>事业单位</t>
        </is>
      </c>
      <c r="D144" s="6" t="inlineStr">
        <is>
          <t>HT20250401</t>
        </is>
      </c>
      <c r="E144" s="6" t="inlineStr">
        <is>
          <t>20260605</t>
        </is>
      </c>
      <c r="F144" s="10" t="n">
        <v>818.822</v>
      </c>
      <c r="G144" s="8" t="n"/>
      <c r="H144" s="10" t="n">
        <v>717.771</v>
      </c>
      <c r="I144" s="10" t="n">
        <v>101.051</v>
      </c>
      <c r="J144" s="10" t="n">
        <v>2.71</v>
      </c>
      <c r="K144" s="10" t="n">
        <v>98.34099999999999</v>
      </c>
      <c r="L144" s="8" t="inlineStr">
        <is>
          <t>二部</t>
        </is>
      </c>
      <c r="M144" s="8" t="inlineStr">
        <is>
          <t>赵敏</t>
        </is>
      </c>
      <c r="N144" s="8" t="inlineStr">
        <is>
          <t>2-3年</t>
        </is>
      </c>
      <c r="O144" s="8" t="n"/>
    </row>
    <row r="145">
      <c r="A145" s="5" t="n">
        <v>143</v>
      </c>
      <c r="B145" s="5" t="inlineStr">
        <is>
          <t>西北-新疆</t>
        </is>
      </c>
      <c r="C145" s="5" t="inlineStr">
        <is>
          <t>国有企业</t>
        </is>
      </c>
      <c r="D145" s="6" t="inlineStr">
        <is>
          <t>HT20250402</t>
        </is>
      </c>
      <c r="E145" s="6" t="inlineStr">
        <is>
          <t>20260418</t>
        </is>
      </c>
      <c r="F145" s="10" t="n">
        <v>24.642</v>
      </c>
      <c r="G145" s="8" t="n"/>
      <c r="H145" s="10" t="n">
        <v>13.775</v>
      </c>
      <c r="I145" s="10" t="n">
        <v>10.867</v>
      </c>
      <c r="J145" s="10" t="n">
        <v>0.738</v>
      </c>
      <c r="K145" s="10" t="n">
        <v>10.129</v>
      </c>
      <c r="L145" s="8" t="inlineStr">
        <is>
          <t>三部</t>
        </is>
      </c>
      <c r="M145" s="8" t="inlineStr">
        <is>
          <t>胡蓉</t>
        </is>
      </c>
      <c r="N145" s="8" t="inlineStr">
        <is>
          <t>2-3年</t>
        </is>
      </c>
      <c r="O145" s="8" t="n"/>
    </row>
    <row r="146">
      <c r="A146" s="5" t="n">
        <v>144</v>
      </c>
      <c r="B146" s="5" t="inlineStr">
        <is>
          <t>华东-浙江</t>
        </is>
      </c>
      <c r="C146" s="5" t="inlineStr">
        <is>
          <t>基层自治组织</t>
        </is>
      </c>
      <c r="D146" s="6" t="inlineStr">
        <is>
          <t>HT20250402</t>
        </is>
      </c>
      <c r="E146" s="6" t="inlineStr">
        <is>
          <t>20260418</t>
        </is>
      </c>
      <c r="F146" s="10" t="n">
        <v>310.342</v>
      </c>
      <c r="G146" s="8" t="n"/>
      <c r="H146" s="10" t="n">
        <v>30.684</v>
      </c>
      <c r="I146" s="10" t="n">
        <v>279.658</v>
      </c>
      <c r="J146" s="10" t="n">
        <v>226.659</v>
      </c>
      <c r="K146" s="10" t="n">
        <v>52.999</v>
      </c>
      <c r="L146" s="8" t="inlineStr">
        <is>
          <t>二部</t>
        </is>
      </c>
      <c r="M146" s="8" t="inlineStr">
        <is>
          <t>周杰</t>
        </is>
      </c>
      <c r="N146" s="8" t="inlineStr">
        <is>
          <t>1-2年</t>
        </is>
      </c>
      <c r="O146" s="8" t="n"/>
    </row>
    <row r="147">
      <c r="A147" s="5" t="n">
        <v>145</v>
      </c>
      <c r="B147" s="5" t="inlineStr">
        <is>
          <t>华南-澳门</t>
        </is>
      </c>
      <c r="C147" s="5" t="inlineStr">
        <is>
          <t>事业单位</t>
        </is>
      </c>
      <c r="D147" s="6" t="inlineStr">
        <is>
          <t>HT20250403</t>
        </is>
      </c>
      <c r="E147" s="6" t="inlineStr">
        <is>
          <t>20260402</t>
        </is>
      </c>
      <c r="F147" s="10" t="n">
        <v>7386.585</v>
      </c>
      <c r="G147" s="8" t="n"/>
      <c r="H147" s="10" t="n">
        <v>6972.857</v>
      </c>
      <c r="I147" s="10" t="n">
        <v>413.728</v>
      </c>
      <c r="J147" s="10" t="n">
        <v>139.682</v>
      </c>
      <c r="K147" s="10" t="n">
        <v>274.046</v>
      </c>
      <c r="L147" s="8" t="inlineStr">
        <is>
          <t>八部</t>
        </is>
      </c>
      <c r="M147" s="8" t="inlineStr">
        <is>
          <t>卢俊</t>
        </is>
      </c>
      <c r="N147" s="8" t="inlineStr">
        <is>
          <t>2-3年</t>
        </is>
      </c>
      <c r="O147" s="8" t="n"/>
    </row>
    <row r="148">
      <c r="A148" s="5" t="n">
        <v>146</v>
      </c>
      <c r="B148" s="5" t="inlineStr">
        <is>
          <t>东北-辽宁</t>
        </is>
      </c>
      <c r="C148" s="5" t="inlineStr">
        <is>
          <t>国有企业</t>
        </is>
      </c>
      <c r="D148" s="6" t="inlineStr">
        <is>
          <t>HT20250403</t>
        </is>
      </c>
      <c r="E148" s="6" t="inlineStr">
        <is>
          <t>20260402</t>
        </is>
      </c>
      <c r="F148" s="10" t="n">
        <v>806.34</v>
      </c>
      <c r="G148" s="8" t="n"/>
      <c r="H148" s="10" t="n">
        <v>734.3630000000001</v>
      </c>
      <c r="I148" s="10" t="n">
        <v>71.977</v>
      </c>
      <c r="J148" s="10" t="n">
        <v>13.216</v>
      </c>
      <c r="K148" s="10" t="n">
        <v>58.761</v>
      </c>
      <c r="L148" s="8" t="inlineStr">
        <is>
          <t>十部</t>
        </is>
      </c>
      <c r="M148" s="8" t="inlineStr">
        <is>
          <t>侯敏</t>
        </is>
      </c>
      <c r="N148" s="8" t="inlineStr">
        <is>
          <t>1-2年</t>
        </is>
      </c>
      <c r="O148" s="8" t="n"/>
    </row>
    <row r="149">
      <c r="A149" s="5" t="n">
        <v>147</v>
      </c>
      <c r="B149" s="5" t="inlineStr">
        <is>
          <t>西北-新疆</t>
        </is>
      </c>
      <c r="C149" s="5" t="inlineStr">
        <is>
          <t>政府机关</t>
        </is>
      </c>
      <c r="D149" s="6" t="inlineStr">
        <is>
          <t>HT20250403</t>
        </is>
      </c>
      <c r="E149" s="6" t="inlineStr">
        <is>
          <t>20260402</t>
        </is>
      </c>
      <c r="F149" s="10" t="n">
        <v>3350.234</v>
      </c>
      <c r="G149" s="8" t="n"/>
      <c r="H149" s="10" t="n">
        <v>1425.496</v>
      </c>
      <c r="I149" s="10" t="n">
        <v>1924.738</v>
      </c>
      <c r="J149" s="10" t="n">
        <v>746.0410000000001</v>
      </c>
      <c r="K149" s="10" t="n">
        <v>1178.697</v>
      </c>
      <c r="L149" s="8" t="inlineStr">
        <is>
          <t>八部</t>
        </is>
      </c>
      <c r="M149" s="8" t="inlineStr">
        <is>
          <t>苏珊</t>
        </is>
      </c>
      <c r="N149" s="8" t="inlineStr">
        <is>
          <t>2-3年</t>
        </is>
      </c>
      <c r="O149" s="8" t="n"/>
    </row>
    <row r="150">
      <c r="A150" s="5" t="n">
        <v>148</v>
      </c>
      <c r="B150" s="5" t="inlineStr">
        <is>
          <t>西北-甘肃</t>
        </is>
      </c>
      <c r="C150" s="5" t="inlineStr">
        <is>
          <t>党委机关</t>
        </is>
      </c>
      <c r="D150" s="6" t="inlineStr">
        <is>
          <t>HT20250404</t>
        </is>
      </c>
      <c r="E150" s="6" t="inlineStr">
        <is>
          <t>20260811</t>
        </is>
      </c>
      <c r="F150" s="10" t="n">
        <v>319.823</v>
      </c>
      <c r="G150" s="8" t="n"/>
      <c r="H150" s="10" t="n">
        <v>247.321</v>
      </c>
      <c r="I150" s="10" t="n">
        <v>72.502</v>
      </c>
      <c r="J150" s="10" t="n">
        <v>62.81</v>
      </c>
      <c r="K150" s="10" t="n">
        <v>9.692</v>
      </c>
      <c r="L150" s="8" t="inlineStr">
        <is>
          <t>四部</t>
        </is>
      </c>
      <c r="M150" s="8" t="inlineStr">
        <is>
          <t>高翔</t>
        </is>
      </c>
      <c r="N150" s="8" t="inlineStr">
        <is>
          <t>1-2年</t>
        </is>
      </c>
      <c r="O150" s="8" t="n"/>
    </row>
    <row r="151">
      <c r="A151" s="5" t="n">
        <v>149</v>
      </c>
      <c r="B151" s="5" t="inlineStr">
        <is>
          <t>西南-贵州</t>
        </is>
      </c>
      <c r="C151" s="5" t="inlineStr">
        <is>
          <t>监察司法机关</t>
        </is>
      </c>
      <c r="D151" s="6" t="inlineStr">
        <is>
          <t>HT20250405</t>
        </is>
      </c>
      <c r="E151" s="6" t="inlineStr">
        <is>
          <t>20260711</t>
        </is>
      </c>
      <c r="F151" s="10" t="n">
        <v>2080.469</v>
      </c>
      <c r="G151" s="8" t="n"/>
      <c r="H151" s="10" t="n">
        <v>796.122</v>
      </c>
      <c r="I151" s="10" t="n">
        <v>1284.347</v>
      </c>
      <c r="J151" s="10" t="n">
        <v>1120.875</v>
      </c>
      <c r="K151" s="10" t="n">
        <v>163.472</v>
      </c>
      <c r="L151" s="8" t="inlineStr">
        <is>
          <t>五部</t>
        </is>
      </c>
      <c r="M151" s="8" t="inlineStr">
        <is>
          <t>梁雪</t>
        </is>
      </c>
      <c r="N151" s="8" t="inlineStr">
        <is>
          <t>2-3年</t>
        </is>
      </c>
      <c r="O151" s="8" t="n"/>
    </row>
    <row r="152">
      <c r="A152" s="5" t="n">
        <v>150</v>
      </c>
      <c r="B152" s="5" t="inlineStr">
        <is>
          <t>华东-浙江</t>
        </is>
      </c>
      <c r="C152" s="5" t="inlineStr">
        <is>
          <t>群团组织</t>
        </is>
      </c>
      <c r="D152" s="6" t="inlineStr">
        <is>
          <t>HT20250405</t>
        </is>
      </c>
      <c r="E152" s="6" t="inlineStr">
        <is>
          <t>20260711</t>
        </is>
      </c>
      <c r="F152" s="10" t="n">
        <v>33.593</v>
      </c>
      <c r="G152" s="8" t="n"/>
      <c r="H152" s="10" t="n">
        <v>0.464</v>
      </c>
      <c r="I152" s="10" t="n">
        <v>33.129</v>
      </c>
      <c r="J152" s="10" t="n">
        <v>26.535</v>
      </c>
      <c r="K152" s="10" t="n">
        <v>6.594</v>
      </c>
      <c r="L152" s="8" t="inlineStr">
        <is>
          <t>十部</t>
        </is>
      </c>
      <c r="M152" s="8" t="inlineStr">
        <is>
          <t>段勇</t>
        </is>
      </c>
      <c r="N152" s="8" t="inlineStr">
        <is>
          <t>1年以内</t>
        </is>
      </c>
      <c r="O152" s="8" t="n"/>
    </row>
    <row r="153">
      <c r="A153" s="5" t="n">
        <v>151</v>
      </c>
      <c r="B153" s="5" t="inlineStr">
        <is>
          <t>东北-吉林</t>
        </is>
      </c>
      <c r="C153" s="5" t="inlineStr">
        <is>
          <t>党委机关</t>
        </is>
      </c>
      <c r="D153" s="6" t="inlineStr">
        <is>
          <t>HT20250406</t>
        </is>
      </c>
      <c r="E153" s="6" t="inlineStr">
        <is>
          <t>20260812</t>
        </is>
      </c>
      <c r="F153" s="10" t="n">
        <v>882.926</v>
      </c>
      <c r="G153" s="8" t="n"/>
      <c r="H153" s="10" t="n">
        <v>342.579</v>
      </c>
      <c r="I153" s="10" t="n">
        <v>540.347</v>
      </c>
      <c r="J153" s="10" t="n">
        <v>388.041</v>
      </c>
      <c r="K153" s="10" t="n">
        <v>152.306</v>
      </c>
      <c r="L153" s="8" t="inlineStr">
        <is>
          <t>一部</t>
        </is>
      </c>
      <c r="M153" s="8" t="inlineStr">
        <is>
          <t>刘洋</t>
        </is>
      </c>
      <c r="N153" s="8" t="inlineStr">
        <is>
          <t>2-3年</t>
        </is>
      </c>
      <c r="O153" s="8" t="n"/>
    </row>
    <row r="154">
      <c r="A154" s="5" t="n">
        <v>152</v>
      </c>
      <c r="B154" s="5" t="inlineStr">
        <is>
          <t>华中-湖南</t>
        </is>
      </c>
      <c r="C154" s="5" t="inlineStr">
        <is>
          <t>党委机关</t>
        </is>
      </c>
      <c r="D154" s="6" t="inlineStr">
        <is>
          <t>HT20250406</t>
        </is>
      </c>
      <c r="E154" s="6" t="inlineStr">
        <is>
          <t>20260812</t>
        </is>
      </c>
      <c r="F154" s="10" t="n">
        <v>574.4349999999999</v>
      </c>
      <c r="G154" s="8" t="n"/>
      <c r="H154" s="10" t="n">
        <v>271.189</v>
      </c>
      <c r="I154" s="10" t="n">
        <v>303.246</v>
      </c>
      <c r="J154" s="10" t="n">
        <v>39.562</v>
      </c>
      <c r="K154" s="10" t="n">
        <v>263.684</v>
      </c>
      <c r="L154" s="8" t="inlineStr">
        <is>
          <t>四部</t>
        </is>
      </c>
      <c r="M154" s="8" t="inlineStr">
        <is>
          <t>何萍</t>
        </is>
      </c>
      <c r="N154" s="8" t="inlineStr">
        <is>
          <t>1-2年</t>
        </is>
      </c>
      <c r="O154" s="8" t="n"/>
    </row>
    <row r="155">
      <c r="A155" s="5" t="n">
        <v>153</v>
      </c>
      <c r="B155" s="5" t="inlineStr">
        <is>
          <t>东北-黑龙江</t>
        </is>
      </c>
      <c r="C155" s="5" t="inlineStr">
        <is>
          <t>群团组织</t>
        </is>
      </c>
      <c r="D155" s="6" t="inlineStr">
        <is>
          <t>HT20250407</t>
        </is>
      </c>
      <c r="E155" s="6" t="inlineStr">
        <is>
          <t>20260909</t>
        </is>
      </c>
      <c r="F155" s="10" t="n">
        <v>839.139</v>
      </c>
      <c r="G155" s="8" t="n"/>
      <c r="H155" s="10" t="n">
        <v>456.119</v>
      </c>
      <c r="I155" s="10" t="n">
        <v>383.02</v>
      </c>
      <c r="J155" s="10" t="n">
        <v>176.976</v>
      </c>
      <c r="K155" s="10" t="n">
        <v>206.044</v>
      </c>
      <c r="L155" s="8" t="inlineStr">
        <is>
          <t>三部</t>
        </is>
      </c>
      <c r="M155" s="8" t="inlineStr">
        <is>
          <t>马超</t>
        </is>
      </c>
      <c r="N155" s="8" t="inlineStr">
        <is>
          <t>2-3年</t>
        </is>
      </c>
      <c r="O155" s="8" t="n"/>
    </row>
    <row r="156">
      <c r="A156" s="5" t="n">
        <v>154</v>
      </c>
      <c r="B156" s="5" t="inlineStr">
        <is>
          <t>华东-浙江</t>
        </is>
      </c>
      <c r="C156" s="5" t="inlineStr">
        <is>
          <t>人大政协</t>
        </is>
      </c>
      <c r="D156" s="6" t="inlineStr">
        <is>
          <t>HT20250407</t>
        </is>
      </c>
      <c r="E156" s="6" t="inlineStr">
        <is>
          <t>20260909</t>
        </is>
      </c>
      <c r="F156" s="10" t="n">
        <v>452.458</v>
      </c>
      <c r="G156" s="8" t="n"/>
      <c r="H156" s="10" t="n">
        <v>8.878</v>
      </c>
      <c r="I156" s="10" t="n">
        <v>443.58</v>
      </c>
      <c r="J156" s="10" t="n">
        <v>348.809</v>
      </c>
      <c r="K156" s="10" t="n">
        <v>94.771</v>
      </c>
      <c r="L156" s="8" t="inlineStr">
        <is>
          <t>四部</t>
        </is>
      </c>
      <c r="M156" s="8" t="inlineStr">
        <is>
          <t>何萍</t>
        </is>
      </c>
      <c r="N156" s="8" t="inlineStr">
        <is>
          <t>1年以内</t>
        </is>
      </c>
      <c r="O156" s="8" t="n"/>
    </row>
    <row r="157">
      <c r="A157" s="5" t="n">
        <v>155</v>
      </c>
      <c r="B157" s="5" t="inlineStr">
        <is>
          <t>华南-海南</t>
        </is>
      </c>
      <c r="C157" s="5" t="inlineStr">
        <is>
          <t>党委机关</t>
        </is>
      </c>
      <c r="D157" s="6" t="inlineStr">
        <is>
          <t>HT20250408</t>
        </is>
      </c>
      <c r="E157" s="6" t="inlineStr">
        <is>
          <t>20251025</t>
        </is>
      </c>
      <c r="F157" s="10" t="n">
        <v>409.85</v>
      </c>
      <c r="G157" s="8" t="n"/>
      <c r="H157" s="10" t="n">
        <v>67.032</v>
      </c>
      <c r="I157" s="10" t="n">
        <v>342.818</v>
      </c>
      <c r="J157" s="10" t="n">
        <v>261.237</v>
      </c>
      <c r="K157" s="10" t="n">
        <v>81.581</v>
      </c>
      <c r="L157" s="8" t="inlineStr">
        <is>
          <t>五部</t>
        </is>
      </c>
      <c r="M157" s="8" t="inlineStr">
        <is>
          <t>韩梅</t>
        </is>
      </c>
      <c r="N157" s="8" t="inlineStr">
        <is>
          <t>1-2年</t>
        </is>
      </c>
      <c r="O157" s="8" t="n"/>
    </row>
    <row r="158">
      <c r="A158" s="5" t="n">
        <v>156</v>
      </c>
      <c r="B158" s="5" t="inlineStr">
        <is>
          <t>华东-浙江</t>
        </is>
      </c>
      <c r="C158" s="5" t="inlineStr">
        <is>
          <t>人大政协</t>
        </is>
      </c>
      <c r="D158" s="6" t="inlineStr">
        <is>
          <t>HT20250408</t>
        </is>
      </c>
      <c r="E158" s="6" t="inlineStr">
        <is>
          <t>20251025</t>
        </is>
      </c>
      <c r="F158" s="10" t="n">
        <v>217.735</v>
      </c>
      <c r="G158" s="8" t="n"/>
      <c r="H158" s="10" t="n">
        <v>31.912</v>
      </c>
      <c r="I158" s="10" t="n">
        <v>185.823</v>
      </c>
      <c r="J158" s="10" t="n">
        <v>164.06</v>
      </c>
      <c r="K158" s="10" t="n">
        <v>21.763</v>
      </c>
      <c r="L158" s="8" t="inlineStr">
        <is>
          <t>一部</t>
        </is>
      </c>
      <c r="M158" s="8" t="inlineStr">
        <is>
          <t>陈静</t>
        </is>
      </c>
      <c r="N158" s="8" t="inlineStr">
        <is>
          <t>2-3年</t>
        </is>
      </c>
      <c r="O158" s="8" t="n"/>
    </row>
    <row r="159">
      <c r="A159" s="5" t="n">
        <v>157</v>
      </c>
      <c r="B159" s="5" t="inlineStr">
        <is>
          <t>华东-江苏</t>
        </is>
      </c>
      <c r="C159" s="5" t="inlineStr">
        <is>
          <t>群团组织</t>
        </is>
      </c>
      <c r="D159" s="6" t="inlineStr">
        <is>
          <t>HT20250408</t>
        </is>
      </c>
      <c r="E159" s="6" t="inlineStr">
        <is>
          <t>20251025</t>
        </is>
      </c>
      <c r="F159" s="10" t="n">
        <v>549.001</v>
      </c>
      <c r="G159" s="8" t="n"/>
      <c r="H159" s="10" t="n">
        <v>466.455</v>
      </c>
      <c r="I159" s="10" t="n">
        <v>82.54600000000001</v>
      </c>
      <c r="J159" s="10" t="n">
        <v>20.92</v>
      </c>
      <c r="K159" s="10" t="n">
        <v>61.626</v>
      </c>
      <c r="L159" s="8" t="inlineStr">
        <is>
          <t>八部</t>
        </is>
      </c>
      <c r="M159" s="8" t="inlineStr">
        <is>
          <t>彭燕</t>
        </is>
      </c>
      <c r="N159" s="8" t="inlineStr">
        <is>
          <t>1-2年</t>
        </is>
      </c>
      <c r="O159" s="8" t="n"/>
    </row>
    <row r="160">
      <c r="A160" s="5" t="n">
        <v>158</v>
      </c>
      <c r="B160" s="5" t="inlineStr">
        <is>
          <t>华北-山西</t>
        </is>
      </c>
      <c r="C160" s="5" t="inlineStr">
        <is>
          <t>政府机关</t>
        </is>
      </c>
      <c r="D160" s="6" t="inlineStr">
        <is>
          <t>HT20250411</t>
        </is>
      </c>
      <c r="E160" s="6" t="inlineStr">
        <is>
          <t>20260729</t>
        </is>
      </c>
      <c r="F160" s="10" t="n">
        <v>384.583</v>
      </c>
      <c r="G160" s="8" t="n"/>
      <c r="H160" s="10" t="n">
        <v>195.284</v>
      </c>
      <c r="I160" s="10" t="n">
        <v>189.299</v>
      </c>
      <c r="J160" s="10" t="n">
        <v>76.027</v>
      </c>
      <c r="K160" s="10" t="n">
        <v>113.272</v>
      </c>
      <c r="L160" s="8" t="inlineStr">
        <is>
          <t>六部</t>
        </is>
      </c>
      <c r="M160" s="8" t="inlineStr">
        <is>
          <t>唐亮</t>
        </is>
      </c>
      <c r="N160" s="8" t="inlineStr">
        <is>
          <t>1-2年</t>
        </is>
      </c>
      <c r="O160" s="8" t="n"/>
    </row>
    <row r="161">
      <c r="A161" s="5" t="n">
        <v>159</v>
      </c>
      <c r="B161" s="5" t="inlineStr">
        <is>
          <t>华北-天津</t>
        </is>
      </c>
      <c r="C161" s="5" t="inlineStr">
        <is>
          <t>群团组织</t>
        </is>
      </c>
      <c r="D161" s="6" t="inlineStr">
        <is>
          <t>HT20250411</t>
        </is>
      </c>
      <c r="E161" s="6" t="inlineStr">
        <is>
          <t>20260729</t>
        </is>
      </c>
      <c r="F161" s="10" t="n">
        <v>796.264</v>
      </c>
      <c r="G161" s="8" t="n"/>
      <c r="H161" s="10" t="n">
        <v>791.586</v>
      </c>
      <c r="I161" s="10" t="n">
        <v>4.678</v>
      </c>
      <c r="J161" s="10" t="n">
        <v>0.23</v>
      </c>
      <c r="K161" s="10" t="n">
        <v>4.448</v>
      </c>
      <c r="L161" s="8" t="inlineStr">
        <is>
          <t>一部</t>
        </is>
      </c>
      <c r="M161" s="8" t="inlineStr">
        <is>
          <t>刘洋</t>
        </is>
      </c>
      <c r="N161" s="8" t="inlineStr">
        <is>
          <t>1年以内</t>
        </is>
      </c>
      <c r="O161" s="8" t="n"/>
    </row>
    <row r="162">
      <c r="A162" s="5" t="n">
        <v>160</v>
      </c>
      <c r="B162" s="5" t="inlineStr">
        <is>
          <t>华中-湖南</t>
        </is>
      </c>
      <c r="C162" s="5" t="inlineStr">
        <is>
          <t>基层自治组织</t>
        </is>
      </c>
      <c r="D162" s="6" t="inlineStr">
        <is>
          <t>HT20250411</t>
        </is>
      </c>
      <c r="E162" s="6" t="inlineStr">
        <is>
          <t>20260729</t>
        </is>
      </c>
      <c r="F162" s="10" t="n">
        <v>8326.709999999999</v>
      </c>
      <c r="G162" s="8" t="n"/>
      <c r="H162" s="10" t="n">
        <v>5336.239</v>
      </c>
      <c r="I162" s="10" t="n">
        <v>2990.471</v>
      </c>
      <c r="J162" s="10" t="n">
        <v>2901.945</v>
      </c>
      <c r="K162" s="10" t="n">
        <v>88.526</v>
      </c>
      <c r="L162" s="8" t="inlineStr">
        <is>
          <t>七部</t>
        </is>
      </c>
      <c r="M162" s="8" t="inlineStr">
        <is>
          <t>许涛</t>
        </is>
      </c>
      <c r="N162" s="8" t="inlineStr">
        <is>
          <t>1年以内</t>
        </is>
      </c>
      <c r="O162" s="8" t="n"/>
    </row>
    <row r="163">
      <c r="A163" s="5" t="n">
        <v>161</v>
      </c>
      <c r="B163" s="5" t="inlineStr">
        <is>
          <t>华东-江西</t>
        </is>
      </c>
      <c r="C163" s="5" t="inlineStr">
        <is>
          <t>基层自治组织</t>
        </is>
      </c>
      <c r="D163" s="6" t="inlineStr">
        <is>
          <t>HT20250411</t>
        </is>
      </c>
      <c r="E163" s="6" t="inlineStr">
        <is>
          <t>20260729</t>
        </is>
      </c>
      <c r="F163" s="10" t="n">
        <v>56.358</v>
      </c>
      <c r="G163" s="8" t="n"/>
      <c r="H163" s="10" t="n">
        <v>54.223</v>
      </c>
      <c r="I163" s="10" t="n">
        <v>2.135</v>
      </c>
      <c r="J163" s="10" t="n">
        <v>1.909</v>
      </c>
      <c r="K163" s="10" t="n">
        <v>0.226</v>
      </c>
      <c r="L163" s="8" t="inlineStr">
        <is>
          <t>三部</t>
        </is>
      </c>
      <c r="M163" s="8" t="inlineStr">
        <is>
          <t>胡蓉</t>
        </is>
      </c>
      <c r="N163" s="8" t="inlineStr">
        <is>
          <t>1-2年</t>
        </is>
      </c>
      <c r="O163" s="8" t="n"/>
    </row>
    <row r="164">
      <c r="A164" s="5" t="n">
        <v>162</v>
      </c>
      <c r="B164" s="5" t="inlineStr">
        <is>
          <t>华中-河南</t>
        </is>
      </c>
      <c r="C164" s="5" t="inlineStr">
        <is>
          <t>群团组织</t>
        </is>
      </c>
      <c r="D164" s="6" t="inlineStr">
        <is>
          <t>HT20250412</t>
        </is>
      </c>
      <c r="E164" s="6" t="inlineStr">
        <is>
          <t>20251106</t>
        </is>
      </c>
      <c r="F164" s="10" t="n">
        <v>115.257</v>
      </c>
      <c r="G164" s="8" t="n"/>
      <c r="H164" s="10" t="n">
        <v>104.612</v>
      </c>
      <c r="I164" s="10" t="n">
        <v>10.645</v>
      </c>
      <c r="J164" s="10" t="n">
        <v>2.629</v>
      </c>
      <c r="K164" s="10" t="n">
        <v>8.016</v>
      </c>
      <c r="L164" s="8" t="inlineStr">
        <is>
          <t>六部</t>
        </is>
      </c>
      <c r="M164" s="8" t="inlineStr">
        <is>
          <t>冯倩</t>
        </is>
      </c>
      <c r="N164" s="8" t="inlineStr">
        <is>
          <t>1-2年</t>
        </is>
      </c>
      <c r="O164" s="8" t="n"/>
    </row>
    <row r="165">
      <c r="A165" s="5" t="n">
        <v>163</v>
      </c>
      <c r="B165" s="5" t="inlineStr">
        <is>
          <t>华东-山东</t>
        </is>
      </c>
      <c r="C165" s="5" t="inlineStr">
        <is>
          <t>群团组织</t>
        </is>
      </c>
      <c r="D165" s="6" t="inlineStr">
        <is>
          <t>HT20250412</t>
        </is>
      </c>
      <c r="E165" s="6" t="inlineStr">
        <is>
          <t>20251106</t>
        </is>
      </c>
      <c r="F165" s="10" t="n">
        <v>913.9880000000001</v>
      </c>
      <c r="G165" s="8" t="n"/>
      <c r="H165" s="10" t="n">
        <v>364.327</v>
      </c>
      <c r="I165" s="10" t="n">
        <v>549.6609999999999</v>
      </c>
      <c r="J165" s="10" t="n">
        <v>199.922</v>
      </c>
      <c r="K165" s="10" t="n">
        <v>349.739</v>
      </c>
      <c r="L165" s="8" t="inlineStr">
        <is>
          <t>三部</t>
        </is>
      </c>
      <c r="M165" s="8" t="inlineStr">
        <is>
          <t>徐涛</t>
        </is>
      </c>
      <c r="N165" s="8" t="inlineStr">
        <is>
          <t>1年以内</t>
        </is>
      </c>
      <c r="O165" s="8" t="n"/>
    </row>
    <row r="166">
      <c r="A166" s="5" t="n">
        <v>164</v>
      </c>
      <c r="B166" s="5" t="inlineStr">
        <is>
          <t>东北-吉林</t>
        </is>
      </c>
      <c r="C166" s="5" t="inlineStr">
        <is>
          <t>人大政协</t>
        </is>
      </c>
      <c r="D166" s="6" t="inlineStr">
        <is>
          <t>HT20250412</t>
        </is>
      </c>
      <c r="E166" s="6" t="inlineStr">
        <is>
          <t>20251106</t>
        </is>
      </c>
      <c r="F166" s="10" t="n">
        <v>27.344</v>
      </c>
      <c r="G166" s="8" t="n"/>
      <c r="H166" s="10" t="n">
        <v>3.907</v>
      </c>
      <c r="I166" s="10" t="n">
        <v>23.437</v>
      </c>
      <c r="J166" s="10" t="n">
        <v>23.1</v>
      </c>
      <c r="K166" s="10" t="n">
        <v>0.337</v>
      </c>
      <c r="L166" s="8" t="inlineStr">
        <is>
          <t>二部</t>
        </is>
      </c>
      <c r="M166" s="8" t="inlineStr">
        <is>
          <t>吴丽</t>
        </is>
      </c>
      <c r="N166" s="8" t="inlineStr">
        <is>
          <t>2-3年</t>
        </is>
      </c>
      <c r="O166" s="8" t="n"/>
    </row>
    <row r="167">
      <c r="A167" s="5" t="n">
        <v>165</v>
      </c>
      <c r="B167" s="5" t="inlineStr">
        <is>
          <t>西北-新疆</t>
        </is>
      </c>
      <c r="C167" s="5" t="inlineStr">
        <is>
          <t>政府机关</t>
        </is>
      </c>
      <c r="D167" s="6" t="inlineStr">
        <is>
          <t>HT20250412</t>
        </is>
      </c>
      <c r="E167" s="6" t="inlineStr">
        <is>
          <t>20251106</t>
        </is>
      </c>
      <c r="F167" s="10" t="n">
        <v>3622.422</v>
      </c>
      <c r="G167" s="8" t="n"/>
      <c r="H167" s="10" t="n">
        <v>1965.942</v>
      </c>
      <c r="I167" s="10" t="n">
        <v>1656.48</v>
      </c>
      <c r="J167" s="10" t="n">
        <v>999.177</v>
      </c>
      <c r="K167" s="10" t="n">
        <v>657.303</v>
      </c>
      <c r="L167" s="8" t="inlineStr">
        <is>
          <t>一部</t>
        </is>
      </c>
      <c r="M167" s="8" t="inlineStr">
        <is>
          <t>李娜</t>
        </is>
      </c>
      <c r="N167" s="8" t="inlineStr">
        <is>
          <t>2-3年</t>
        </is>
      </c>
      <c r="O167" s="8" t="n"/>
    </row>
    <row r="168">
      <c r="A168" s="5" t="n">
        <v>166</v>
      </c>
      <c r="B168" s="5" t="inlineStr">
        <is>
          <t>华东-台湾</t>
        </is>
      </c>
      <c r="C168" s="5" t="inlineStr">
        <is>
          <t>监察司法机关</t>
        </is>
      </c>
      <c r="D168" s="6" t="inlineStr">
        <is>
          <t>HT20250412</t>
        </is>
      </c>
      <c r="E168" s="6" t="inlineStr">
        <is>
          <t>20251106</t>
        </is>
      </c>
      <c r="F168" s="10" t="n">
        <v>511.625</v>
      </c>
      <c r="G168" s="8" t="n"/>
      <c r="H168" s="10" t="n">
        <v>180.861</v>
      </c>
      <c r="I168" s="10" t="n">
        <v>330.764</v>
      </c>
      <c r="J168" s="10" t="n">
        <v>35.54</v>
      </c>
      <c r="K168" s="10" t="n">
        <v>295.224</v>
      </c>
      <c r="L168" s="8" t="inlineStr">
        <is>
          <t>二部</t>
        </is>
      </c>
      <c r="M168" s="8" t="inlineStr">
        <is>
          <t>杨磊</t>
        </is>
      </c>
      <c r="N168" s="8" t="inlineStr">
        <is>
          <t>1年以内</t>
        </is>
      </c>
      <c r="O168" s="8" t="n"/>
    </row>
    <row r="169">
      <c r="A169" s="5" t="n">
        <v>167</v>
      </c>
      <c r="B169" s="5" t="inlineStr">
        <is>
          <t>西北-甘肃</t>
        </is>
      </c>
      <c r="C169" s="5" t="inlineStr">
        <is>
          <t>基层自治组织</t>
        </is>
      </c>
      <c r="D169" s="6" t="inlineStr">
        <is>
          <t>HT20250412</t>
        </is>
      </c>
      <c r="E169" s="6" t="inlineStr">
        <is>
          <t>20251106</t>
        </is>
      </c>
      <c r="F169" s="10" t="n">
        <v>788.789</v>
      </c>
      <c r="G169" s="8" t="n"/>
      <c r="H169" s="10" t="n">
        <v>454.846</v>
      </c>
      <c r="I169" s="10" t="n">
        <v>333.943</v>
      </c>
      <c r="J169" s="10" t="n">
        <v>7.852</v>
      </c>
      <c r="K169" s="10" t="n">
        <v>326.091</v>
      </c>
      <c r="L169" s="8" t="inlineStr">
        <is>
          <t>四部</t>
        </is>
      </c>
      <c r="M169" s="8" t="inlineStr">
        <is>
          <t>林燕</t>
        </is>
      </c>
      <c r="N169" s="8" t="inlineStr">
        <is>
          <t>2-3年</t>
        </is>
      </c>
      <c r="O169" s="8" t="n"/>
    </row>
    <row r="170">
      <c r="A170" s="5" t="n">
        <v>168</v>
      </c>
      <c r="B170" s="5" t="inlineStr">
        <is>
          <t>华南-广西</t>
        </is>
      </c>
      <c r="C170" s="5" t="inlineStr">
        <is>
          <t>事业单位</t>
        </is>
      </c>
      <c r="D170" s="6" t="inlineStr">
        <is>
          <t>HT20250412</t>
        </is>
      </c>
      <c r="E170" s="6" t="inlineStr">
        <is>
          <t>20251106</t>
        </is>
      </c>
      <c r="F170" s="10" t="n">
        <v>534.051</v>
      </c>
      <c r="G170" s="8" t="n"/>
      <c r="H170" s="10" t="n">
        <v>289.652</v>
      </c>
      <c r="I170" s="10" t="n">
        <v>244.399</v>
      </c>
      <c r="J170" s="10" t="n">
        <v>220.168</v>
      </c>
      <c r="K170" s="10" t="n">
        <v>24.231</v>
      </c>
      <c r="L170" s="8" t="inlineStr">
        <is>
          <t>九部</t>
        </is>
      </c>
      <c r="M170" s="8" t="inlineStr">
        <is>
          <t>蔡明</t>
        </is>
      </c>
      <c r="N170" s="8" t="inlineStr">
        <is>
          <t>2-3年</t>
        </is>
      </c>
      <c r="O170" s="8" t="n"/>
    </row>
    <row r="171">
      <c r="A171" s="5" t="n">
        <v>169</v>
      </c>
      <c r="B171" s="5" t="inlineStr">
        <is>
          <t>华东-上海</t>
        </is>
      </c>
      <c r="C171" s="5" t="inlineStr">
        <is>
          <t>基层自治组织</t>
        </is>
      </c>
      <c r="D171" s="6" t="inlineStr">
        <is>
          <t>HT20250413</t>
        </is>
      </c>
      <c r="E171" s="6" t="inlineStr">
        <is>
          <t>20260115</t>
        </is>
      </c>
      <c r="F171" s="10" t="n">
        <v>404.494</v>
      </c>
      <c r="G171" s="8" t="n"/>
      <c r="H171" s="10" t="n">
        <v>27.827</v>
      </c>
      <c r="I171" s="10" t="n">
        <v>376.667</v>
      </c>
      <c r="J171" s="10" t="n">
        <v>315.838</v>
      </c>
      <c r="K171" s="10" t="n">
        <v>60.829</v>
      </c>
      <c r="L171" s="8" t="inlineStr">
        <is>
          <t>七部</t>
        </is>
      </c>
      <c r="M171" s="8" t="inlineStr">
        <is>
          <t>沈刚</t>
        </is>
      </c>
      <c r="N171" s="8" t="inlineStr">
        <is>
          <t>1-2年</t>
        </is>
      </c>
      <c r="O171" s="8" t="n"/>
    </row>
    <row r="172">
      <c r="A172" s="5" t="n">
        <v>170</v>
      </c>
      <c r="B172" s="5" t="inlineStr">
        <is>
          <t>华北-山西</t>
        </is>
      </c>
      <c r="C172" s="5" t="inlineStr">
        <is>
          <t>党委机关</t>
        </is>
      </c>
      <c r="D172" s="6" t="inlineStr">
        <is>
          <t>HT20250413</t>
        </is>
      </c>
      <c r="E172" s="6" t="inlineStr">
        <is>
          <t>20260115</t>
        </is>
      </c>
      <c r="F172" s="10" t="n">
        <v>499.32</v>
      </c>
      <c r="G172" s="8" t="n"/>
      <c r="H172" s="10" t="n">
        <v>493.825</v>
      </c>
      <c r="I172" s="10" t="n">
        <v>5.495</v>
      </c>
      <c r="J172" s="10" t="n">
        <v>2.187</v>
      </c>
      <c r="K172" s="10" t="n">
        <v>3.308</v>
      </c>
      <c r="L172" s="8" t="inlineStr">
        <is>
          <t>六部</t>
        </is>
      </c>
      <c r="M172" s="8" t="inlineStr">
        <is>
          <t>冯倩</t>
        </is>
      </c>
      <c r="N172" s="8" t="inlineStr">
        <is>
          <t>2-3年</t>
        </is>
      </c>
      <c r="O172" s="8" t="n"/>
    </row>
    <row r="173">
      <c r="A173" s="5" t="n">
        <v>171</v>
      </c>
      <c r="B173" s="5" t="inlineStr">
        <is>
          <t>华东-江苏</t>
        </is>
      </c>
      <c r="C173" s="5" t="inlineStr">
        <is>
          <t>人大政协</t>
        </is>
      </c>
      <c r="D173" s="6" t="inlineStr">
        <is>
          <t>HT20250414</t>
        </is>
      </c>
      <c r="E173" s="6" t="inlineStr">
        <is>
          <t>20260901</t>
        </is>
      </c>
      <c r="F173" s="10" t="n">
        <v>813.98</v>
      </c>
      <c r="G173" s="8" t="n"/>
      <c r="H173" s="10" t="n">
        <v>536.75</v>
      </c>
      <c r="I173" s="10" t="n">
        <v>277.23</v>
      </c>
      <c r="J173" s="10" t="n">
        <v>187.299</v>
      </c>
      <c r="K173" s="10" t="n">
        <v>89.931</v>
      </c>
      <c r="L173" s="8" t="inlineStr">
        <is>
          <t>八部</t>
        </is>
      </c>
      <c r="M173" s="8" t="inlineStr">
        <is>
          <t>吕强</t>
        </is>
      </c>
      <c r="N173" s="8" t="inlineStr">
        <is>
          <t>2-3年</t>
        </is>
      </c>
      <c r="O173" s="8" t="n"/>
    </row>
    <row r="174">
      <c r="A174" s="5" t="n">
        <v>172</v>
      </c>
      <c r="B174" s="5" t="inlineStr">
        <is>
          <t>西北-陕西</t>
        </is>
      </c>
      <c r="C174" s="5" t="inlineStr">
        <is>
          <t>党委机关</t>
        </is>
      </c>
      <c r="D174" s="6" t="inlineStr">
        <is>
          <t>HT20250414</t>
        </is>
      </c>
      <c r="E174" s="6" t="inlineStr">
        <is>
          <t>20260901</t>
        </is>
      </c>
      <c r="F174" s="10" t="n">
        <v>135.196</v>
      </c>
      <c r="G174" s="8" t="n"/>
      <c r="H174" s="10" t="n">
        <v>82.149</v>
      </c>
      <c r="I174" s="10" t="n">
        <v>53.047</v>
      </c>
      <c r="J174" s="10" t="n">
        <v>41.165</v>
      </c>
      <c r="K174" s="10" t="n">
        <v>11.882</v>
      </c>
      <c r="L174" s="8" t="inlineStr">
        <is>
          <t>四部</t>
        </is>
      </c>
      <c r="M174" s="8" t="inlineStr">
        <is>
          <t>郭鹏</t>
        </is>
      </c>
      <c r="N174" s="8" t="inlineStr">
        <is>
          <t>2-3年</t>
        </is>
      </c>
      <c r="O174" s="8" t="n"/>
    </row>
    <row r="175">
      <c r="A175" s="5" t="n">
        <v>173</v>
      </c>
      <c r="B175" s="5" t="inlineStr">
        <is>
          <t>华东-福建</t>
        </is>
      </c>
      <c r="C175" s="5" t="inlineStr">
        <is>
          <t>监察司法机关</t>
        </is>
      </c>
      <c r="D175" s="6" t="inlineStr">
        <is>
          <t>HT20250414</t>
        </is>
      </c>
      <c r="E175" s="6" t="inlineStr">
        <is>
          <t>20260901</t>
        </is>
      </c>
      <c r="F175" s="10" t="n">
        <v>240.612</v>
      </c>
      <c r="G175" s="8" t="n"/>
      <c r="H175" s="10" t="n">
        <v>26.848</v>
      </c>
      <c r="I175" s="10" t="n">
        <v>213.764</v>
      </c>
      <c r="J175" s="10" t="n">
        <v>212.509</v>
      </c>
      <c r="K175" s="10" t="n">
        <v>1.255</v>
      </c>
      <c r="L175" s="8" t="inlineStr">
        <is>
          <t>五部</t>
        </is>
      </c>
      <c r="M175" s="8" t="inlineStr">
        <is>
          <t>宋佳</t>
        </is>
      </c>
      <c r="N175" s="8" t="inlineStr">
        <is>
          <t>1年以内</t>
        </is>
      </c>
      <c r="O175" s="8" t="n"/>
    </row>
    <row r="176">
      <c r="A176" s="5" t="n">
        <v>174</v>
      </c>
      <c r="B176" s="5" t="inlineStr">
        <is>
          <t>华南-广东</t>
        </is>
      </c>
      <c r="C176" s="5" t="inlineStr">
        <is>
          <t>党委机关</t>
        </is>
      </c>
      <c r="D176" s="6" t="inlineStr">
        <is>
          <t>HT20250414</t>
        </is>
      </c>
      <c r="E176" s="6" t="inlineStr">
        <is>
          <t>20260901</t>
        </is>
      </c>
      <c r="F176" s="10" t="n">
        <v>562.665</v>
      </c>
      <c r="G176" s="8" t="n"/>
      <c r="H176" s="10" t="n">
        <v>291.662</v>
      </c>
      <c r="I176" s="10" t="n">
        <v>271.003</v>
      </c>
      <c r="J176" s="10" t="n">
        <v>180.921</v>
      </c>
      <c r="K176" s="10" t="n">
        <v>90.08199999999999</v>
      </c>
      <c r="L176" s="8" t="inlineStr">
        <is>
          <t>三部</t>
        </is>
      </c>
      <c r="M176" s="8" t="inlineStr">
        <is>
          <t>孙艳</t>
        </is>
      </c>
      <c r="N176" s="8" t="inlineStr">
        <is>
          <t>2-3年</t>
        </is>
      </c>
      <c r="O176" s="8" t="n"/>
    </row>
    <row r="177">
      <c r="A177" s="5" t="n">
        <v>175</v>
      </c>
      <c r="B177" s="5" t="inlineStr">
        <is>
          <t>西北-甘肃</t>
        </is>
      </c>
      <c r="C177" s="5" t="inlineStr">
        <is>
          <t>国有企业</t>
        </is>
      </c>
      <c r="D177" s="6" t="inlineStr">
        <is>
          <t>HT20250416</t>
        </is>
      </c>
      <c r="E177" s="6" t="inlineStr">
        <is>
          <t>20260529</t>
        </is>
      </c>
      <c r="F177" s="10" t="n">
        <v>85.879</v>
      </c>
      <c r="G177" s="8" t="n"/>
      <c r="H177" s="10" t="n">
        <v>0.502</v>
      </c>
      <c r="I177" s="10" t="n">
        <v>85.377</v>
      </c>
      <c r="J177" s="10" t="n">
        <v>59.079</v>
      </c>
      <c r="K177" s="10" t="n">
        <v>26.298</v>
      </c>
      <c r="L177" s="8" t="inlineStr">
        <is>
          <t>九部</t>
        </is>
      </c>
      <c r="M177" s="8" t="inlineStr">
        <is>
          <t>蔡明</t>
        </is>
      </c>
      <c r="N177" s="8" t="inlineStr">
        <is>
          <t>1年以内</t>
        </is>
      </c>
      <c r="O177" s="8" t="n"/>
    </row>
    <row r="178">
      <c r="A178" s="5" t="n">
        <v>176</v>
      </c>
      <c r="B178" s="5" t="inlineStr">
        <is>
          <t>华北-山西</t>
        </is>
      </c>
      <c r="C178" s="5" t="inlineStr">
        <is>
          <t>群团组织</t>
        </is>
      </c>
      <c r="D178" s="6" t="inlineStr">
        <is>
          <t>HT20250417</t>
        </is>
      </c>
      <c r="E178" s="6" t="inlineStr">
        <is>
          <t>20260802</t>
        </is>
      </c>
      <c r="F178" s="10" t="n">
        <v>3647.684</v>
      </c>
      <c r="G178" s="8" t="n"/>
      <c r="H178" s="10" t="n">
        <v>2183.124</v>
      </c>
      <c r="I178" s="10" t="n">
        <v>1464.56</v>
      </c>
      <c r="J178" s="10" t="n">
        <v>1097.895</v>
      </c>
      <c r="K178" s="10" t="n">
        <v>366.665</v>
      </c>
      <c r="L178" s="8" t="inlineStr">
        <is>
          <t>三部</t>
        </is>
      </c>
      <c r="M178" s="8" t="inlineStr">
        <is>
          <t>马超</t>
        </is>
      </c>
      <c r="N178" s="8" t="inlineStr">
        <is>
          <t>1年以内</t>
        </is>
      </c>
      <c r="O178" s="8" t="n"/>
    </row>
    <row r="179">
      <c r="A179" s="5" t="n">
        <v>177</v>
      </c>
      <c r="B179" s="5" t="inlineStr">
        <is>
          <t>华中-湖南</t>
        </is>
      </c>
      <c r="C179" s="5" t="inlineStr">
        <is>
          <t>事业单位</t>
        </is>
      </c>
      <c r="D179" s="6" t="inlineStr">
        <is>
          <t>HT20250418</t>
        </is>
      </c>
      <c r="E179" s="6" t="inlineStr">
        <is>
          <t>20260706</t>
        </is>
      </c>
      <c r="F179" s="10" t="n">
        <v>953.913</v>
      </c>
      <c r="G179" s="8" t="n"/>
      <c r="H179" s="10" t="n">
        <v>520.248</v>
      </c>
      <c r="I179" s="10" t="n">
        <v>433.665</v>
      </c>
      <c r="J179" s="10" t="n">
        <v>144.785</v>
      </c>
      <c r="K179" s="10" t="n">
        <v>288.88</v>
      </c>
      <c r="L179" s="8" t="inlineStr">
        <is>
          <t>七部</t>
        </is>
      </c>
      <c r="M179" s="8" t="inlineStr">
        <is>
          <t>邓丽</t>
        </is>
      </c>
      <c r="N179" s="8" t="inlineStr">
        <is>
          <t>2-3年</t>
        </is>
      </c>
      <c r="O179" s="8" t="n"/>
    </row>
    <row r="180">
      <c r="A180" s="5" t="n">
        <v>178</v>
      </c>
      <c r="B180" s="5" t="inlineStr">
        <is>
          <t>西南-云南</t>
        </is>
      </c>
      <c r="C180" s="5" t="inlineStr">
        <is>
          <t>国有企业</t>
        </is>
      </c>
      <c r="D180" s="6" t="inlineStr">
        <is>
          <t>HT20250421</t>
        </is>
      </c>
      <c r="E180" s="6" t="inlineStr">
        <is>
          <t>20260209</t>
        </is>
      </c>
      <c r="F180" s="10" t="n">
        <v>442.355</v>
      </c>
      <c r="G180" s="8" t="n"/>
      <c r="H180" s="10" t="n">
        <v>225.192</v>
      </c>
      <c r="I180" s="10" t="n">
        <v>217.163</v>
      </c>
      <c r="J180" s="10" t="n">
        <v>199.29</v>
      </c>
      <c r="K180" s="10" t="n">
        <v>17.873</v>
      </c>
      <c r="L180" s="8" t="inlineStr">
        <is>
          <t>五部</t>
        </is>
      </c>
      <c r="M180" s="8" t="inlineStr">
        <is>
          <t>梁雪</t>
        </is>
      </c>
      <c r="N180" s="8" t="inlineStr">
        <is>
          <t>2-3年</t>
        </is>
      </c>
      <c r="O180" s="8" t="n"/>
    </row>
    <row r="181">
      <c r="A181" s="5" t="n">
        <v>179</v>
      </c>
      <c r="B181" s="5" t="inlineStr">
        <is>
          <t>华中-湖南</t>
        </is>
      </c>
      <c r="C181" s="5" t="inlineStr">
        <is>
          <t>群团组织</t>
        </is>
      </c>
      <c r="D181" s="6" t="inlineStr">
        <is>
          <t>HT20250422</t>
        </is>
      </c>
      <c r="E181" s="6" t="inlineStr">
        <is>
          <t>20260404</t>
        </is>
      </c>
      <c r="F181" s="10" t="n">
        <v>674.549</v>
      </c>
      <c r="G181" s="8" t="n"/>
      <c r="H181" s="10" t="n">
        <v>306.979</v>
      </c>
      <c r="I181" s="10" t="n">
        <v>367.57</v>
      </c>
      <c r="J181" s="10" t="n">
        <v>168.367</v>
      </c>
      <c r="K181" s="10" t="n">
        <v>199.203</v>
      </c>
      <c r="L181" s="8" t="inlineStr">
        <is>
          <t>八部</t>
        </is>
      </c>
      <c r="M181" s="8" t="inlineStr">
        <is>
          <t>吕强</t>
        </is>
      </c>
      <c r="N181" s="8" t="inlineStr">
        <is>
          <t>1-2年</t>
        </is>
      </c>
      <c r="O181" s="8" t="n"/>
    </row>
    <row r="182">
      <c r="A182" s="5" t="n">
        <v>180</v>
      </c>
      <c r="B182" s="5" t="inlineStr">
        <is>
          <t>华南-广东</t>
        </is>
      </c>
      <c r="C182" s="5" t="inlineStr">
        <is>
          <t>人大政协</t>
        </is>
      </c>
      <c r="D182" s="6" t="inlineStr">
        <is>
          <t>HT20250422</t>
        </is>
      </c>
      <c r="E182" s="6" t="inlineStr">
        <is>
          <t>20260404</t>
        </is>
      </c>
      <c r="F182" s="10" t="n">
        <v>104.984</v>
      </c>
      <c r="G182" s="8" t="n"/>
      <c r="H182" s="10" t="n">
        <v>20.634</v>
      </c>
      <c r="I182" s="10" t="n">
        <v>84.34999999999999</v>
      </c>
      <c r="J182" s="10" t="n">
        <v>58.544</v>
      </c>
      <c r="K182" s="10" t="n">
        <v>25.806</v>
      </c>
      <c r="L182" s="8" t="inlineStr">
        <is>
          <t>八部</t>
        </is>
      </c>
      <c r="M182" s="8" t="inlineStr">
        <is>
          <t>吕强</t>
        </is>
      </c>
      <c r="N182" s="8" t="inlineStr">
        <is>
          <t>1-2年</t>
        </is>
      </c>
      <c r="O182" s="8" t="n"/>
    </row>
    <row r="183">
      <c r="A183" s="5" t="n">
        <v>181</v>
      </c>
      <c r="B183" s="5" t="inlineStr">
        <is>
          <t>东北-黑龙江</t>
        </is>
      </c>
      <c r="C183" s="5" t="inlineStr">
        <is>
          <t>政府机关</t>
        </is>
      </c>
      <c r="D183" s="6" t="inlineStr">
        <is>
          <t>HT20250422</t>
        </is>
      </c>
      <c r="E183" s="6" t="inlineStr">
        <is>
          <t>20260404</t>
        </is>
      </c>
      <c r="F183" s="10" t="n">
        <v>851.867</v>
      </c>
      <c r="G183" s="8" t="n"/>
      <c r="H183" s="10" t="n">
        <v>469.807</v>
      </c>
      <c r="I183" s="10" t="n">
        <v>382.06</v>
      </c>
      <c r="J183" s="10" t="n">
        <v>51.228</v>
      </c>
      <c r="K183" s="10" t="n">
        <v>330.832</v>
      </c>
      <c r="L183" s="8" t="inlineStr">
        <is>
          <t>十部</t>
        </is>
      </c>
      <c r="M183" s="8" t="inlineStr">
        <is>
          <t>段勇</t>
        </is>
      </c>
      <c r="N183" s="8" t="inlineStr">
        <is>
          <t>1年以内</t>
        </is>
      </c>
      <c r="O183" s="8" t="n"/>
    </row>
    <row r="184">
      <c r="A184" s="5" t="n">
        <v>182</v>
      </c>
      <c r="B184" s="5" t="inlineStr">
        <is>
          <t>华南-广东</t>
        </is>
      </c>
      <c r="C184" s="5" t="inlineStr">
        <is>
          <t>国有企业</t>
        </is>
      </c>
      <c r="D184" s="6" t="inlineStr">
        <is>
          <t>HT20250423</t>
        </is>
      </c>
      <c r="E184" s="6" t="inlineStr">
        <is>
          <t>20260727</t>
        </is>
      </c>
      <c r="F184" s="10" t="n">
        <v>786.491</v>
      </c>
      <c r="G184" s="8" t="n"/>
      <c r="H184" s="10" t="n">
        <v>384.374</v>
      </c>
      <c r="I184" s="10" t="n">
        <v>402.117</v>
      </c>
      <c r="J184" s="10" t="n">
        <v>320.115</v>
      </c>
      <c r="K184" s="10" t="n">
        <v>82.002</v>
      </c>
      <c r="L184" s="8" t="inlineStr">
        <is>
          <t>四部</t>
        </is>
      </c>
      <c r="M184" s="8" t="inlineStr">
        <is>
          <t>高翔</t>
        </is>
      </c>
      <c r="N184" s="8" t="inlineStr">
        <is>
          <t>2-3年</t>
        </is>
      </c>
      <c r="O184" s="8" t="inlineStr">
        <is>
          <t>产品不合格</t>
        </is>
      </c>
    </row>
    <row r="185">
      <c r="A185" s="5" t="n">
        <v>183</v>
      </c>
      <c r="B185" s="5" t="inlineStr">
        <is>
          <t>华中-湖南</t>
        </is>
      </c>
      <c r="C185" s="5" t="inlineStr">
        <is>
          <t>基层自治组织</t>
        </is>
      </c>
      <c r="D185" s="6" t="inlineStr">
        <is>
          <t>HT20250423</t>
        </is>
      </c>
      <c r="E185" s="6" t="inlineStr">
        <is>
          <t>20260727</t>
        </is>
      </c>
      <c r="F185" s="10" t="n">
        <v>745.319</v>
      </c>
      <c r="G185" s="8" t="n"/>
      <c r="H185" s="10" t="n">
        <v>670.609</v>
      </c>
      <c r="I185" s="10" t="n">
        <v>74.70999999999999</v>
      </c>
      <c r="J185" s="10" t="n">
        <v>13.793</v>
      </c>
      <c r="K185" s="10" t="n">
        <v>60.917</v>
      </c>
      <c r="L185" s="8" t="inlineStr">
        <is>
          <t>八部</t>
        </is>
      </c>
      <c r="M185" s="8" t="inlineStr">
        <is>
          <t>彭燕</t>
        </is>
      </c>
      <c r="N185" s="8" t="inlineStr">
        <is>
          <t>1-2年</t>
        </is>
      </c>
      <c r="O185" s="8" t="n"/>
    </row>
    <row r="186">
      <c r="A186" s="5" t="n">
        <v>184</v>
      </c>
      <c r="B186" s="5" t="inlineStr">
        <is>
          <t>西北-陕西</t>
        </is>
      </c>
      <c r="C186" s="5" t="inlineStr">
        <is>
          <t>人大政协</t>
        </is>
      </c>
      <c r="D186" s="6" t="inlineStr">
        <is>
          <t>HT20250424</t>
        </is>
      </c>
      <c r="E186" s="6" t="inlineStr">
        <is>
          <t>20260321</t>
        </is>
      </c>
      <c r="F186" s="10" t="n">
        <v>689.664</v>
      </c>
      <c r="G186" s="8" t="n"/>
      <c r="H186" s="10" t="n">
        <v>359.689</v>
      </c>
      <c r="I186" s="10" t="n">
        <v>329.975</v>
      </c>
      <c r="J186" s="10" t="n">
        <v>0.659</v>
      </c>
      <c r="K186" s="10" t="n">
        <v>329.316</v>
      </c>
      <c r="L186" s="8" t="inlineStr">
        <is>
          <t>十部</t>
        </is>
      </c>
      <c r="M186" s="8" t="inlineStr">
        <is>
          <t>薛峰</t>
        </is>
      </c>
      <c r="N186" s="8" t="inlineStr">
        <is>
          <t>1年以内</t>
        </is>
      </c>
      <c r="O186" s="8" t="inlineStr">
        <is>
          <t>产品不合格</t>
        </is>
      </c>
    </row>
    <row r="187">
      <c r="A187" s="5" t="n">
        <v>185</v>
      </c>
      <c r="B187" s="5" t="inlineStr">
        <is>
          <t>华南-香港</t>
        </is>
      </c>
      <c r="C187" s="5" t="inlineStr">
        <is>
          <t>基层自治组织</t>
        </is>
      </c>
      <c r="D187" s="6" t="inlineStr">
        <is>
          <t>HT20250425</t>
        </is>
      </c>
      <c r="E187" s="6" t="inlineStr">
        <is>
          <t>20260227</t>
        </is>
      </c>
      <c r="F187" s="10" t="n">
        <v>920.943</v>
      </c>
      <c r="G187" s="8" t="n"/>
      <c r="H187" s="10" t="n">
        <v>437.117</v>
      </c>
      <c r="I187" s="10" t="n">
        <v>483.826</v>
      </c>
      <c r="J187" s="10" t="n">
        <v>133.105</v>
      </c>
      <c r="K187" s="10" t="n">
        <v>350.721</v>
      </c>
      <c r="L187" s="8" t="inlineStr">
        <is>
          <t>九部</t>
        </is>
      </c>
      <c r="M187" s="8" t="inlineStr">
        <is>
          <t>贾静</t>
        </is>
      </c>
      <c r="N187" s="8" t="inlineStr">
        <is>
          <t>2-3年</t>
        </is>
      </c>
      <c r="O187" s="8" t="n"/>
    </row>
    <row r="188">
      <c r="A188" s="5" t="n">
        <v>186</v>
      </c>
      <c r="B188" s="5" t="inlineStr">
        <is>
          <t>西南-云南</t>
        </is>
      </c>
      <c r="C188" s="5" t="inlineStr">
        <is>
          <t>政府机关</t>
        </is>
      </c>
      <c r="D188" s="6" t="inlineStr">
        <is>
          <t>HT20250425</t>
        </is>
      </c>
      <c r="E188" s="6" t="inlineStr">
        <is>
          <t>20260227</t>
        </is>
      </c>
      <c r="F188" s="10" t="n">
        <v>146.692</v>
      </c>
      <c r="G188" s="8" t="n"/>
      <c r="H188" s="10" t="n">
        <v>97.255</v>
      </c>
      <c r="I188" s="10" t="n">
        <v>49.437</v>
      </c>
      <c r="J188" s="10" t="n">
        <v>14.886</v>
      </c>
      <c r="K188" s="10" t="n">
        <v>34.551</v>
      </c>
      <c r="L188" s="8" t="inlineStr">
        <is>
          <t>四部</t>
        </is>
      </c>
      <c r="M188" s="8" t="inlineStr">
        <is>
          <t>林燕</t>
        </is>
      </c>
      <c r="N188" s="8" t="inlineStr">
        <is>
          <t>1-2年</t>
        </is>
      </c>
      <c r="O188" s="8" t="inlineStr">
        <is>
          <t>产品不合格</t>
        </is>
      </c>
    </row>
    <row r="189">
      <c r="A189" s="5" t="n">
        <v>187</v>
      </c>
      <c r="B189" s="5" t="inlineStr">
        <is>
          <t>华北-山西</t>
        </is>
      </c>
      <c r="C189" s="5" t="inlineStr">
        <is>
          <t>党委机关</t>
        </is>
      </c>
      <c r="D189" s="6" t="inlineStr">
        <is>
          <t>HT20250425</t>
        </is>
      </c>
      <c r="E189" s="6" t="inlineStr">
        <is>
          <t>20260227</t>
        </is>
      </c>
      <c r="F189" s="10" t="n">
        <v>953.26</v>
      </c>
      <c r="G189" s="8" t="n"/>
      <c r="H189" s="10" t="n">
        <v>659.33</v>
      </c>
      <c r="I189" s="10" t="n">
        <v>293.93</v>
      </c>
      <c r="J189" s="10" t="n">
        <v>282.259</v>
      </c>
      <c r="K189" s="10" t="n">
        <v>11.671</v>
      </c>
      <c r="L189" s="8" t="inlineStr">
        <is>
          <t>十部</t>
        </is>
      </c>
      <c r="M189" s="8" t="inlineStr">
        <is>
          <t>侯敏</t>
        </is>
      </c>
      <c r="N189" s="8" t="inlineStr">
        <is>
          <t>1-2年</t>
        </is>
      </c>
      <c r="O189" s="8" t="n"/>
    </row>
    <row r="190">
      <c r="A190" s="5" t="n">
        <v>188</v>
      </c>
      <c r="B190" s="5" t="inlineStr">
        <is>
          <t>华东-浙江</t>
        </is>
      </c>
      <c r="C190" s="5" t="inlineStr">
        <is>
          <t>基层自治组织</t>
        </is>
      </c>
      <c r="D190" s="6" t="inlineStr">
        <is>
          <t>HT20250426</t>
        </is>
      </c>
      <c r="E190" s="6" t="inlineStr">
        <is>
          <t>20251125</t>
        </is>
      </c>
      <c r="F190" s="10" t="n">
        <v>806.106</v>
      </c>
      <c r="G190" s="8" t="n"/>
      <c r="H190" s="10" t="n">
        <v>103.779</v>
      </c>
      <c r="I190" s="10" t="n">
        <v>702.327</v>
      </c>
      <c r="J190" s="10" t="n">
        <v>14.911</v>
      </c>
      <c r="K190" s="10" t="n">
        <v>687.4160000000001</v>
      </c>
      <c r="L190" s="8" t="inlineStr">
        <is>
          <t>四部</t>
        </is>
      </c>
      <c r="M190" s="8" t="inlineStr">
        <is>
          <t>罗刚</t>
        </is>
      </c>
      <c r="N190" s="8" t="inlineStr">
        <is>
          <t>1年以内</t>
        </is>
      </c>
      <c r="O190" s="8" t="n"/>
    </row>
    <row r="191">
      <c r="A191" s="5" t="n">
        <v>189</v>
      </c>
      <c r="B191" s="5" t="inlineStr">
        <is>
          <t>华东-上海</t>
        </is>
      </c>
      <c r="C191" s="5" t="inlineStr">
        <is>
          <t>群团组织</t>
        </is>
      </c>
      <c r="D191" s="6" t="inlineStr">
        <is>
          <t>HT20250427</t>
        </is>
      </c>
      <c r="E191" s="6" t="inlineStr">
        <is>
          <t>20260127</t>
        </is>
      </c>
      <c r="F191" s="10" t="n">
        <v>4581.727</v>
      </c>
      <c r="G191" s="8" t="n"/>
      <c r="H191" s="10" t="n">
        <v>4246.73</v>
      </c>
      <c r="I191" s="10" t="n">
        <v>334.997</v>
      </c>
      <c r="J191" s="10" t="n">
        <v>110.802</v>
      </c>
      <c r="K191" s="10" t="n">
        <v>224.195</v>
      </c>
      <c r="L191" s="8" t="inlineStr">
        <is>
          <t>三部</t>
        </is>
      </c>
      <c r="M191" s="8" t="inlineStr">
        <is>
          <t>朱军</t>
        </is>
      </c>
      <c r="N191" s="8" t="inlineStr">
        <is>
          <t>1年以内</t>
        </is>
      </c>
      <c r="O191" s="8" t="n"/>
    </row>
    <row r="192">
      <c r="A192" s="5" t="n">
        <v>190</v>
      </c>
      <c r="B192" s="5" t="inlineStr">
        <is>
          <t>西南-四川</t>
        </is>
      </c>
      <c r="C192" s="5" t="inlineStr">
        <is>
          <t>监察司法机关</t>
        </is>
      </c>
      <c r="D192" s="6" t="inlineStr">
        <is>
          <t>HT20250427</t>
        </is>
      </c>
      <c r="E192" s="6" t="inlineStr">
        <is>
          <t>20260127</t>
        </is>
      </c>
      <c r="F192" s="10" t="n">
        <v>70.70099999999999</v>
      </c>
      <c r="G192" s="8" t="n"/>
      <c r="H192" s="10" t="n">
        <v>2.741</v>
      </c>
      <c r="I192" s="10" t="n">
        <v>67.95999999999999</v>
      </c>
      <c r="J192" s="10" t="n">
        <v>36.724</v>
      </c>
      <c r="K192" s="10" t="n">
        <v>31.236</v>
      </c>
      <c r="L192" s="8" t="inlineStr">
        <is>
          <t>九部</t>
        </is>
      </c>
      <c r="M192" s="8" t="inlineStr">
        <is>
          <t>丁磊</t>
        </is>
      </c>
      <c r="N192" s="8" t="inlineStr">
        <is>
          <t>1-2年</t>
        </is>
      </c>
      <c r="O192" s="8" t="n"/>
    </row>
    <row r="193">
      <c r="A193" s="5" t="n">
        <v>191</v>
      </c>
      <c r="B193" s="5" t="inlineStr">
        <is>
          <t>华东-山东</t>
        </is>
      </c>
      <c r="C193" s="5" t="inlineStr">
        <is>
          <t>人大政协</t>
        </is>
      </c>
      <c r="D193" s="6" t="inlineStr">
        <is>
          <t>HT20250428</t>
        </is>
      </c>
      <c r="E193" s="6" t="inlineStr">
        <is>
          <t>20260312</t>
        </is>
      </c>
      <c r="F193" s="10" t="n">
        <v>4215.876</v>
      </c>
      <c r="G193" s="8" t="n"/>
      <c r="H193" s="10" t="n">
        <v>145.332</v>
      </c>
      <c r="I193" s="10" t="n">
        <v>4070.544</v>
      </c>
      <c r="J193" s="10" t="n">
        <v>3040.519</v>
      </c>
      <c r="K193" s="10" t="n">
        <v>1030.025</v>
      </c>
      <c r="L193" s="8" t="inlineStr">
        <is>
          <t>八部</t>
        </is>
      </c>
      <c r="M193" s="8" t="inlineStr">
        <is>
          <t>苏珊</t>
        </is>
      </c>
      <c r="N193" s="8" t="inlineStr">
        <is>
          <t>1-2年</t>
        </is>
      </c>
      <c r="O193" s="8" t="inlineStr">
        <is>
          <t>产品不合格</t>
        </is>
      </c>
    </row>
    <row r="194">
      <c r="A194" s="5" t="n">
        <v>192</v>
      </c>
      <c r="B194" s="5" t="inlineStr">
        <is>
          <t>华东-福建</t>
        </is>
      </c>
      <c r="C194" s="5" t="inlineStr">
        <is>
          <t>政府机关</t>
        </is>
      </c>
      <c r="D194" s="6" t="inlineStr">
        <is>
          <t>HT20250503</t>
        </is>
      </c>
      <c r="E194" s="6" t="inlineStr">
        <is>
          <t>20260205</t>
        </is>
      </c>
      <c r="F194" s="10" t="n">
        <v>252.324</v>
      </c>
      <c r="G194" s="8" t="n"/>
      <c r="H194" s="10" t="n">
        <v>61.007</v>
      </c>
      <c r="I194" s="10" t="n">
        <v>191.317</v>
      </c>
      <c r="J194" s="10" t="n">
        <v>83.41500000000001</v>
      </c>
      <c r="K194" s="10" t="n">
        <v>107.902</v>
      </c>
      <c r="L194" s="8" t="inlineStr">
        <is>
          <t>一部</t>
        </is>
      </c>
      <c r="M194" s="8" t="inlineStr">
        <is>
          <t>王芳</t>
        </is>
      </c>
      <c r="N194" s="8" t="inlineStr">
        <is>
          <t>1年以内</t>
        </is>
      </c>
      <c r="O194" s="8" t="inlineStr">
        <is>
          <t>产品不合格</t>
        </is>
      </c>
    </row>
    <row r="195">
      <c r="A195" s="5" t="n">
        <v>193</v>
      </c>
      <c r="B195" s="5" t="inlineStr">
        <is>
          <t>华东-安徽</t>
        </is>
      </c>
      <c r="C195" s="5" t="inlineStr">
        <is>
          <t>群团组织</t>
        </is>
      </c>
      <c r="D195" s="6" t="inlineStr">
        <is>
          <t>HT20250503</t>
        </is>
      </c>
      <c r="E195" s="6" t="inlineStr">
        <is>
          <t>20260205</t>
        </is>
      </c>
      <c r="F195" s="10" t="n">
        <v>657.163</v>
      </c>
      <c r="G195" s="8" t="n"/>
      <c r="H195" s="10" t="n">
        <v>68.723</v>
      </c>
      <c r="I195" s="10" t="n">
        <v>588.4400000000001</v>
      </c>
      <c r="J195" s="10" t="n">
        <v>54.451</v>
      </c>
      <c r="K195" s="10" t="n">
        <v>533.989</v>
      </c>
      <c r="L195" s="8" t="inlineStr">
        <is>
          <t>四部</t>
        </is>
      </c>
      <c r="M195" s="8" t="inlineStr">
        <is>
          <t>郭鹏</t>
        </is>
      </c>
      <c r="N195" s="8" t="inlineStr">
        <is>
          <t>1-2年</t>
        </is>
      </c>
      <c r="O195" s="8" t="n"/>
    </row>
    <row r="196">
      <c r="A196" s="5" t="n">
        <v>194</v>
      </c>
      <c r="B196" s="5" t="inlineStr">
        <is>
          <t>西南-贵州</t>
        </is>
      </c>
      <c r="C196" s="5" t="inlineStr">
        <is>
          <t>党委机关</t>
        </is>
      </c>
      <c r="D196" s="6" t="inlineStr">
        <is>
          <t>HT20250504</t>
        </is>
      </c>
      <c r="E196" s="6" t="inlineStr">
        <is>
          <t>20260728</t>
        </is>
      </c>
      <c r="F196" s="10" t="n">
        <v>856.123</v>
      </c>
      <c r="G196" s="8" t="n"/>
      <c r="H196" s="10" t="n">
        <v>779.332</v>
      </c>
      <c r="I196" s="10" t="n">
        <v>76.791</v>
      </c>
      <c r="J196" s="10" t="n">
        <v>54.499</v>
      </c>
      <c r="K196" s="10" t="n">
        <v>22.292</v>
      </c>
      <c r="L196" s="8" t="inlineStr">
        <is>
          <t>一部</t>
        </is>
      </c>
      <c r="M196" s="8" t="inlineStr">
        <is>
          <t>王芳</t>
        </is>
      </c>
      <c r="N196" s="8" t="inlineStr">
        <is>
          <t>1年以内</t>
        </is>
      </c>
      <c r="O196" s="8" t="n"/>
    </row>
    <row r="197">
      <c r="A197" s="5" t="n">
        <v>195</v>
      </c>
      <c r="B197" s="5" t="inlineStr">
        <is>
          <t>华东-江西</t>
        </is>
      </c>
      <c r="C197" s="5" t="inlineStr">
        <is>
          <t>政府机关</t>
        </is>
      </c>
      <c r="D197" s="6" t="inlineStr">
        <is>
          <t>HT20250504</t>
        </is>
      </c>
      <c r="E197" s="6" t="inlineStr">
        <is>
          <t>20260728</t>
        </is>
      </c>
      <c r="F197" s="10" t="n">
        <v>859.5410000000001</v>
      </c>
      <c r="G197" s="8" t="n"/>
      <c r="H197" s="10" t="n">
        <v>112.138</v>
      </c>
      <c r="I197" s="10" t="n">
        <v>747.403</v>
      </c>
      <c r="J197" s="10" t="n">
        <v>396.724</v>
      </c>
      <c r="K197" s="10" t="n">
        <v>350.679</v>
      </c>
      <c r="L197" s="8" t="inlineStr">
        <is>
          <t>四部</t>
        </is>
      </c>
      <c r="M197" s="8" t="inlineStr">
        <is>
          <t>高翔</t>
        </is>
      </c>
      <c r="N197" s="8" t="inlineStr">
        <is>
          <t>2-3年</t>
        </is>
      </c>
      <c r="O197" s="8" t="n"/>
    </row>
    <row r="198">
      <c r="A198" s="5" t="n">
        <v>196</v>
      </c>
      <c r="B198" s="5" t="inlineStr">
        <is>
          <t>西北-宁夏</t>
        </is>
      </c>
      <c r="C198" s="5" t="inlineStr">
        <is>
          <t>事业单位</t>
        </is>
      </c>
      <c r="D198" s="6" t="inlineStr">
        <is>
          <t>HT20250505</t>
        </is>
      </c>
      <c r="E198" s="6" t="inlineStr">
        <is>
          <t>20260831</t>
        </is>
      </c>
      <c r="F198" s="10" t="n">
        <v>419.345</v>
      </c>
      <c r="G198" s="8" t="n"/>
      <c r="H198" s="10" t="n">
        <v>390.338</v>
      </c>
      <c r="I198" s="10" t="n">
        <v>29.007</v>
      </c>
      <c r="J198" s="10" t="n">
        <v>2.559</v>
      </c>
      <c r="K198" s="10" t="n">
        <v>26.448</v>
      </c>
      <c r="L198" s="8" t="inlineStr">
        <is>
          <t>四部</t>
        </is>
      </c>
      <c r="M198" s="8" t="inlineStr">
        <is>
          <t>何萍</t>
        </is>
      </c>
      <c r="N198" s="8" t="inlineStr">
        <is>
          <t>1-2年</t>
        </is>
      </c>
      <c r="O198" s="8" t="n"/>
    </row>
    <row r="199">
      <c r="A199" s="5" t="n">
        <v>197</v>
      </c>
      <c r="B199" s="5" t="inlineStr">
        <is>
          <t>西南-四川</t>
        </is>
      </c>
      <c r="C199" s="5" t="inlineStr">
        <is>
          <t>事业单位</t>
        </is>
      </c>
      <c r="D199" s="6" t="inlineStr">
        <is>
          <t>HT20250506</t>
        </is>
      </c>
      <c r="E199" s="6" t="inlineStr">
        <is>
          <t>20251109</t>
        </is>
      </c>
      <c r="F199" s="10" t="n">
        <v>620.703</v>
      </c>
      <c r="G199" s="8" t="n"/>
      <c r="H199" s="10" t="n">
        <v>118.966</v>
      </c>
      <c r="I199" s="10" t="n">
        <v>501.737</v>
      </c>
      <c r="J199" s="10" t="n">
        <v>413.503</v>
      </c>
      <c r="K199" s="10" t="n">
        <v>88.23399999999999</v>
      </c>
      <c r="L199" s="8" t="inlineStr">
        <is>
          <t>四部</t>
        </is>
      </c>
      <c r="M199" s="8" t="inlineStr">
        <is>
          <t>高翔</t>
        </is>
      </c>
      <c r="N199" s="8" t="inlineStr">
        <is>
          <t>1-2年</t>
        </is>
      </c>
      <c r="O199" s="8" t="n"/>
    </row>
    <row r="200">
      <c r="A200" s="5" t="n">
        <v>198</v>
      </c>
      <c r="B200" s="5" t="inlineStr">
        <is>
          <t>华南-海南</t>
        </is>
      </c>
      <c r="C200" s="5" t="inlineStr">
        <is>
          <t>群团组织</t>
        </is>
      </c>
      <c r="D200" s="6" t="inlineStr">
        <is>
          <t>HT20250506</t>
        </is>
      </c>
      <c r="E200" s="6" t="inlineStr">
        <is>
          <t>20251109</t>
        </is>
      </c>
      <c r="F200" s="10" t="n">
        <v>246.911</v>
      </c>
      <c r="G200" s="8" t="n"/>
      <c r="H200" s="10" t="n">
        <v>75.375</v>
      </c>
      <c r="I200" s="10" t="n">
        <v>171.536</v>
      </c>
      <c r="J200" s="10" t="n">
        <v>27.38</v>
      </c>
      <c r="K200" s="10" t="n">
        <v>144.156</v>
      </c>
      <c r="L200" s="8" t="inlineStr">
        <is>
          <t>四部</t>
        </is>
      </c>
      <c r="M200" s="8" t="inlineStr">
        <is>
          <t>何萍</t>
        </is>
      </c>
      <c r="N200" s="8" t="inlineStr">
        <is>
          <t>1年以内</t>
        </is>
      </c>
      <c r="O200" s="8" t="inlineStr">
        <is>
          <t>产品不合格</t>
        </is>
      </c>
    </row>
    <row r="201">
      <c r="A201" s="5" t="n">
        <v>199</v>
      </c>
      <c r="B201" s="5" t="inlineStr">
        <is>
          <t>华东-浙江</t>
        </is>
      </c>
      <c r="C201" s="5" t="inlineStr">
        <is>
          <t>监察司法机关</t>
        </is>
      </c>
      <c r="D201" s="6" t="inlineStr">
        <is>
          <t>HT20250507</t>
        </is>
      </c>
      <c r="E201" s="6" t="inlineStr">
        <is>
          <t>20260111</t>
        </is>
      </c>
      <c r="F201" s="10" t="n">
        <v>959.856</v>
      </c>
      <c r="G201" s="8" t="n"/>
      <c r="H201" s="10" t="n">
        <v>389.75</v>
      </c>
      <c r="I201" s="10" t="n">
        <v>570.106</v>
      </c>
      <c r="J201" s="10" t="n">
        <v>13.415</v>
      </c>
      <c r="K201" s="10" t="n">
        <v>556.691</v>
      </c>
      <c r="L201" s="8" t="inlineStr">
        <is>
          <t>八部</t>
        </is>
      </c>
      <c r="M201" s="8" t="inlineStr">
        <is>
          <t>彭燕</t>
        </is>
      </c>
      <c r="N201" s="8" t="inlineStr">
        <is>
          <t>1年以内</t>
        </is>
      </c>
      <c r="O201" s="8" t="n"/>
    </row>
    <row r="202">
      <c r="A202" s="5" t="n">
        <v>200</v>
      </c>
      <c r="B202" s="5" t="inlineStr">
        <is>
          <t>华北-河北</t>
        </is>
      </c>
      <c r="C202" s="5" t="inlineStr">
        <is>
          <t>政府机关</t>
        </is>
      </c>
      <c r="D202" s="6" t="inlineStr">
        <is>
          <t>HT20250508</t>
        </is>
      </c>
      <c r="E202" s="6" t="inlineStr">
        <is>
          <t>20250907</t>
        </is>
      </c>
      <c r="F202" s="10" t="n">
        <v>578.447</v>
      </c>
      <c r="G202" s="8" t="n"/>
      <c r="H202" s="10" t="n">
        <v>473.33</v>
      </c>
      <c r="I202" s="10" t="n">
        <v>105.117</v>
      </c>
      <c r="J202" s="10" t="n">
        <v>37.023</v>
      </c>
      <c r="K202" s="10" t="n">
        <v>68.09399999999999</v>
      </c>
      <c r="L202" s="8" t="inlineStr">
        <is>
          <t>十部</t>
        </is>
      </c>
      <c r="M202" s="8" t="inlineStr">
        <is>
          <t>侯敏</t>
        </is>
      </c>
      <c r="N202" s="8" t="inlineStr">
        <is>
          <t>2-3年</t>
        </is>
      </c>
      <c r="O202" s="8" t="n"/>
    </row>
    <row r="203">
      <c r="A203" s="5" t="n">
        <v>201</v>
      </c>
      <c r="B203" s="5" t="inlineStr">
        <is>
          <t>东北-辽宁</t>
        </is>
      </c>
      <c r="C203" s="5" t="inlineStr">
        <is>
          <t>党委机关</t>
        </is>
      </c>
      <c r="D203" s="6" t="inlineStr">
        <is>
          <t>HT20250509</t>
        </is>
      </c>
      <c r="E203" s="6" t="inlineStr">
        <is>
          <t>20260614</t>
        </is>
      </c>
      <c r="F203" s="10" t="n">
        <v>769.491</v>
      </c>
      <c r="G203" s="8" t="n"/>
      <c r="H203" s="10" t="n">
        <v>682.891</v>
      </c>
      <c r="I203" s="10" t="n">
        <v>86.59999999999999</v>
      </c>
      <c r="J203" s="10" t="n">
        <v>59.835</v>
      </c>
      <c r="K203" s="10" t="n">
        <v>26.765</v>
      </c>
      <c r="L203" s="8" t="inlineStr">
        <is>
          <t>五部</t>
        </is>
      </c>
      <c r="M203" s="8" t="inlineStr">
        <is>
          <t>宋佳</t>
        </is>
      </c>
      <c r="N203" s="8" t="inlineStr">
        <is>
          <t>1年以内</t>
        </is>
      </c>
      <c r="O203" s="8" t="n"/>
    </row>
    <row r="204">
      <c r="A204" s="5" t="n">
        <v>202</v>
      </c>
      <c r="B204" s="5" t="inlineStr">
        <is>
          <t>华北-山西</t>
        </is>
      </c>
      <c r="C204" s="5" t="inlineStr">
        <is>
          <t>国有企业</t>
        </is>
      </c>
      <c r="D204" s="6" t="inlineStr">
        <is>
          <t>HT20250509</t>
        </is>
      </c>
      <c r="E204" s="6" t="inlineStr">
        <is>
          <t>20260614</t>
        </is>
      </c>
      <c r="F204" s="10" t="n">
        <v>357.706</v>
      </c>
      <c r="G204" s="8" t="n"/>
      <c r="H204" s="10" t="n">
        <v>47.273</v>
      </c>
      <c r="I204" s="10" t="n">
        <v>310.433</v>
      </c>
      <c r="J204" s="10" t="n">
        <v>175.089</v>
      </c>
      <c r="K204" s="10" t="n">
        <v>135.344</v>
      </c>
      <c r="L204" s="8" t="inlineStr">
        <is>
          <t>七部</t>
        </is>
      </c>
      <c r="M204" s="8" t="inlineStr">
        <is>
          <t>沈刚</t>
        </is>
      </c>
      <c r="N204" s="8" t="inlineStr">
        <is>
          <t>1-2年</t>
        </is>
      </c>
      <c r="O204" s="8" t="n"/>
    </row>
    <row r="205">
      <c r="A205" s="5" t="n">
        <v>203</v>
      </c>
      <c r="B205" s="5" t="inlineStr">
        <is>
          <t>西北-甘肃</t>
        </is>
      </c>
      <c r="C205" s="5" t="inlineStr">
        <is>
          <t>国有企业</t>
        </is>
      </c>
      <c r="D205" s="6" t="inlineStr">
        <is>
          <t>HT20250509</t>
        </is>
      </c>
      <c r="E205" s="6" t="inlineStr">
        <is>
          <t>20260614</t>
        </is>
      </c>
      <c r="F205" s="10" t="n">
        <v>304.678</v>
      </c>
      <c r="G205" s="8" t="n"/>
      <c r="H205" s="10" t="n">
        <v>15.289</v>
      </c>
      <c r="I205" s="10" t="n">
        <v>289.389</v>
      </c>
      <c r="J205" s="10" t="n">
        <v>141.913</v>
      </c>
      <c r="K205" s="10" t="n">
        <v>147.476</v>
      </c>
      <c r="L205" s="8" t="inlineStr">
        <is>
          <t>一部</t>
        </is>
      </c>
      <c r="M205" s="8" t="inlineStr">
        <is>
          <t>李娜</t>
        </is>
      </c>
      <c r="N205" s="8" t="inlineStr">
        <is>
          <t>2-3年</t>
        </is>
      </c>
      <c r="O205" s="8" t="n"/>
    </row>
    <row r="206">
      <c r="A206" s="5" t="n">
        <v>204</v>
      </c>
      <c r="B206" s="5" t="inlineStr">
        <is>
          <t>西南-贵州</t>
        </is>
      </c>
      <c r="C206" s="5" t="inlineStr">
        <is>
          <t>监察司法机关</t>
        </is>
      </c>
      <c r="D206" s="6" t="inlineStr">
        <is>
          <t>HT20250509</t>
        </is>
      </c>
      <c r="E206" s="6" t="inlineStr">
        <is>
          <t>20260614</t>
        </is>
      </c>
      <c r="F206" s="10" t="n">
        <v>369.38</v>
      </c>
      <c r="G206" s="8" t="n"/>
      <c r="H206" s="10" t="n">
        <v>255.96</v>
      </c>
      <c r="I206" s="10" t="n">
        <v>113.42</v>
      </c>
      <c r="J206" s="10" t="n">
        <v>99.282</v>
      </c>
      <c r="K206" s="10" t="n">
        <v>14.138</v>
      </c>
      <c r="L206" s="8" t="inlineStr">
        <is>
          <t>七部</t>
        </is>
      </c>
      <c r="M206" s="8" t="inlineStr">
        <is>
          <t>傅蓉</t>
        </is>
      </c>
      <c r="N206" s="8" t="inlineStr">
        <is>
          <t>1-2年</t>
        </is>
      </c>
      <c r="O206" s="8" t="n"/>
    </row>
    <row r="207">
      <c r="A207" s="5" t="n">
        <v>205</v>
      </c>
      <c r="B207" s="5" t="inlineStr">
        <is>
          <t>华东-江苏</t>
        </is>
      </c>
      <c r="C207" s="5" t="inlineStr">
        <is>
          <t>党委机关</t>
        </is>
      </c>
      <c r="D207" s="6" t="inlineStr">
        <is>
          <t>HT20250509</t>
        </is>
      </c>
      <c r="E207" s="6" t="inlineStr">
        <is>
          <t>20260614</t>
        </is>
      </c>
      <c r="F207" s="10" t="n">
        <v>146.185</v>
      </c>
      <c r="G207" s="8" t="n"/>
      <c r="H207" s="10" t="n">
        <v>98.782</v>
      </c>
      <c r="I207" s="10" t="n">
        <v>47.403</v>
      </c>
      <c r="J207" s="10" t="n">
        <v>25.188</v>
      </c>
      <c r="K207" s="10" t="n">
        <v>22.215</v>
      </c>
      <c r="L207" s="8" t="inlineStr">
        <is>
          <t>五部</t>
        </is>
      </c>
      <c r="M207" s="8" t="inlineStr">
        <is>
          <t>宋佳</t>
        </is>
      </c>
      <c r="N207" s="8" t="inlineStr">
        <is>
          <t>1-2年</t>
        </is>
      </c>
      <c r="O207" s="8" t="n"/>
    </row>
    <row r="208">
      <c r="A208" s="5" t="n">
        <v>206</v>
      </c>
      <c r="B208" s="5" t="inlineStr">
        <is>
          <t>西南-西藏</t>
        </is>
      </c>
      <c r="C208" s="5" t="inlineStr">
        <is>
          <t>基层自治组织</t>
        </is>
      </c>
      <c r="D208" s="6" t="inlineStr">
        <is>
          <t>HT20250509</t>
        </is>
      </c>
      <c r="E208" s="6" t="inlineStr">
        <is>
          <t>20260614</t>
        </is>
      </c>
      <c r="F208" s="10" t="n">
        <v>903.404</v>
      </c>
      <c r="G208" s="8" t="n"/>
      <c r="H208" s="10" t="n">
        <v>60.828</v>
      </c>
      <c r="I208" s="10" t="n">
        <v>842.576</v>
      </c>
      <c r="J208" s="10" t="n">
        <v>717.438</v>
      </c>
      <c r="K208" s="10" t="n">
        <v>125.138</v>
      </c>
      <c r="L208" s="8" t="inlineStr">
        <is>
          <t>一部</t>
        </is>
      </c>
      <c r="M208" s="8" t="inlineStr">
        <is>
          <t>李娜</t>
        </is>
      </c>
      <c r="N208" s="8" t="inlineStr">
        <is>
          <t>1年以内</t>
        </is>
      </c>
      <c r="O208" s="8" t="n"/>
    </row>
    <row r="209">
      <c r="A209" s="5" t="n">
        <v>207</v>
      </c>
      <c r="B209" s="5" t="inlineStr">
        <is>
          <t>华东-福建</t>
        </is>
      </c>
      <c r="C209" s="5" t="inlineStr">
        <is>
          <t>群团组织</t>
        </is>
      </c>
      <c r="D209" s="6" t="inlineStr">
        <is>
          <t>HT20250510</t>
        </is>
      </c>
      <c r="E209" s="6" t="inlineStr">
        <is>
          <t>20260605</t>
        </is>
      </c>
      <c r="F209" s="10" t="n">
        <v>7.338</v>
      </c>
      <c r="G209" s="8" t="n"/>
      <c r="H209" s="10" t="n">
        <v>6.262</v>
      </c>
      <c r="I209" s="10" t="n">
        <v>1.076</v>
      </c>
      <c r="J209" s="10" t="n">
        <v>0.7</v>
      </c>
      <c r="K209" s="10" t="n">
        <v>0.376</v>
      </c>
      <c r="L209" s="8" t="inlineStr">
        <is>
          <t>六部</t>
        </is>
      </c>
      <c r="M209" s="8" t="inlineStr">
        <is>
          <t>董辉</t>
        </is>
      </c>
      <c r="N209" s="8" t="inlineStr">
        <is>
          <t>1-2年</t>
        </is>
      </c>
      <c r="O209" s="8" t="n"/>
    </row>
    <row r="210">
      <c r="A210" s="5" t="n">
        <v>208</v>
      </c>
      <c r="B210" s="5" t="inlineStr">
        <is>
          <t>西北-甘肃</t>
        </is>
      </c>
      <c r="C210" s="5" t="inlineStr">
        <is>
          <t>党委机关</t>
        </is>
      </c>
      <c r="D210" s="6" t="inlineStr">
        <is>
          <t>HT20250511</t>
        </is>
      </c>
      <c r="E210" s="6" t="inlineStr">
        <is>
          <t>20251127</t>
        </is>
      </c>
      <c r="F210" s="10" t="n">
        <v>819.539</v>
      </c>
      <c r="G210" s="8" t="n"/>
      <c r="H210" s="10" t="n">
        <v>430.782</v>
      </c>
      <c r="I210" s="10" t="n">
        <v>388.757</v>
      </c>
      <c r="J210" s="10" t="n">
        <v>268.265</v>
      </c>
      <c r="K210" s="10" t="n">
        <v>120.492</v>
      </c>
      <c r="L210" s="8" t="inlineStr">
        <is>
          <t>六部</t>
        </is>
      </c>
      <c r="M210" s="8" t="inlineStr">
        <is>
          <t>董辉</t>
        </is>
      </c>
      <c r="N210" s="8" t="inlineStr">
        <is>
          <t>1-2年</t>
        </is>
      </c>
      <c r="O210" s="8" t="n"/>
    </row>
    <row r="211">
      <c r="A211" s="5" t="n">
        <v>209</v>
      </c>
      <c r="B211" s="5" t="inlineStr">
        <is>
          <t>华东-台湾</t>
        </is>
      </c>
      <c r="C211" s="5" t="inlineStr">
        <is>
          <t>党委机关</t>
        </is>
      </c>
      <c r="D211" s="6" t="inlineStr">
        <is>
          <t>HT20250512</t>
        </is>
      </c>
      <c r="E211" s="6" t="inlineStr">
        <is>
          <t>20251016</t>
        </is>
      </c>
      <c r="F211" s="10" t="n">
        <v>237.124</v>
      </c>
      <c r="G211" s="8" t="n"/>
      <c r="H211" s="10" t="n">
        <v>120.596</v>
      </c>
      <c r="I211" s="10" t="n">
        <v>116.528</v>
      </c>
      <c r="J211" s="10" t="n">
        <v>33.718</v>
      </c>
      <c r="K211" s="10" t="n">
        <v>82.81</v>
      </c>
      <c r="L211" s="8" t="inlineStr">
        <is>
          <t>五部</t>
        </is>
      </c>
      <c r="M211" s="8" t="inlineStr">
        <is>
          <t>谢峰</t>
        </is>
      </c>
      <c r="N211" s="8" t="inlineStr">
        <is>
          <t>2-3年</t>
        </is>
      </c>
      <c r="O211" s="8" t="n"/>
    </row>
    <row r="212">
      <c r="A212" s="5" t="n">
        <v>210</v>
      </c>
      <c r="B212" s="5" t="inlineStr">
        <is>
          <t>华东-江西</t>
        </is>
      </c>
      <c r="C212" s="5" t="inlineStr">
        <is>
          <t>党委机关</t>
        </is>
      </c>
      <c r="D212" s="6" t="inlineStr">
        <is>
          <t>HT20250512</t>
        </is>
      </c>
      <c r="E212" s="6" t="inlineStr">
        <is>
          <t>20251016</t>
        </is>
      </c>
      <c r="F212" s="10" t="n">
        <v>90.321</v>
      </c>
      <c r="G212" s="8" t="n"/>
      <c r="H212" s="10" t="n">
        <v>34.909</v>
      </c>
      <c r="I212" s="10" t="n">
        <v>55.412</v>
      </c>
      <c r="J212" s="10" t="n">
        <v>49.571</v>
      </c>
      <c r="K212" s="10" t="n">
        <v>5.841</v>
      </c>
      <c r="L212" s="8" t="inlineStr">
        <is>
          <t>一部</t>
        </is>
      </c>
      <c r="M212" s="8" t="inlineStr">
        <is>
          <t>王芳</t>
        </is>
      </c>
      <c r="N212" s="8" t="inlineStr">
        <is>
          <t>2-3年</t>
        </is>
      </c>
      <c r="O212" s="8" t="n"/>
    </row>
    <row r="213">
      <c r="A213" s="5" t="n">
        <v>211</v>
      </c>
      <c r="B213" s="5" t="inlineStr">
        <is>
          <t>西南-西藏</t>
        </is>
      </c>
      <c r="C213" s="5" t="inlineStr">
        <is>
          <t>事业单位</t>
        </is>
      </c>
      <c r="D213" s="6" t="inlineStr">
        <is>
          <t>HT20250513</t>
        </is>
      </c>
      <c r="E213" s="6" t="inlineStr">
        <is>
          <t>20260611</t>
        </is>
      </c>
      <c r="F213" s="10" t="n">
        <v>498.787</v>
      </c>
      <c r="G213" s="8" t="n"/>
      <c r="H213" s="10" t="n">
        <v>80.492</v>
      </c>
      <c r="I213" s="10" t="n">
        <v>418.295</v>
      </c>
      <c r="J213" s="10" t="n">
        <v>113.571</v>
      </c>
      <c r="K213" s="10" t="n">
        <v>304.724</v>
      </c>
      <c r="L213" s="8" t="inlineStr">
        <is>
          <t>七部</t>
        </is>
      </c>
      <c r="M213" s="8" t="inlineStr">
        <is>
          <t>傅蓉</t>
        </is>
      </c>
      <c r="N213" s="8" t="inlineStr">
        <is>
          <t>1-2年</t>
        </is>
      </c>
      <c r="O213" s="8" t="n"/>
    </row>
    <row r="214">
      <c r="A214" s="5" t="n">
        <v>212</v>
      </c>
      <c r="B214" s="5" t="inlineStr">
        <is>
          <t>华中-湖南</t>
        </is>
      </c>
      <c r="C214" s="5" t="inlineStr">
        <is>
          <t>基层自治组织</t>
        </is>
      </c>
      <c r="D214" s="6" t="inlineStr">
        <is>
          <t>HT20250514</t>
        </is>
      </c>
      <c r="E214" s="6" t="inlineStr">
        <is>
          <t>20260108</t>
        </is>
      </c>
      <c r="F214" s="10" t="n">
        <v>788.92</v>
      </c>
      <c r="G214" s="8" t="n"/>
      <c r="H214" s="10" t="n">
        <v>281.709</v>
      </c>
      <c r="I214" s="10" t="n">
        <v>507.211</v>
      </c>
      <c r="J214" s="10" t="n">
        <v>357.167</v>
      </c>
      <c r="K214" s="10" t="n">
        <v>150.044</v>
      </c>
      <c r="L214" s="8" t="inlineStr">
        <is>
          <t>九部</t>
        </is>
      </c>
      <c r="M214" s="8" t="inlineStr">
        <is>
          <t>丁磊</t>
        </is>
      </c>
      <c r="N214" s="8" t="inlineStr">
        <is>
          <t>1年以内</t>
        </is>
      </c>
      <c r="O214" s="8" t="n"/>
    </row>
    <row r="215">
      <c r="A215" s="5" t="n">
        <v>213</v>
      </c>
      <c r="B215" s="5" t="inlineStr">
        <is>
          <t>华南-香港</t>
        </is>
      </c>
      <c r="C215" s="5" t="inlineStr">
        <is>
          <t>基层自治组织</t>
        </is>
      </c>
      <c r="D215" s="6" t="inlineStr">
        <is>
          <t>HT20250514</t>
        </is>
      </c>
      <c r="E215" s="6" t="inlineStr">
        <is>
          <t>20260108</t>
        </is>
      </c>
      <c r="F215" s="10" t="n">
        <v>414.937</v>
      </c>
      <c r="G215" s="8" t="n"/>
      <c r="H215" s="10" t="n">
        <v>339.105</v>
      </c>
      <c r="I215" s="10" t="n">
        <v>75.83199999999999</v>
      </c>
      <c r="J215" s="10" t="n">
        <v>45.136</v>
      </c>
      <c r="K215" s="10" t="n">
        <v>30.696</v>
      </c>
      <c r="L215" s="8" t="inlineStr">
        <is>
          <t>二部</t>
        </is>
      </c>
      <c r="M215" s="8" t="inlineStr">
        <is>
          <t>赵敏</t>
        </is>
      </c>
      <c r="N215" s="8" t="inlineStr">
        <is>
          <t>2-3年</t>
        </is>
      </c>
      <c r="O215" s="8" t="n"/>
    </row>
    <row r="216">
      <c r="A216" s="5" t="n">
        <v>214</v>
      </c>
      <c r="B216" s="5" t="inlineStr">
        <is>
          <t>西北-新疆</t>
        </is>
      </c>
      <c r="C216" s="5" t="inlineStr">
        <is>
          <t>群团组织</t>
        </is>
      </c>
      <c r="D216" s="6" t="inlineStr">
        <is>
          <t>HT20250514</t>
        </is>
      </c>
      <c r="E216" s="6" t="inlineStr">
        <is>
          <t>20260108</t>
        </is>
      </c>
      <c r="F216" s="10" t="n">
        <v>147.032</v>
      </c>
      <c r="G216" s="8" t="n"/>
      <c r="H216" s="10" t="n">
        <v>81.325</v>
      </c>
      <c r="I216" s="10" t="n">
        <v>65.70699999999999</v>
      </c>
      <c r="J216" s="10" t="n">
        <v>25.481</v>
      </c>
      <c r="K216" s="10" t="n">
        <v>40.226</v>
      </c>
      <c r="L216" s="8" t="inlineStr">
        <is>
          <t>九部</t>
        </is>
      </c>
      <c r="M216" s="8" t="inlineStr">
        <is>
          <t>丁磊</t>
        </is>
      </c>
      <c r="N216" s="8" t="inlineStr">
        <is>
          <t>1-2年</t>
        </is>
      </c>
      <c r="O216" s="8" t="n"/>
    </row>
    <row r="217">
      <c r="A217" s="5" t="n">
        <v>215</v>
      </c>
      <c r="B217" s="5" t="inlineStr">
        <is>
          <t>华南-海南</t>
        </is>
      </c>
      <c r="C217" s="5" t="inlineStr">
        <is>
          <t>党委机关</t>
        </is>
      </c>
      <c r="D217" s="6" t="inlineStr">
        <is>
          <t>HT20250514</t>
        </is>
      </c>
      <c r="E217" s="6" t="inlineStr">
        <is>
          <t>20260108</t>
        </is>
      </c>
      <c r="F217" s="10" t="n">
        <v>413.385</v>
      </c>
      <c r="G217" s="8" t="n"/>
      <c r="H217" s="10" t="n">
        <v>407.311</v>
      </c>
      <c r="I217" s="10" t="n">
        <v>6.074</v>
      </c>
      <c r="J217" s="10" t="n">
        <v>1.917</v>
      </c>
      <c r="K217" s="10" t="n">
        <v>4.157</v>
      </c>
      <c r="L217" s="8" t="inlineStr">
        <is>
          <t>六部</t>
        </is>
      </c>
      <c r="M217" s="8" t="inlineStr">
        <is>
          <t>董辉</t>
        </is>
      </c>
      <c r="N217" s="8" t="inlineStr">
        <is>
          <t>1年以内</t>
        </is>
      </c>
      <c r="O217" s="8" t="n"/>
    </row>
    <row r="218">
      <c r="A218" s="5" t="n">
        <v>216</v>
      </c>
      <c r="B218" s="5" t="inlineStr">
        <is>
          <t>华东-福建</t>
        </is>
      </c>
      <c r="C218" s="5" t="inlineStr">
        <is>
          <t>人大政协</t>
        </is>
      </c>
      <c r="D218" s="6" t="inlineStr">
        <is>
          <t>HT20250514</t>
        </is>
      </c>
      <c r="E218" s="6" t="inlineStr">
        <is>
          <t>20260108</t>
        </is>
      </c>
      <c r="F218" s="10" t="n">
        <v>84.956</v>
      </c>
      <c r="G218" s="8" t="n"/>
      <c r="H218" s="10" t="n">
        <v>29.614</v>
      </c>
      <c r="I218" s="10" t="n">
        <v>55.342</v>
      </c>
      <c r="J218" s="10" t="n">
        <v>11.445</v>
      </c>
      <c r="K218" s="10" t="n">
        <v>43.897</v>
      </c>
      <c r="L218" s="8" t="inlineStr">
        <is>
          <t>六部</t>
        </is>
      </c>
      <c r="M218" s="8" t="inlineStr">
        <is>
          <t>曹阳</t>
        </is>
      </c>
      <c r="N218" s="8" t="inlineStr">
        <is>
          <t>1-2年</t>
        </is>
      </c>
      <c r="O218" s="8" t="n"/>
    </row>
    <row r="219">
      <c r="A219" s="5" t="n">
        <v>217</v>
      </c>
      <c r="B219" s="5" t="inlineStr">
        <is>
          <t>西南-贵州</t>
        </is>
      </c>
      <c r="C219" s="5" t="inlineStr">
        <is>
          <t>政府机关</t>
        </is>
      </c>
      <c r="D219" s="6" t="inlineStr">
        <is>
          <t>HT20250515</t>
        </is>
      </c>
      <c r="E219" s="6" t="inlineStr">
        <is>
          <t>20260803</t>
        </is>
      </c>
      <c r="F219" s="10" t="n">
        <v>608.3</v>
      </c>
      <c r="G219" s="8" t="n"/>
      <c r="H219" s="10" t="n">
        <v>552.309</v>
      </c>
      <c r="I219" s="10" t="n">
        <v>55.991</v>
      </c>
      <c r="J219" s="10" t="n">
        <v>4.275</v>
      </c>
      <c r="K219" s="10" t="n">
        <v>51.716</v>
      </c>
      <c r="L219" s="8" t="inlineStr">
        <is>
          <t>六部</t>
        </is>
      </c>
      <c r="M219" s="8" t="inlineStr">
        <is>
          <t>董辉</t>
        </is>
      </c>
      <c r="N219" s="8" t="inlineStr">
        <is>
          <t>1-2年</t>
        </is>
      </c>
      <c r="O219" s="8" t="n"/>
    </row>
    <row r="220">
      <c r="A220" s="5" t="n">
        <v>218</v>
      </c>
      <c r="B220" s="5" t="inlineStr">
        <is>
          <t>华中-湖南</t>
        </is>
      </c>
      <c r="C220" s="5" t="inlineStr">
        <is>
          <t>政府机关</t>
        </is>
      </c>
      <c r="D220" s="6" t="inlineStr">
        <is>
          <t>HT20250515</t>
        </is>
      </c>
      <c r="E220" s="6" t="inlineStr">
        <is>
          <t>20260803</t>
        </is>
      </c>
      <c r="F220" s="10" t="n">
        <v>118.837</v>
      </c>
      <c r="G220" s="8" t="n"/>
      <c r="H220" s="10" t="n">
        <v>46.815</v>
      </c>
      <c r="I220" s="10" t="n">
        <v>72.02200000000001</v>
      </c>
      <c r="J220" s="10" t="n">
        <v>28.458</v>
      </c>
      <c r="K220" s="10" t="n">
        <v>43.564</v>
      </c>
      <c r="L220" s="8" t="inlineStr">
        <is>
          <t>六部</t>
        </is>
      </c>
      <c r="M220" s="8" t="inlineStr">
        <is>
          <t>曹阳</t>
        </is>
      </c>
      <c r="N220" s="8" t="inlineStr">
        <is>
          <t>2-3年</t>
        </is>
      </c>
      <c r="O220" s="8" t="n"/>
    </row>
    <row r="221">
      <c r="A221" s="5" t="n">
        <v>219</v>
      </c>
      <c r="B221" s="5" t="inlineStr">
        <is>
          <t>华东-福建</t>
        </is>
      </c>
      <c r="C221" s="5" t="inlineStr">
        <is>
          <t>群团组织</t>
        </is>
      </c>
      <c r="D221" s="6" t="inlineStr">
        <is>
          <t>HT20250516</t>
        </is>
      </c>
      <c r="E221" s="6" t="inlineStr">
        <is>
          <t>20260704</t>
        </is>
      </c>
      <c r="F221" s="10" t="n">
        <v>620.842</v>
      </c>
      <c r="G221" s="8" t="n"/>
      <c r="H221" s="10" t="n">
        <v>274.586</v>
      </c>
      <c r="I221" s="10" t="n">
        <v>346.256</v>
      </c>
      <c r="J221" s="10" t="n">
        <v>272.268</v>
      </c>
      <c r="K221" s="10" t="n">
        <v>73.988</v>
      </c>
      <c r="L221" s="8" t="inlineStr">
        <is>
          <t>六部</t>
        </is>
      </c>
      <c r="M221" s="8" t="inlineStr">
        <is>
          <t>曹阳</t>
        </is>
      </c>
      <c r="N221" s="8" t="inlineStr">
        <is>
          <t>1年以内</t>
        </is>
      </c>
      <c r="O221" s="8" t="n"/>
    </row>
    <row r="222">
      <c r="A222" s="5" t="n">
        <v>220</v>
      </c>
      <c r="B222" s="5" t="inlineStr">
        <is>
          <t>华东-江西</t>
        </is>
      </c>
      <c r="C222" s="5" t="inlineStr">
        <is>
          <t>政府机关</t>
        </is>
      </c>
      <c r="D222" s="6" t="inlineStr">
        <is>
          <t>HT20250516</t>
        </is>
      </c>
      <c r="E222" s="6" t="inlineStr">
        <is>
          <t>20260704</t>
        </is>
      </c>
      <c r="F222" s="10" t="n">
        <v>391.467</v>
      </c>
      <c r="G222" s="8" t="n"/>
      <c r="H222" s="10" t="n">
        <v>235.244</v>
      </c>
      <c r="I222" s="10" t="n">
        <v>156.223</v>
      </c>
      <c r="J222" s="10" t="n">
        <v>22.592</v>
      </c>
      <c r="K222" s="10" t="n">
        <v>133.631</v>
      </c>
      <c r="L222" s="8" t="inlineStr">
        <is>
          <t>五部</t>
        </is>
      </c>
      <c r="M222" s="8" t="inlineStr">
        <is>
          <t>宋佳</t>
        </is>
      </c>
      <c r="N222" s="8" t="inlineStr">
        <is>
          <t>1-2年</t>
        </is>
      </c>
      <c r="O222" s="8" t="n"/>
    </row>
    <row r="223">
      <c r="A223" s="5" t="n">
        <v>221</v>
      </c>
      <c r="B223" s="5" t="inlineStr">
        <is>
          <t>西南-四川</t>
        </is>
      </c>
      <c r="C223" s="5" t="inlineStr">
        <is>
          <t>群团组织</t>
        </is>
      </c>
      <c r="D223" s="6" t="inlineStr">
        <is>
          <t>HT20250518</t>
        </is>
      </c>
      <c r="E223" s="6" t="inlineStr">
        <is>
          <t>20260304</t>
        </is>
      </c>
      <c r="F223" s="10" t="n">
        <v>370.972</v>
      </c>
      <c r="G223" s="8" t="n"/>
      <c r="H223" s="10" t="n">
        <v>291.577</v>
      </c>
      <c r="I223" s="10" t="n">
        <v>79.395</v>
      </c>
      <c r="J223" s="10" t="n">
        <v>20.788</v>
      </c>
      <c r="K223" s="10" t="n">
        <v>58.607</v>
      </c>
      <c r="L223" s="8" t="inlineStr">
        <is>
          <t>四部</t>
        </is>
      </c>
      <c r="M223" s="8" t="inlineStr">
        <is>
          <t>高翔</t>
        </is>
      </c>
      <c r="N223" s="8" t="inlineStr">
        <is>
          <t>1-2年</t>
        </is>
      </c>
      <c r="O223" s="8" t="n"/>
    </row>
    <row r="224">
      <c r="A224" s="5" t="n">
        <v>222</v>
      </c>
      <c r="B224" s="5" t="inlineStr">
        <is>
          <t>华东-安徽</t>
        </is>
      </c>
      <c r="C224" s="5" t="inlineStr">
        <is>
          <t>基层自治组织</t>
        </is>
      </c>
      <c r="D224" s="6" t="inlineStr">
        <is>
          <t>HT20250518</t>
        </is>
      </c>
      <c r="E224" s="6" t="inlineStr">
        <is>
          <t>20260304</t>
        </is>
      </c>
      <c r="F224" s="10" t="n">
        <v>476.938</v>
      </c>
      <c r="G224" s="8" t="n"/>
      <c r="H224" s="10" t="n">
        <v>323.712</v>
      </c>
      <c r="I224" s="10" t="n">
        <v>153.226</v>
      </c>
      <c r="J224" s="10" t="n">
        <v>152.153</v>
      </c>
      <c r="K224" s="10" t="n">
        <v>1.073</v>
      </c>
      <c r="L224" s="8" t="inlineStr">
        <is>
          <t>七部</t>
        </is>
      </c>
      <c r="M224" s="8" t="inlineStr">
        <is>
          <t>沈刚</t>
        </is>
      </c>
      <c r="N224" s="8" t="inlineStr">
        <is>
          <t>1-2年</t>
        </is>
      </c>
      <c r="O224" s="8" t="n"/>
    </row>
    <row r="225">
      <c r="A225" s="5" t="n">
        <v>223</v>
      </c>
      <c r="B225" s="5" t="inlineStr">
        <is>
          <t>华北-山西</t>
        </is>
      </c>
      <c r="C225" s="5" t="inlineStr">
        <is>
          <t>监察司法机关</t>
        </is>
      </c>
      <c r="D225" s="6" t="inlineStr">
        <is>
          <t>HT20250519</t>
        </is>
      </c>
      <c r="E225" s="6" t="inlineStr">
        <is>
          <t>20260601</t>
        </is>
      </c>
      <c r="F225" s="10" t="n">
        <v>207.282</v>
      </c>
      <c r="G225" s="8" t="n"/>
      <c r="H225" s="10" t="n">
        <v>204.188</v>
      </c>
      <c r="I225" s="10" t="n">
        <v>3.094</v>
      </c>
      <c r="J225" s="10" t="n">
        <v>2.883</v>
      </c>
      <c r="K225" s="10" t="n">
        <v>0.211</v>
      </c>
      <c r="L225" s="8" t="inlineStr">
        <is>
          <t>六部</t>
        </is>
      </c>
      <c r="M225" s="8" t="inlineStr">
        <is>
          <t>程琳</t>
        </is>
      </c>
      <c r="N225" s="8" t="inlineStr">
        <is>
          <t>1-2年</t>
        </is>
      </c>
      <c r="O225" s="8" t="n"/>
    </row>
    <row r="226">
      <c r="A226" s="5" t="n">
        <v>224</v>
      </c>
      <c r="B226" s="5" t="inlineStr">
        <is>
          <t>华南-香港</t>
        </is>
      </c>
      <c r="C226" s="5" t="inlineStr">
        <is>
          <t>基层自治组织</t>
        </is>
      </c>
      <c r="D226" s="6" t="inlineStr">
        <is>
          <t>HT20250519</t>
        </is>
      </c>
      <c r="E226" s="6" t="inlineStr">
        <is>
          <t>20260601</t>
        </is>
      </c>
      <c r="F226" s="10" t="n">
        <v>432.382</v>
      </c>
      <c r="G226" s="8" t="n"/>
      <c r="H226" s="10" t="n">
        <v>23.38</v>
      </c>
      <c r="I226" s="10" t="n">
        <v>409.002</v>
      </c>
      <c r="J226" s="10" t="n">
        <v>107.767</v>
      </c>
      <c r="K226" s="10" t="n">
        <v>301.235</v>
      </c>
      <c r="L226" s="8" t="inlineStr">
        <is>
          <t>三部</t>
        </is>
      </c>
      <c r="M226" s="8" t="inlineStr">
        <is>
          <t>徐涛</t>
        </is>
      </c>
      <c r="N226" s="8" t="inlineStr">
        <is>
          <t>1-2年</t>
        </is>
      </c>
      <c r="O226" s="8" t="n"/>
    </row>
    <row r="227">
      <c r="A227" s="5" t="n">
        <v>225</v>
      </c>
      <c r="B227" s="5" t="inlineStr">
        <is>
          <t>西北-宁夏</t>
        </is>
      </c>
      <c r="C227" s="5" t="inlineStr">
        <is>
          <t>事业单位</t>
        </is>
      </c>
      <c r="D227" s="6" t="inlineStr">
        <is>
          <t>HT20250519</t>
        </is>
      </c>
      <c r="E227" s="6" t="inlineStr">
        <is>
          <t>20260601</t>
        </is>
      </c>
      <c r="F227" s="10" t="n">
        <v>411.989</v>
      </c>
      <c r="G227" s="8" t="n"/>
      <c r="H227" s="10" t="n">
        <v>77.749</v>
      </c>
      <c r="I227" s="10" t="n">
        <v>334.24</v>
      </c>
      <c r="J227" s="10" t="n">
        <v>86.661</v>
      </c>
      <c r="K227" s="10" t="n">
        <v>247.579</v>
      </c>
      <c r="L227" s="8" t="inlineStr">
        <is>
          <t>十部</t>
        </is>
      </c>
      <c r="M227" s="8" t="inlineStr">
        <is>
          <t>雷声</t>
        </is>
      </c>
      <c r="N227" s="8" t="inlineStr">
        <is>
          <t>2-3年</t>
        </is>
      </c>
      <c r="O227" s="8" t="n"/>
    </row>
    <row r="228">
      <c r="A228" s="5" t="n">
        <v>226</v>
      </c>
      <c r="B228" s="5" t="inlineStr">
        <is>
          <t>西北-宁夏</t>
        </is>
      </c>
      <c r="C228" s="5" t="inlineStr">
        <is>
          <t>群团组织</t>
        </is>
      </c>
      <c r="D228" s="6" t="inlineStr">
        <is>
          <t>HT20250519</t>
        </is>
      </c>
      <c r="E228" s="6" t="inlineStr">
        <is>
          <t>20260601</t>
        </is>
      </c>
      <c r="F228" s="10" t="n">
        <v>639.188</v>
      </c>
      <c r="G228" s="8" t="n"/>
      <c r="H228" s="10" t="n">
        <v>110.064</v>
      </c>
      <c r="I228" s="10" t="n">
        <v>529.124</v>
      </c>
      <c r="J228" s="10" t="n">
        <v>486.765</v>
      </c>
      <c r="K228" s="10" t="n">
        <v>42.359</v>
      </c>
      <c r="L228" s="8" t="inlineStr">
        <is>
          <t>十部</t>
        </is>
      </c>
      <c r="M228" s="8" t="inlineStr">
        <is>
          <t>雷声</t>
        </is>
      </c>
      <c r="N228" s="8" t="inlineStr">
        <is>
          <t>1-2年</t>
        </is>
      </c>
      <c r="O228" s="8" t="n"/>
    </row>
    <row r="229">
      <c r="A229" s="5" t="n">
        <v>227</v>
      </c>
      <c r="B229" s="5" t="inlineStr">
        <is>
          <t>华东-上海</t>
        </is>
      </c>
      <c r="C229" s="5" t="inlineStr">
        <is>
          <t>事业单位</t>
        </is>
      </c>
      <c r="D229" s="6" t="inlineStr">
        <is>
          <t>HT20250520</t>
        </is>
      </c>
      <c r="E229" s="6" t="inlineStr">
        <is>
          <t>20260503</t>
        </is>
      </c>
      <c r="F229" s="10" t="n">
        <v>973.705</v>
      </c>
      <c r="G229" s="8" t="n"/>
      <c r="H229" s="10" t="n">
        <v>167.704</v>
      </c>
      <c r="I229" s="10" t="n">
        <v>806.001</v>
      </c>
      <c r="J229" s="10" t="n">
        <v>41.351</v>
      </c>
      <c r="K229" s="10" t="n">
        <v>764.65</v>
      </c>
      <c r="L229" s="8" t="inlineStr">
        <is>
          <t>一部</t>
        </is>
      </c>
      <c r="M229" s="8" t="inlineStr">
        <is>
          <t>张伟</t>
        </is>
      </c>
      <c r="N229" s="8" t="inlineStr">
        <is>
          <t>1-2年</t>
        </is>
      </c>
      <c r="O229" s="8" t="n"/>
    </row>
    <row r="230">
      <c r="A230" s="5" t="n">
        <v>228</v>
      </c>
      <c r="B230" s="5" t="inlineStr">
        <is>
          <t>西南-西藏</t>
        </is>
      </c>
      <c r="C230" s="5" t="inlineStr">
        <is>
          <t>人大政协</t>
        </is>
      </c>
      <c r="D230" s="6" t="inlineStr">
        <is>
          <t>HT20250520</t>
        </is>
      </c>
      <c r="E230" s="6" t="inlineStr">
        <is>
          <t>20260503</t>
        </is>
      </c>
      <c r="F230" s="10" t="n">
        <v>596.984</v>
      </c>
      <c r="G230" s="8" t="n"/>
      <c r="H230" s="10" t="n">
        <v>328.1</v>
      </c>
      <c r="I230" s="10" t="n">
        <v>268.884</v>
      </c>
      <c r="J230" s="10" t="n">
        <v>235.065</v>
      </c>
      <c r="K230" s="10" t="n">
        <v>33.819</v>
      </c>
      <c r="L230" s="8" t="inlineStr">
        <is>
          <t>七部</t>
        </is>
      </c>
      <c r="M230" s="8" t="inlineStr">
        <is>
          <t>邓丽</t>
        </is>
      </c>
      <c r="N230" s="8" t="inlineStr">
        <is>
          <t>1年以内</t>
        </is>
      </c>
      <c r="O230" s="8" t="n"/>
    </row>
    <row r="231">
      <c r="A231" s="5" t="n">
        <v>229</v>
      </c>
      <c r="B231" s="5" t="inlineStr">
        <is>
          <t>西南-四川</t>
        </is>
      </c>
      <c r="C231" s="5" t="inlineStr">
        <is>
          <t>国有企业</t>
        </is>
      </c>
      <c r="D231" s="6" t="inlineStr">
        <is>
          <t>HT20250520</t>
        </is>
      </c>
      <c r="E231" s="6" t="inlineStr">
        <is>
          <t>20260503</t>
        </is>
      </c>
      <c r="F231" s="10" t="n">
        <v>516.7619999999999</v>
      </c>
      <c r="G231" s="8" t="n"/>
      <c r="H231" s="10" t="n">
        <v>148.032</v>
      </c>
      <c r="I231" s="10" t="n">
        <v>368.73</v>
      </c>
      <c r="J231" s="10" t="n">
        <v>96.313</v>
      </c>
      <c r="K231" s="10" t="n">
        <v>272.417</v>
      </c>
      <c r="L231" s="8" t="inlineStr">
        <is>
          <t>一部</t>
        </is>
      </c>
      <c r="M231" s="8" t="inlineStr">
        <is>
          <t>张伟</t>
        </is>
      </c>
      <c r="N231" s="8" t="inlineStr">
        <is>
          <t>2-3年</t>
        </is>
      </c>
      <c r="O231" s="8" t="n"/>
    </row>
    <row r="232">
      <c r="A232" s="5" t="n">
        <v>230</v>
      </c>
      <c r="B232" s="5" t="inlineStr">
        <is>
          <t>华南-海南</t>
        </is>
      </c>
      <c r="C232" s="5" t="inlineStr">
        <is>
          <t>人大政协</t>
        </is>
      </c>
      <c r="D232" s="6" t="inlineStr">
        <is>
          <t>HT20250520</t>
        </is>
      </c>
      <c r="E232" s="6" t="inlineStr">
        <is>
          <t>20260503</t>
        </is>
      </c>
      <c r="F232" s="10" t="n">
        <v>459.99</v>
      </c>
      <c r="G232" s="8" t="n"/>
      <c r="H232" s="10" t="n">
        <v>80.274</v>
      </c>
      <c r="I232" s="10" t="n">
        <v>379.716</v>
      </c>
      <c r="J232" s="10" t="n">
        <v>108.67</v>
      </c>
      <c r="K232" s="10" t="n">
        <v>271.046</v>
      </c>
      <c r="L232" s="8" t="inlineStr">
        <is>
          <t>三部</t>
        </is>
      </c>
      <c r="M232" s="8" t="inlineStr">
        <is>
          <t>徐涛</t>
        </is>
      </c>
      <c r="N232" s="8" t="inlineStr">
        <is>
          <t>1年以内</t>
        </is>
      </c>
      <c r="O232" s="8" t="n"/>
    </row>
    <row r="233">
      <c r="A233" s="5" t="n">
        <v>231</v>
      </c>
      <c r="B233" s="5" t="inlineStr">
        <is>
          <t>华南-广西</t>
        </is>
      </c>
      <c r="C233" s="5" t="inlineStr">
        <is>
          <t>基层自治组织</t>
        </is>
      </c>
      <c r="D233" s="6" t="inlineStr">
        <is>
          <t>HT20250521</t>
        </is>
      </c>
      <c r="E233" s="6" t="inlineStr">
        <is>
          <t>20251013</t>
        </is>
      </c>
      <c r="F233" s="10" t="n">
        <v>297.611</v>
      </c>
      <c r="G233" s="8" t="n"/>
      <c r="H233" s="10" t="n">
        <v>168.089</v>
      </c>
      <c r="I233" s="10" t="n">
        <v>129.522</v>
      </c>
      <c r="J233" s="10" t="n">
        <v>83.77200000000001</v>
      </c>
      <c r="K233" s="10" t="n">
        <v>45.75</v>
      </c>
      <c r="L233" s="8" t="inlineStr">
        <is>
          <t>九部</t>
        </is>
      </c>
      <c r="M233" s="8" t="inlineStr">
        <is>
          <t>魏红</t>
        </is>
      </c>
      <c r="N233" s="8" t="inlineStr">
        <is>
          <t>1年以内</t>
        </is>
      </c>
      <c r="O233" s="8" t="n"/>
    </row>
    <row r="234">
      <c r="A234" s="5" t="n">
        <v>232</v>
      </c>
      <c r="B234" s="5" t="inlineStr">
        <is>
          <t>西南-重庆</t>
        </is>
      </c>
      <c r="C234" s="5" t="inlineStr">
        <is>
          <t>基层自治组织</t>
        </is>
      </c>
      <c r="D234" s="6" t="inlineStr">
        <is>
          <t>HT20250522</t>
        </is>
      </c>
      <c r="E234" s="6" t="inlineStr">
        <is>
          <t>20260423</t>
        </is>
      </c>
      <c r="F234" s="10" t="n">
        <v>445.272</v>
      </c>
      <c r="G234" s="8" t="n"/>
      <c r="H234" s="10" t="n">
        <v>176.283</v>
      </c>
      <c r="I234" s="10" t="n">
        <v>268.989</v>
      </c>
      <c r="J234" s="10" t="n">
        <v>147.899</v>
      </c>
      <c r="K234" s="10" t="n">
        <v>121.09</v>
      </c>
      <c r="L234" s="8" t="inlineStr">
        <is>
          <t>一部</t>
        </is>
      </c>
      <c r="M234" s="8" t="inlineStr">
        <is>
          <t>王芳</t>
        </is>
      </c>
      <c r="N234" s="8" t="inlineStr">
        <is>
          <t>1-2年</t>
        </is>
      </c>
      <c r="O234" s="8" t="n"/>
    </row>
    <row r="235">
      <c r="A235" s="5" t="n">
        <v>233</v>
      </c>
      <c r="B235" s="5" t="inlineStr">
        <is>
          <t>华南-香港</t>
        </is>
      </c>
      <c r="C235" s="5" t="inlineStr">
        <is>
          <t>事业单位</t>
        </is>
      </c>
      <c r="D235" s="6" t="inlineStr">
        <is>
          <t>HT20250522</t>
        </is>
      </c>
      <c r="E235" s="6" t="inlineStr">
        <is>
          <t>20260423</t>
        </is>
      </c>
      <c r="F235" s="10" t="n">
        <v>354.316</v>
      </c>
      <c r="G235" s="8" t="n"/>
      <c r="H235" s="10" t="n">
        <v>284.69</v>
      </c>
      <c r="I235" s="10" t="n">
        <v>69.626</v>
      </c>
      <c r="J235" s="10" t="n">
        <v>42.727</v>
      </c>
      <c r="K235" s="10" t="n">
        <v>26.899</v>
      </c>
      <c r="L235" s="8" t="inlineStr">
        <is>
          <t>二部</t>
        </is>
      </c>
      <c r="M235" s="8" t="inlineStr">
        <is>
          <t>吴丽</t>
        </is>
      </c>
      <c r="N235" s="8" t="inlineStr">
        <is>
          <t>1-2年</t>
        </is>
      </c>
      <c r="O235" s="8" t="n"/>
    </row>
    <row r="236">
      <c r="A236" s="5" t="n">
        <v>234</v>
      </c>
      <c r="B236" s="5" t="inlineStr">
        <is>
          <t>华东-上海</t>
        </is>
      </c>
      <c r="C236" s="5" t="inlineStr">
        <is>
          <t>人大政协</t>
        </is>
      </c>
      <c r="D236" s="6" t="inlineStr">
        <is>
          <t>HT20250523</t>
        </is>
      </c>
      <c r="E236" s="6" t="inlineStr">
        <is>
          <t>20260131</t>
        </is>
      </c>
      <c r="F236" s="10" t="n">
        <v>843.819</v>
      </c>
      <c r="G236" s="8" t="n"/>
      <c r="H236" s="10" t="n">
        <v>758.86</v>
      </c>
      <c r="I236" s="10" t="n">
        <v>84.959</v>
      </c>
      <c r="J236" s="10" t="n">
        <v>80.244</v>
      </c>
      <c r="K236" s="10" t="n">
        <v>4.715</v>
      </c>
      <c r="L236" s="8" t="inlineStr">
        <is>
          <t>六部</t>
        </is>
      </c>
      <c r="M236" s="8" t="inlineStr">
        <is>
          <t>曹阳</t>
        </is>
      </c>
      <c r="N236" s="8" t="inlineStr">
        <is>
          <t>1年以内</t>
        </is>
      </c>
      <c r="O236" s="8" t="n"/>
    </row>
    <row r="237">
      <c r="A237" s="5" t="n">
        <v>235</v>
      </c>
      <c r="B237" s="5" t="inlineStr">
        <is>
          <t>西南-重庆</t>
        </is>
      </c>
      <c r="C237" s="5" t="inlineStr">
        <is>
          <t>政府机关</t>
        </is>
      </c>
      <c r="D237" s="6" t="inlineStr">
        <is>
          <t>HT20250523</t>
        </is>
      </c>
      <c r="E237" s="6" t="inlineStr">
        <is>
          <t>20260131</t>
        </is>
      </c>
      <c r="F237" s="10" t="n">
        <v>480.248</v>
      </c>
      <c r="G237" s="8" t="n"/>
      <c r="H237" s="10" t="n">
        <v>413.746</v>
      </c>
      <c r="I237" s="10" t="n">
        <v>66.502</v>
      </c>
      <c r="J237" s="10" t="n">
        <v>66.441</v>
      </c>
      <c r="K237" s="10" t="n">
        <v>0.061</v>
      </c>
      <c r="L237" s="8" t="inlineStr">
        <is>
          <t>四部</t>
        </is>
      </c>
      <c r="M237" s="8" t="inlineStr">
        <is>
          <t>林燕</t>
        </is>
      </c>
      <c r="N237" s="8" t="inlineStr">
        <is>
          <t>1年以内</t>
        </is>
      </c>
      <c r="O237" s="8" t="n"/>
    </row>
    <row r="238">
      <c r="A238" s="5" t="n">
        <v>236</v>
      </c>
      <c r="B238" s="5" t="inlineStr">
        <is>
          <t>西南-西藏</t>
        </is>
      </c>
      <c r="C238" s="5" t="inlineStr">
        <is>
          <t>基层自治组织</t>
        </is>
      </c>
      <c r="D238" s="6" t="inlineStr">
        <is>
          <t>HT20250525</t>
        </is>
      </c>
      <c r="E238" s="6" t="inlineStr">
        <is>
          <t>20260822</t>
        </is>
      </c>
      <c r="F238" s="10" t="n">
        <v>158.969</v>
      </c>
      <c r="G238" s="8" t="n"/>
      <c r="H238" s="10" t="n">
        <v>139.844</v>
      </c>
      <c r="I238" s="10" t="n">
        <v>19.125</v>
      </c>
      <c r="J238" s="10" t="n">
        <v>6.784</v>
      </c>
      <c r="K238" s="10" t="n">
        <v>12.341</v>
      </c>
      <c r="L238" s="8" t="inlineStr">
        <is>
          <t>十部</t>
        </is>
      </c>
      <c r="M238" s="8" t="inlineStr">
        <is>
          <t>侯敏</t>
        </is>
      </c>
      <c r="N238" s="8" t="inlineStr">
        <is>
          <t>2-3年</t>
        </is>
      </c>
      <c r="O238" s="8" t="n"/>
    </row>
    <row r="239">
      <c r="A239" s="5" t="n">
        <v>237</v>
      </c>
      <c r="B239" s="5" t="inlineStr">
        <is>
          <t>华中-湖南</t>
        </is>
      </c>
      <c r="C239" s="5" t="inlineStr">
        <is>
          <t>基层自治组织</t>
        </is>
      </c>
      <c r="D239" s="6" t="inlineStr">
        <is>
          <t>HT20250526</t>
        </is>
      </c>
      <c r="E239" s="6" t="inlineStr">
        <is>
          <t>20260824</t>
        </is>
      </c>
      <c r="F239" s="10" t="n">
        <v>3036.069</v>
      </c>
      <c r="G239" s="8" t="n"/>
      <c r="H239" s="10" t="n">
        <v>1026.79</v>
      </c>
      <c r="I239" s="10" t="n">
        <v>2009.279</v>
      </c>
      <c r="J239" s="10" t="n">
        <v>1647.967</v>
      </c>
      <c r="K239" s="10" t="n">
        <v>361.312</v>
      </c>
      <c r="L239" s="8" t="inlineStr">
        <is>
          <t>一部</t>
        </is>
      </c>
      <c r="M239" s="8" t="inlineStr">
        <is>
          <t>李娜</t>
        </is>
      </c>
      <c r="N239" s="8" t="inlineStr">
        <is>
          <t>1-2年</t>
        </is>
      </c>
      <c r="O239" s="8" t="n"/>
    </row>
    <row r="240">
      <c r="A240" s="5" t="n">
        <v>238</v>
      </c>
      <c r="B240" s="5" t="inlineStr">
        <is>
          <t>华中-湖南</t>
        </is>
      </c>
      <c r="C240" s="5" t="inlineStr">
        <is>
          <t>基层自治组织</t>
        </is>
      </c>
      <c r="D240" s="6" t="inlineStr">
        <is>
          <t>HT20250526</t>
        </is>
      </c>
      <c r="E240" s="6" t="inlineStr">
        <is>
          <t>20260824</t>
        </is>
      </c>
      <c r="F240" s="10" t="n">
        <v>789.978</v>
      </c>
      <c r="G240" s="8" t="n"/>
      <c r="H240" s="10" t="n">
        <v>648.029</v>
      </c>
      <c r="I240" s="10" t="n">
        <v>141.949</v>
      </c>
      <c r="J240" s="10" t="n">
        <v>65.3</v>
      </c>
      <c r="K240" s="10" t="n">
        <v>76.649</v>
      </c>
      <c r="L240" s="8" t="inlineStr">
        <is>
          <t>五部</t>
        </is>
      </c>
      <c r="M240" s="8" t="inlineStr">
        <is>
          <t>谢峰</t>
        </is>
      </c>
      <c r="N240" s="8" t="inlineStr">
        <is>
          <t>1年以内</t>
        </is>
      </c>
      <c r="O240" s="8" t="n"/>
    </row>
    <row r="241">
      <c r="A241" s="5" t="n">
        <v>239</v>
      </c>
      <c r="B241" s="5" t="inlineStr">
        <is>
          <t>华南-香港</t>
        </is>
      </c>
      <c r="C241" s="5" t="inlineStr">
        <is>
          <t>事业单位</t>
        </is>
      </c>
      <c r="D241" s="6" t="inlineStr">
        <is>
          <t>HT20250526</t>
        </is>
      </c>
      <c r="E241" s="6" t="inlineStr">
        <is>
          <t>20260824</t>
        </is>
      </c>
      <c r="F241" s="10" t="n">
        <v>304.302</v>
      </c>
      <c r="G241" s="8" t="n"/>
      <c r="H241" s="10" t="n">
        <v>212.085</v>
      </c>
      <c r="I241" s="10" t="n">
        <v>92.217</v>
      </c>
      <c r="J241" s="10" t="n">
        <v>40.269</v>
      </c>
      <c r="K241" s="10" t="n">
        <v>51.948</v>
      </c>
      <c r="L241" s="8" t="inlineStr">
        <is>
          <t>九部</t>
        </is>
      </c>
      <c r="M241" s="8" t="inlineStr">
        <is>
          <t>蒋涛</t>
        </is>
      </c>
      <c r="N241" s="8" t="inlineStr">
        <is>
          <t>2-3年</t>
        </is>
      </c>
      <c r="O241" s="8" t="n"/>
    </row>
    <row r="242">
      <c r="A242" s="5" t="n">
        <v>240</v>
      </c>
      <c r="B242" s="5" t="inlineStr">
        <is>
          <t>华东-安徽</t>
        </is>
      </c>
      <c r="C242" s="5" t="inlineStr">
        <is>
          <t>人大政协</t>
        </is>
      </c>
      <c r="D242" s="6" t="inlineStr">
        <is>
          <t>HT20250526</t>
        </is>
      </c>
      <c r="E242" s="6" t="inlineStr">
        <is>
          <t>20260824</t>
        </is>
      </c>
      <c r="F242" s="10" t="n">
        <v>352.299</v>
      </c>
      <c r="G242" s="8" t="n"/>
      <c r="H242" s="10" t="n">
        <v>37.746</v>
      </c>
      <c r="I242" s="10" t="n">
        <v>314.553</v>
      </c>
      <c r="J242" s="10" t="n">
        <v>105.918</v>
      </c>
      <c r="K242" s="10" t="n">
        <v>208.635</v>
      </c>
      <c r="L242" s="8" t="inlineStr">
        <is>
          <t>十部</t>
        </is>
      </c>
      <c r="M242" s="8" t="inlineStr">
        <is>
          <t>阎莉</t>
        </is>
      </c>
      <c r="N242" s="8" t="inlineStr">
        <is>
          <t>1年以内</t>
        </is>
      </c>
      <c r="O242" s="8" t="n"/>
    </row>
    <row r="243">
      <c r="A243" s="5" t="n">
        <v>241</v>
      </c>
      <c r="B243" s="5" t="inlineStr">
        <is>
          <t>东北-黑龙江</t>
        </is>
      </c>
      <c r="C243" s="5" t="inlineStr">
        <is>
          <t>群团组织</t>
        </is>
      </c>
      <c r="D243" s="6" t="inlineStr">
        <is>
          <t>HT20250527</t>
        </is>
      </c>
      <c r="E243" s="6" t="inlineStr">
        <is>
          <t>20260716</t>
        </is>
      </c>
      <c r="F243" s="10" t="n">
        <v>337.933</v>
      </c>
      <c r="G243" s="8" t="n"/>
      <c r="H243" s="10" t="n">
        <v>167.817</v>
      </c>
      <c r="I243" s="10" t="n">
        <v>170.116</v>
      </c>
      <c r="J243" s="10" t="n">
        <v>71.26900000000001</v>
      </c>
      <c r="K243" s="10" t="n">
        <v>98.84699999999999</v>
      </c>
      <c r="L243" s="8" t="inlineStr">
        <is>
          <t>七部</t>
        </is>
      </c>
      <c r="M243" s="8" t="inlineStr">
        <is>
          <t>袁博</t>
        </is>
      </c>
      <c r="N243" s="8" t="inlineStr">
        <is>
          <t>1-2年</t>
        </is>
      </c>
      <c r="O243" s="8" t="n"/>
    </row>
    <row r="244">
      <c r="A244" s="5" t="n">
        <v>242</v>
      </c>
      <c r="B244" s="5" t="inlineStr">
        <is>
          <t>东北-吉林</t>
        </is>
      </c>
      <c r="C244" s="5" t="inlineStr">
        <is>
          <t>政府机关</t>
        </is>
      </c>
      <c r="D244" s="6" t="inlineStr">
        <is>
          <t>HT20250527</t>
        </is>
      </c>
      <c r="E244" s="6" t="inlineStr">
        <is>
          <t>20260716</t>
        </is>
      </c>
      <c r="F244" s="10" t="n">
        <v>3804.784</v>
      </c>
      <c r="G244" s="8" t="n"/>
      <c r="H244" s="10" t="n">
        <v>710.546</v>
      </c>
      <c r="I244" s="10" t="n">
        <v>3094.238</v>
      </c>
      <c r="J244" s="10" t="n">
        <v>880.683</v>
      </c>
      <c r="K244" s="10" t="n">
        <v>2213.555</v>
      </c>
      <c r="L244" s="8" t="inlineStr">
        <is>
          <t>八部</t>
        </is>
      </c>
      <c r="M244" s="8" t="inlineStr">
        <is>
          <t>彭燕</t>
        </is>
      </c>
      <c r="N244" s="8" t="inlineStr">
        <is>
          <t>1年以内</t>
        </is>
      </c>
      <c r="O244" s="8" t="n"/>
    </row>
    <row r="245">
      <c r="A245" s="5" t="n">
        <v>243</v>
      </c>
      <c r="B245" s="5" t="inlineStr">
        <is>
          <t>华南-广西</t>
        </is>
      </c>
      <c r="C245" s="5" t="inlineStr">
        <is>
          <t>党委机关</t>
        </is>
      </c>
      <c r="D245" s="6" t="inlineStr">
        <is>
          <t>HT20250531</t>
        </is>
      </c>
      <c r="E245" s="6" t="inlineStr">
        <is>
          <t>20260124</t>
        </is>
      </c>
      <c r="F245" s="10" t="n">
        <v>685.449</v>
      </c>
      <c r="G245" s="8" t="n"/>
      <c r="H245" s="10" t="n">
        <v>643.921</v>
      </c>
      <c r="I245" s="10" t="n">
        <v>41.528</v>
      </c>
      <c r="J245" s="10" t="n">
        <v>12.148</v>
      </c>
      <c r="K245" s="10" t="n">
        <v>29.38</v>
      </c>
      <c r="L245" s="8" t="inlineStr">
        <is>
          <t>七部</t>
        </is>
      </c>
      <c r="M245" s="8" t="inlineStr">
        <is>
          <t>许涛</t>
        </is>
      </c>
      <c r="N245" s="8" t="inlineStr">
        <is>
          <t>1年以内</t>
        </is>
      </c>
      <c r="O245" s="8" t="n"/>
    </row>
    <row r="246">
      <c r="A246" s="5" t="n">
        <v>244</v>
      </c>
      <c r="B246" s="5" t="inlineStr">
        <is>
          <t>华东-江西</t>
        </is>
      </c>
      <c r="C246" s="5" t="inlineStr">
        <is>
          <t>基层自治组织</t>
        </is>
      </c>
      <c r="D246" s="6" t="inlineStr">
        <is>
          <t>HT20250531</t>
        </is>
      </c>
      <c r="E246" s="6" t="inlineStr">
        <is>
          <t>20260124</t>
        </is>
      </c>
      <c r="F246" s="10" t="n">
        <v>718.396</v>
      </c>
      <c r="G246" s="8" t="n"/>
      <c r="H246" s="10" t="n">
        <v>180.985</v>
      </c>
      <c r="I246" s="10" t="n">
        <v>537.4109999999999</v>
      </c>
      <c r="J246" s="10" t="n">
        <v>281.372</v>
      </c>
      <c r="K246" s="10" t="n">
        <v>256.039</v>
      </c>
      <c r="L246" s="8" t="inlineStr">
        <is>
          <t>十部</t>
        </is>
      </c>
      <c r="M246" s="8" t="inlineStr">
        <is>
          <t>阎莉</t>
        </is>
      </c>
      <c r="N246" s="8" t="inlineStr">
        <is>
          <t>1年以内</t>
        </is>
      </c>
      <c r="O246" s="8" t="n"/>
    </row>
    <row r="247">
      <c r="A247" s="5" t="n">
        <v>245</v>
      </c>
      <c r="B247" s="5" t="inlineStr">
        <is>
          <t>华东-上海</t>
        </is>
      </c>
      <c r="C247" s="5" t="inlineStr">
        <is>
          <t>群团组织</t>
        </is>
      </c>
      <c r="D247" s="6" t="inlineStr">
        <is>
          <t>HT20250601</t>
        </is>
      </c>
      <c r="E247" s="6" t="inlineStr">
        <is>
          <t>20260514</t>
        </is>
      </c>
      <c r="F247" s="10" t="n">
        <v>21.056</v>
      </c>
      <c r="G247" s="8" t="n"/>
      <c r="H247" s="10" t="n">
        <v>10.801</v>
      </c>
      <c r="I247" s="10" t="n">
        <v>10.255</v>
      </c>
      <c r="J247" s="10" t="n">
        <v>0.143</v>
      </c>
      <c r="K247" s="10" t="n">
        <v>10.112</v>
      </c>
      <c r="L247" s="8" t="inlineStr">
        <is>
          <t>六部</t>
        </is>
      </c>
      <c r="M247" s="8" t="inlineStr">
        <is>
          <t>董辉</t>
        </is>
      </c>
      <c r="N247" s="8" t="inlineStr">
        <is>
          <t>2-3年</t>
        </is>
      </c>
      <c r="O247" s="8" t="n"/>
    </row>
    <row r="248">
      <c r="A248" s="5" t="n">
        <v>246</v>
      </c>
      <c r="B248" s="5" t="inlineStr">
        <is>
          <t>华东-上海</t>
        </is>
      </c>
      <c r="C248" s="5" t="inlineStr">
        <is>
          <t>群团组织</t>
        </is>
      </c>
      <c r="D248" s="6" t="inlineStr">
        <is>
          <t>HT20250602</t>
        </is>
      </c>
      <c r="E248" s="6" t="inlineStr">
        <is>
          <t>20260703</t>
        </is>
      </c>
      <c r="F248" s="10" t="n">
        <v>54.311</v>
      </c>
      <c r="G248" s="8" t="n"/>
      <c r="H248" s="10" t="n">
        <v>36.911</v>
      </c>
      <c r="I248" s="10" t="n">
        <v>17.4</v>
      </c>
      <c r="J248" s="10" t="n">
        <v>13.151</v>
      </c>
      <c r="K248" s="10" t="n">
        <v>4.249</v>
      </c>
      <c r="L248" s="8" t="inlineStr">
        <is>
          <t>四部</t>
        </is>
      </c>
      <c r="M248" s="8" t="inlineStr">
        <is>
          <t>罗刚</t>
        </is>
      </c>
      <c r="N248" s="8" t="inlineStr">
        <is>
          <t>1-2年</t>
        </is>
      </c>
      <c r="O248" s="8" t="n"/>
    </row>
    <row r="249">
      <c r="A249" s="5" t="n">
        <v>247</v>
      </c>
      <c r="B249" s="5" t="inlineStr">
        <is>
          <t>西南-云南</t>
        </is>
      </c>
      <c r="C249" s="5" t="inlineStr">
        <is>
          <t>监察司法机关</t>
        </is>
      </c>
      <c r="D249" s="6" t="inlineStr">
        <is>
          <t>HT20250604</t>
        </is>
      </c>
      <c r="E249" s="6" t="inlineStr">
        <is>
          <t>20250917</t>
        </is>
      </c>
      <c r="F249" s="10" t="n">
        <v>237.648</v>
      </c>
      <c r="G249" s="8" t="n"/>
      <c r="H249" s="10" t="n">
        <v>25.748</v>
      </c>
      <c r="I249" s="10" t="n">
        <v>211.9</v>
      </c>
      <c r="J249" s="10" t="n">
        <v>206.996</v>
      </c>
      <c r="K249" s="10" t="n">
        <v>4.904</v>
      </c>
      <c r="L249" s="8" t="inlineStr">
        <is>
          <t>七部</t>
        </is>
      </c>
      <c r="M249" s="8" t="inlineStr">
        <is>
          <t>傅蓉</t>
        </is>
      </c>
      <c r="N249" s="8" t="inlineStr">
        <is>
          <t>1-2年</t>
        </is>
      </c>
      <c r="O249" s="8" t="n"/>
    </row>
    <row r="250">
      <c r="A250" s="5" t="n">
        <v>248</v>
      </c>
      <c r="B250" s="5" t="inlineStr">
        <is>
          <t>东北-辽宁</t>
        </is>
      </c>
      <c r="C250" s="5" t="inlineStr">
        <is>
          <t>党委机关</t>
        </is>
      </c>
      <c r="D250" s="6" t="inlineStr">
        <is>
          <t>HT20250605</t>
        </is>
      </c>
      <c r="E250" s="6" t="inlineStr">
        <is>
          <t>20260204</t>
        </is>
      </c>
      <c r="F250" s="10" t="n">
        <v>143.338</v>
      </c>
      <c r="G250" s="8" t="n"/>
      <c r="H250" s="10" t="n">
        <v>71.155</v>
      </c>
      <c r="I250" s="10" t="n">
        <v>72.18300000000001</v>
      </c>
      <c r="J250" s="10" t="n">
        <v>24.223</v>
      </c>
      <c r="K250" s="10" t="n">
        <v>47.96</v>
      </c>
      <c r="L250" s="8" t="inlineStr">
        <is>
          <t>四部</t>
        </is>
      </c>
      <c r="M250" s="8" t="inlineStr">
        <is>
          <t>高翔</t>
        </is>
      </c>
      <c r="N250" s="8" t="inlineStr">
        <is>
          <t>2-3年</t>
        </is>
      </c>
      <c r="O250" s="8" t="n"/>
    </row>
    <row r="251">
      <c r="A251" s="5" t="n">
        <v>249</v>
      </c>
      <c r="B251" s="5" t="inlineStr">
        <is>
          <t>西北-新疆</t>
        </is>
      </c>
      <c r="C251" s="5" t="inlineStr">
        <is>
          <t>事业单位</t>
        </is>
      </c>
      <c r="D251" s="6" t="inlineStr">
        <is>
          <t>HT20250606</t>
        </is>
      </c>
      <c r="E251" s="6" t="inlineStr">
        <is>
          <t>20260218</t>
        </is>
      </c>
      <c r="F251" s="10" t="n">
        <v>355.981</v>
      </c>
      <c r="G251" s="8" t="n"/>
      <c r="H251" s="10" t="n">
        <v>234.075</v>
      </c>
      <c r="I251" s="10" t="n">
        <v>121.906</v>
      </c>
      <c r="J251" s="10" t="n">
        <v>51.431</v>
      </c>
      <c r="K251" s="10" t="n">
        <v>70.47499999999999</v>
      </c>
      <c r="L251" s="8" t="inlineStr">
        <is>
          <t>四部</t>
        </is>
      </c>
      <c r="M251" s="8" t="inlineStr">
        <is>
          <t>何萍</t>
        </is>
      </c>
      <c r="N251" s="8" t="inlineStr">
        <is>
          <t>2-3年</t>
        </is>
      </c>
      <c r="O251" s="8" t="n"/>
    </row>
    <row r="252">
      <c r="A252" s="5" t="n">
        <v>250</v>
      </c>
      <c r="B252" s="5" t="inlineStr">
        <is>
          <t>西南-四川</t>
        </is>
      </c>
      <c r="C252" s="5" t="inlineStr">
        <is>
          <t>群团组织</t>
        </is>
      </c>
      <c r="D252" s="6" t="inlineStr">
        <is>
          <t>HT20250607</t>
        </is>
      </c>
      <c r="E252" s="6" t="inlineStr">
        <is>
          <t>20260320</t>
        </is>
      </c>
      <c r="F252" s="10" t="n">
        <v>327.257</v>
      </c>
      <c r="G252" s="8" t="n"/>
      <c r="H252" s="10" t="n">
        <v>312.563</v>
      </c>
      <c r="I252" s="10" t="n">
        <v>14.694</v>
      </c>
      <c r="J252" s="10" t="n">
        <v>9.301</v>
      </c>
      <c r="K252" s="10" t="n">
        <v>5.393</v>
      </c>
      <c r="L252" s="8" t="inlineStr">
        <is>
          <t>三部</t>
        </is>
      </c>
      <c r="M252" s="8" t="inlineStr">
        <is>
          <t>徐涛</t>
        </is>
      </c>
      <c r="N252" s="8" t="inlineStr">
        <is>
          <t>1年以内</t>
        </is>
      </c>
      <c r="O252" s="8" t="n"/>
    </row>
    <row r="253">
      <c r="A253" s="5" t="n">
        <v>251</v>
      </c>
      <c r="B253" s="5" t="inlineStr">
        <is>
          <t>西南-四川</t>
        </is>
      </c>
      <c r="C253" s="5" t="inlineStr">
        <is>
          <t>党委机关</t>
        </is>
      </c>
      <c r="D253" s="6" t="inlineStr">
        <is>
          <t>HT20250607</t>
        </is>
      </c>
      <c r="E253" s="6" t="inlineStr">
        <is>
          <t>20260320</t>
        </is>
      </c>
      <c r="F253" s="10" t="n">
        <v>167.36</v>
      </c>
      <c r="G253" s="8" t="n"/>
      <c r="H253" s="10" t="n">
        <v>4.141</v>
      </c>
      <c r="I253" s="10" t="n">
        <v>163.219</v>
      </c>
      <c r="J253" s="10" t="n">
        <v>107.328</v>
      </c>
      <c r="K253" s="10" t="n">
        <v>55.891</v>
      </c>
      <c r="L253" s="8" t="inlineStr">
        <is>
          <t>五部</t>
        </is>
      </c>
      <c r="M253" s="8" t="inlineStr">
        <is>
          <t>梁雪</t>
        </is>
      </c>
      <c r="N253" s="8" t="inlineStr">
        <is>
          <t>2-3年</t>
        </is>
      </c>
      <c r="O253" s="8" t="n"/>
    </row>
    <row r="254">
      <c r="A254" s="5" t="n">
        <v>252</v>
      </c>
      <c r="B254" s="5" t="inlineStr">
        <is>
          <t>东北-黑龙江</t>
        </is>
      </c>
      <c r="C254" s="5" t="inlineStr">
        <is>
          <t>监察司法机关</t>
        </is>
      </c>
      <c r="D254" s="6" t="inlineStr">
        <is>
          <t>HT20250608</t>
        </is>
      </c>
      <c r="E254" s="6" t="inlineStr">
        <is>
          <t>20260131</t>
        </is>
      </c>
      <c r="F254" s="10" t="n">
        <v>690.852</v>
      </c>
      <c r="G254" s="8" t="n"/>
      <c r="H254" s="10" t="n">
        <v>670.987</v>
      </c>
      <c r="I254" s="10" t="n">
        <v>19.865</v>
      </c>
      <c r="J254" s="10" t="n">
        <v>2.483</v>
      </c>
      <c r="K254" s="10" t="n">
        <v>17.382</v>
      </c>
      <c r="L254" s="8" t="inlineStr">
        <is>
          <t>九部</t>
        </is>
      </c>
      <c r="M254" s="8" t="inlineStr">
        <is>
          <t>丁磊</t>
        </is>
      </c>
      <c r="N254" s="8" t="inlineStr">
        <is>
          <t>2-3年</t>
        </is>
      </c>
      <c r="O254" s="8" t="n"/>
    </row>
    <row r="255">
      <c r="A255" s="5" t="n">
        <v>253</v>
      </c>
      <c r="B255" s="5" t="inlineStr">
        <is>
          <t>东北-辽宁</t>
        </is>
      </c>
      <c r="C255" s="5" t="inlineStr">
        <is>
          <t>政府机关</t>
        </is>
      </c>
      <c r="D255" s="6" t="inlineStr">
        <is>
          <t>HT20250608</t>
        </is>
      </c>
      <c r="E255" s="6" t="inlineStr">
        <is>
          <t>20260131</t>
        </is>
      </c>
      <c r="F255" s="10" t="n">
        <v>868.6079999999999</v>
      </c>
      <c r="G255" s="8" t="n"/>
      <c r="H255" s="10" t="n">
        <v>239.606</v>
      </c>
      <c r="I255" s="10" t="n">
        <v>629.002</v>
      </c>
      <c r="J255" s="10" t="n">
        <v>39.017</v>
      </c>
      <c r="K255" s="10" t="n">
        <v>589.985</v>
      </c>
      <c r="L255" s="8" t="inlineStr">
        <is>
          <t>三部</t>
        </is>
      </c>
      <c r="M255" s="8" t="inlineStr">
        <is>
          <t>徐涛</t>
        </is>
      </c>
      <c r="N255" s="8" t="inlineStr">
        <is>
          <t>1-2年</t>
        </is>
      </c>
      <c r="O255" s="8" t="n"/>
    </row>
    <row r="256">
      <c r="A256" s="5" t="n">
        <v>254</v>
      </c>
      <c r="B256" s="5" t="inlineStr">
        <is>
          <t>华北-天津</t>
        </is>
      </c>
      <c r="C256" s="5" t="inlineStr">
        <is>
          <t>基层自治组织</t>
        </is>
      </c>
      <c r="D256" s="6" t="inlineStr">
        <is>
          <t>HT20250608</t>
        </is>
      </c>
      <c r="E256" s="6" t="inlineStr">
        <is>
          <t>20260131</t>
        </is>
      </c>
      <c r="F256" s="10" t="n">
        <v>760.804</v>
      </c>
      <c r="G256" s="8" t="n"/>
      <c r="H256" s="10" t="n">
        <v>322.285</v>
      </c>
      <c r="I256" s="10" t="n">
        <v>438.519</v>
      </c>
      <c r="J256" s="10" t="n">
        <v>352.414</v>
      </c>
      <c r="K256" s="10" t="n">
        <v>86.105</v>
      </c>
      <c r="L256" s="8" t="inlineStr">
        <is>
          <t>三部</t>
        </is>
      </c>
      <c r="M256" s="8" t="inlineStr">
        <is>
          <t>徐涛</t>
        </is>
      </c>
      <c r="N256" s="8" t="inlineStr">
        <is>
          <t>1年以内</t>
        </is>
      </c>
      <c r="O256" s="8" t="n"/>
    </row>
    <row r="257">
      <c r="A257" s="5" t="n">
        <v>255</v>
      </c>
      <c r="B257" s="5" t="inlineStr">
        <is>
          <t>华东-上海</t>
        </is>
      </c>
      <c r="C257" s="5" t="inlineStr">
        <is>
          <t>监察司法机关</t>
        </is>
      </c>
      <c r="D257" s="6" t="inlineStr">
        <is>
          <t>HT20250609</t>
        </is>
      </c>
      <c r="E257" s="6" t="inlineStr">
        <is>
          <t>20260403</t>
        </is>
      </c>
      <c r="F257" s="10" t="n">
        <v>263.312</v>
      </c>
      <c r="G257" s="8" t="n"/>
      <c r="H257" s="10" t="n">
        <v>14.439</v>
      </c>
      <c r="I257" s="10" t="n">
        <v>248.873</v>
      </c>
      <c r="J257" s="10" t="n">
        <v>118.218</v>
      </c>
      <c r="K257" s="10" t="n">
        <v>130.655</v>
      </c>
      <c r="L257" s="8" t="inlineStr">
        <is>
          <t>三部</t>
        </is>
      </c>
      <c r="M257" s="8" t="inlineStr">
        <is>
          <t>胡蓉</t>
        </is>
      </c>
      <c r="N257" s="8" t="inlineStr">
        <is>
          <t>1年以内</t>
        </is>
      </c>
      <c r="O257" s="8" t="n"/>
    </row>
    <row r="258">
      <c r="A258" s="5" t="n">
        <v>256</v>
      </c>
      <c r="B258" s="5" t="inlineStr">
        <is>
          <t>华北-北京</t>
        </is>
      </c>
      <c r="C258" s="5" t="inlineStr">
        <is>
          <t>基层自治组织</t>
        </is>
      </c>
      <c r="D258" s="6" t="inlineStr">
        <is>
          <t>HT20250609</t>
        </is>
      </c>
      <c r="E258" s="6" t="inlineStr">
        <is>
          <t>20260403</t>
        </is>
      </c>
      <c r="F258" s="10" t="n">
        <v>313.047</v>
      </c>
      <c r="G258" s="8" t="n"/>
      <c r="H258" s="10" t="n">
        <v>74.873</v>
      </c>
      <c r="I258" s="10" t="n">
        <v>238.174</v>
      </c>
      <c r="J258" s="10" t="n">
        <v>44.815</v>
      </c>
      <c r="K258" s="10" t="n">
        <v>193.359</v>
      </c>
      <c r="L258" s="8" t="inlineStr">
        <is>
          <t>三部</t>
        </is>
      </c>
      <c r="M258" s="8" t="inlineStr">
        <is>
          <t>徐涛</t>
        </is>
      </c>
      <c r="N258" s="8" t="inlineStr">
        <is>
          <t>1年以内</t>
        </is>
      </c>
      <c r="O258" s="8" t="n"/>
    </row>
    <row r="259">
      <c r="A259" s="5" t="n">
        <v>257</v>
      </c>
      <c r="B259" s="5" t="inlineStr">
        <is>
          <t>西南-云南</t>
        </is>
      </c>
      <c r="C259" s="5" t="inlineStr">
        <is>
          <t>事业单位</t>
        </is>
      </c>
      <c r="D259" s="6" t="inlineStr">
        <is>
          <t>HT20250609</t>
        </is>
      </c>
      <c r="E259" s="6" t="inlineStr">
        <is>
          <t>20260403</t>
        </is>
      </c>
      <c r="F259" s="10" t="n">
        <v>578.318</v>
      </c>
      <c r="G259" s="8" t="n"/>
      <c r="H259" s="10" t="n">
        <v>205.068</v>
      </c>
      <c r="I259" s="10" t="n">
        <v>373.25</v>
      </c>
      <c r="J259" s="10" t="n">
        <v>91.648</v>
      </c>
      <c r="K259" s="10" t="n">
        <v>281.602</v>
      </c>
      <c r="L259" s="8" t="inlineStr">
        <is>
          <t>十部</t>
        </is>
      </c>
      <c r="M259" s="8" t="inlineStr">
        <is>
          <t>薛峰</t>
        </is>
      </c>
      <c r="N259" s="8" t="inlineStr">
        <is>
          <t>2-3年</t>
        </is>
      </c>
      <c r="O259" s="8" t="n"/>
    </row>
    <row r="260">
      <c r="A260" s="5" t="n">
        <v>258</v>
      </c>
      <c r="B260" s="5" t="inlineStr">
        <is>
          <t>西北-宁夏</t>
        </is>
      </c>
      <c r="C260" s="5" t="inlineStr">
        <is>
          <t>党委机关</t>
        </is>
      </c>
      <c r="D260" s="6" t="inlineStr">
        <is>
          <t>HT20250609</t>
        </is>
      </c>
      <c r="E260" s="6" t="inlineStr">
        <is>
          <t>20260403</t>
        </is>
      </c>
      <c r="F260" s="10" t="n">
        <v>268.784</v>
      </c>
      <c r="G260" s="8" t="n"/>
      <c r="H260" s="10" t="n">
        <v>49.583</v>
      </c>
      <c r="I260" s="10" t="n">
        <v>219.201</v>
      </c>
      <c r="J260" s="10" t="n">
        <v>94.748</v>
      </c>
      <c r="K260" s="10" t="n">
        <v>124.453</v>
      </c>
      <c r="L260" s="8" t="inlineStr">
        <is>
          <t>十部</t>
        </is>
      </c>
      <c r="M260" s="8" t="inlineStr">
        <is>
          <t>阎莉</t>
        </is>
      </c>
      <c r="N260" s="8" t="inlineStr">
        <is>
          <t>1年以内</t>
        </is>
      </c>
      <c r="O260" s="8" t="n"/>
    </row>
    <row r="261">
      <c r="A261" s="5" t="n">
        <v>259</v>
      </c>
      <c r="B261" s="5" t="inlineStr">
        <is>
          <t>华北-山西</t>
        </is>
      </c>
      <c r="C261" s="5" t="inlineStr">
        <is>
          <t>政府机关</t>
        </is>
      </c>
      <c r="D261" s="6" t="inlineStr">
        <is>
          <t>HT20250609</t>
        </is>
      </c>
      <c r="E261" s="6" t="inlineStr">
        <is>
          <t>20260403</t>
        </is>
      </c>
      <c r="F261" s="10" t="n">
        <v>831.046</v>
      </c>
      <c r="G261" s="8" t="n"/>
      <c r="H261" s="10" t="n">
        <v>681.25</v>
      </c>
      <c r="I261" s="10" t="n">
        <v>149.796</v>
      </c>
      <c r="J261" s="10" t="n">
        <v>108.143</v>
      </c>
      <c r="K261" s="10" t="n">
        <v>41.653</v>
      </c>
      <c r="L261" s="8" t="inlineStr">
        <is>
          <t>六部</t>
        </is>
      </c>
      <c r="M261" s="8" t="inlineStr">
        <is>
          <t>董辉</t>
        </is>
      </c>
      <c r="N261" s="8" t="inlineStr">
        <is>
          <t>2-3年</t>
        </is>
      </c>
      <c r="O261" s="8" t="n"/>
    </row>
    <row r="262">
      <c r="A262" s="5" t="n">
        <v>260</v>
      </c>
      <c r="B262" s="5" t="inlineStr">
        <is>
          <t>东北-黑龙江</t>
        </is>
      </c>
      <c r="C262" s="5" t="inlineStr">
        <is>
          <t>群团组织</t>
        </is>
      </c>
      <c r="D262" s="6" t="inlineStr">
        <is>
          <t>HT20250610</t>
        </is>
      </c>
      <c r="E262" s="6" t="inlineStr">
        <is>
          <t>20260616</t>
        </is>
      </c>
      <c r="F262" s="10" t="n">
        <v>40.43</v>
      </c>
      <c r="G262" s="8" t="n"/>
      <c r="H262" s="10" t="n">
        <v>34.763</v>
      </c>
      <c r="I262" s="10" t="n">
        <v>5.667</v>
      </c>
      <c r="J262" s="10" t="n">
        <v>0.275</v>
      </c>
      <c r="K262" s="10" t="n">
        <v>5.392</v>
      </c>
      <c r="L262" s="8" t="inlineStr">
        <is>
          <t>十部</t>
        </is>
      </c>
      <c r="M262" s="8" t="inlineStr">
        <is>
          <t>雷声</t>
        </is>
      </c>
      <c r="N262" s="8" t="inlineStr">
        <is>
          <t>1年以内</t>
        </is>
      </c>
      <c r="O262" s="8" t="n"/>
    </row>
    <row r="263">
      <c r="A263" s="5" t="n">
        <v>261</v>
      </c>
      <c r="B263" s="5" t="inlineStr">
        <is>
          <t>华东-浙江</t>
        </is>
      </c>
      <c r="C263" s="5" t="inlineStr">
        <is>
          <t>群团组织</t>
        </is>
      </c>
      <c r="D263" s="6" t="inlineStr">
        <is>
          <t>HT20250610</t>
        </is>
      </c>
      <c r="E263" s="6" t="inlineStr">
        <is>
          <t>20260616</t>
        </is>
      </c>
      <c r="F263" s="10" t="n">
        <v>934.229</v>
      </c>
      <c r="G263" s="8" t="n"/>
      <c r="H263" s="10" t="n">
        <v>392.264</v>
      </c>
      <c r="I263" s="10" t="n">
        <v>541.965</v>
      </c>
      <c r="J263" s="10" t="n">
        <v>121.064</v>
      </c>
      <c r="K263" s="10" t="n">
        <v>420.901</v>
      </c>
      <c r="L263" s="8" t="inlineStr">
        <is>
          <t>三部</t>
        </is>
      </c>
      <c r="M263" s="8" t="inlineStr">
        <is>
          <t>孙艳</t>
        </is>
      </c>
      <c r="N263" s="8" t="inlineStr">
        <is>
          <t>1-2年</t>
        </is>
      </c>
      <c r="O263" s="8" t="n"/>
    </row>
    <row r="264">
      <c r="A264" s="5" t="n">
        <v>262</v>
      </c>
      <c r="B264" s="5" t="inlineStr">
        <is>
          <t>华北-山西</t>
        </is>
      </c>
      <c r="C264" s="5" t="inlineStr">
        <is>
          <t>党委机关</t>
        </is>
      </c>
      <c r="D264" s="6" t="inlineStr">
        <is>
          <t>HT20250612</t>
        </is>
      </c>
      <c r="E264" s="6" t="inlineStr">
        <is>
          <t>20260109</t>
        </is>
      </c>
      <c r="F264" s="10" t="n">
        <v>798.84</v>
      </c>
      <c r="G264" s="8" t="n"/>
      <c r="H264" s="10" t="n">
        <v>20.163</v>
      </c>
      <c r="I264" s="10" t="n">
        <v>778.677</v>
      </c>
      <c r="J264" s="10" t="n">
        <v>264.269</v>
      </c>
      <c r="K264" s="10" t="n">
        <v>514.408</v>
      </c>
      <c r="L264" s="8" t="inlineStr">
        <is>
          <t>七部</t>
        </is>
      </c>
      <c r="M264" s="8" t="inlineStr">
        <is>
          <t>许涛</t>
        </is>
      </c>
      <c r="N264" s="8" t="inlineStr">
        <is>
          <t>1-2年</t>
        </is>
      </c>
      <c r="O264" s="8" t="n"/>
    </row>
    <row r="265">
      <c r="A265" s="5" t="n">
        <v>263</v>
      </c>
      <c r="B265" s="5" t="inlineStr">
        <is>
          <t>华南-广西</t>
        </is>
      </c>
      <c r="C265" s="5" t="inlineStr">
        <is>
          <t>事业单位</t>
        </is>
      </c>
      <c r="D265" s="6" t="inlineStr">
        <is>
          <t>HT20250613</t>
        </is>
      </c>
      <c r="E265" s="6" t="inlineStr">
        <is>
          <t>20260715</t>
        </is>
      </c>
      <c r="F265" s="10" t="n">
        <v>469.291</v>
      </c>
      <c r="G265" s="8" t="n"/>
      <c r="H265" s="10" t="n">
        <v>165.988</v>
      </c>
      <c r="I265" s="10" t="n">
        <v>303.303</v>
      </c>
      <c r="J265" s="10" t="n">
        <v>58.057</v>
      </c>
      <c r="K265" s="10" t="n">
        <v>245.246</v>
      </c>
      <c r="L265" s="8" t="inlineStr">
        <is>
          <t>四部</t>
        </is>
      </c>
      <c r="M265" s="8" t="inlineStr">
        <is>
          <t>郭鹏</t>
        </is>
      </c>
      <c r="N265" s="8" t="inlineStr">
        <is>
          <t>2-3年</t>
        </is>
      </c>
      <c r="O265" s="8" t="n"/>
    </row>
    <row r="266">
      <c r="A266" s="5" t="n">
        <v>264</v>
      </c>
      <c r="B266" s="5" t="inlineStr">
        <is>
          <t>东北-黑龙江</t>
        </is>
      </c>
      <c r="C266" s="5" t="inlineStr">
        <is>
          <t>群团组织</t>
        </is>
      </c>
      <c r="D266" s="6" t="inlineStr">
        <is>
          <t>HT20250614</t>
        </is>
      </c>
      <c r="E266" s="6" t="inlineStr">
        <is>
          <t>20260507</t>
        </is>
      </c>
      <c r="F266" s="10" t="n">
        <v>1610.851</v>
      </c>
      <c r="G266" s="8" t="n"/>
      <c r="H266" s="10" t="n">
        <v>892.978</v>
      </c>
      <c r="I266" s="10" t="n">
        <v>717.873</v>
      </c>
      <c r="J266" s="10" t="n">
        <v>429.311</v>
      </c>
      <c r="K266" s="10" t="n">
        <v>288.562</v>
      </c>
      <c r="L266" s="8" t="inlineStr">
        <is>
          <t>十部</t>
        </is>
      </c>
      <c r="M266" s="8" t="inlineStr">
        <is>
          <t>段勇</t>
        </is>
      </c>
      <c r="N266" s="8" t="inlineStr">
        <is>
          <t>1-2年</t>
        </is>
      </c>
      <c r="O266" s="8" t="n"/>
    </row>
    <row r="267">
      <c r="A267" s="5" t="n">
        <v>265</v>
      </c>
      <c r="B267" s="5" t="inlineStr">
        <is>
          <t>西北-陕西</t>
        </is>
      </c>
      <c r="C267" s="5" t="inlineStr">
        <is>
          <t>事业单位</t>
        </is>
      </c>
      <c r="D267" s="6" t="inlineStr">
        <is>
          <t>HT20250614</t>
        </is>
      </c>
      <c r="E267" s="6" t="inlineStr">
        <is>
          <t>20260507</t>
        </is>
      </c>
      <c r="F267" s="10" t="n">
        <v>366.582</v>
      </c>
      <c r="G267" s="8" t="n"/>
      <c r="H267" s="10" t="n">
        <v>325.583</v>
      </c>
      <c r="I267" s="10" t="n">
        <v>40.999</v>
      </c>
      <c r="J267" s="10" t="n">
        <v>36.816</v>
      </c>
      <c r="K267" s="10" t="n">
        <v>4.183</v>
      </c>
      <c r="L267" s="8" t="inlineStr">
        <is>
          <t>三部</t>
        </is>
      </c>
      <c r="M267" s="8" t="inlineStr">
        <is>
          <t>马超</t>
        </is>
      </c>
      <c r="N267" s="8" t="inlineStr">
        <is>
          <t>1-2年</t>
        </is>
      </c>
      <c r="O267" s="8" t="n"/>
    </row>
    <row r="268">
      <c r="A268" s="5" t="n">
        <v>266</v>
      </c>
      <c r="B268" s="5" t="inlineStr">
        <is>
          <t>华东-台湾</t>
        </is>
      </c>
      <c r="C268" s="5" t="inlineStr">
        <is>
          <t>基层自治组织</t>
        </is>
      </c>
      <c r="D268" s="6" t="inlineStr">
        <is>
          <t>HT20250614</t>
        </is>
      </c>
      <c r="E268" s="6" t="inlineStr">
        <is>
          <t>20260507</t>
        </is>
      </c>
      <c r="F268" s="10" t="n">
        <v>14.405</v>
      </c>
      <c r="G268" s="8" t="n"/>
      <c r="H268" s="10" t="n">
        <v>5.532</v>
      </c>
      <c r="I268" s="10" t="n">
        <v>8.872999999999999</v>
      </c>
      <c r="J268" s="10" t="n">
        <v>1.68</v>
      </c>
      <c r="K268" s="10" t="n">
        <v>7.193</v>
      </c>
      <c r="L268" s="8" t="inlineStr">
        <is>
          <t>一部</t>
        </is>
      </c>
      <c r="M268" s="8" t="inlineStr">
        <is>
          <t>王芳</t>
        </is>
      </c>
      <c r="N268" s="8" t="inlineStr">
        <is>
          <t>2-3年</t>
        </is>
      </c>
      <c r="O268" s="8" t="n"/>
    </row>
    <row r="269">
      <c r="A269" s="5" t="n">
        <v>267</v>
      </c>
      <c r="B269" s="5" t="inlineStr">
        <is>
          <t>西南-四川</t>
        </is>
      </c>
      <c r="C269" s="5" t="inlineStr">
        <is>
          <t>基层自治组织</t>
        </is>
      </c>
      <c r="D269" s="6" t="inlineStr">
        <is>
          <t>HT20250617</t>
        </is>
      </c>
      <c r="E269" s="6" t="inlineStr">
        <is>
          <t>20251007</t>
        </is>
      </c>
      <c r="F269" s="10" t="n">
        <v>714.851</v>
      </c>
      <c r="G269" s="8" t="n"/>
      <c r="H269" s="10" t="n">
        <v>288.491</v>
      </c>
      <c r="I269" s="10" t="n">
        <v>426.36</v>
      </c>
      <c r="J269" s="10" t="n">
        <v>83.06699999999999</v>
      </c>
      <c r="K269" s="10" t="n">
        <v>343.293</v>
      </c>
      <c r="L269" s="8" t="inlineStr">
        <is>
          <t>二部</t>
        </is>
      </c>
      <c r="M269" s="8" t="inlineStr">
        <is>
          <t>赵敏</t>
        </is>
      </c>
      <c r="N269" s="8" t="inlineStr">
        <is>
          <t>1年以内</t>
        </is>
      </c>
      <c r="O269" s="8" t="n"/>
    </row>
    <row r="270">
      <c r="A270" s="5" t="n">
        <v>268</v>
      </c>
      <c r="B270" s="5" t="inlineStr">
        <is>
          <t>华北-河北</t>
        </is>
      </c>
      <c r="C270" s="5" t="inlineStr">
        <is>
          <t>政府机关</t>
        </is>
      </c>
      <c r="D270" s="6" t="inlineStr">
        <is>
          <t>HT20250619</t>
        </is>
      </c>
      <c r="E270" s="6" t="inlineStr">
        <is>
          <t>20260326</t>
        </is>
      </c>
      <c r="F270" s="10" t="n">
        <v>716.425</v>
      </c>
      <c r="G270" s="8" t="n"/>
      <c r="H270" s="10" t="n">
        <v>702.3579999999999</v>
      </c>
      <c r="I270" s="10" t="n">
        <v>14.067</v>
      </c>
      <c r="J270" s="10" t="n">
        <v>6.338</v>
      </c>
      <c r="K270" s="10" t="n">
        <v>7.729</v>
      </c>
      <c r="L270" s="8" t="inlineStr">
        <is>
          <t>八部</t>
        </is>
      </c>
      <c r="M270" s="8" t="inlineStr">
        <is>
          <t>卢俊</t>
        </is>
      </c>
      <c r="N270" s="8" t="inlineStr">
        <is>
          <t>1年以内</t>
        </is>
      </c>
      <c r="O270" s="8" t="n"/>
    </row>
    <row r="271">
      <c r="A271" s="5" t="n">
        <v>269</v>
      </c>
      <c r="B271" s="5" t="inlineStr">
        <is>
          <t>西南-重庆</t>
        </is>
      </c>
      <c r="C271" s="5" t="inlineStr">
        <is>
          <t>人大政协</t>
        </is>
      </c>
      <c r="D271" s="6" t="inlineStr">
        <is>
          <t>HT20250619</t>
        </is>
      </c>
      <c r="E271" s="6" t="inlineStr">
        <is>
          <t>20260326</t>
        </is>
      </c>
      <c r="F271" s="10" t="n">
        <v>569.909</v>
      </c>
      <c r="G271" s="8" t="n"/>
      <c r="H271" s="10" t="n">
        <v>176.079</v>
      </c>
      <c r="I271" s="10" t="n">
        <v>393.83</v>
      </c>
      <c r="J271" s="10" t="n">
        <v>13.536</v>
      </c>
      <c r="K271" s="10" t="n">
        <v>380.294</v>
      </c>
      <c r="L271" s="8" t="inlineStr">
        <is>
          <t>七部</t>
        </is>
      </c>
      <c r="M271" s="8" t="inlineStr">
        <is>
          <t>许涛</t>
        </is>
      </c>
      <c r="N271" s="8" t="inlineStr">
        <is>
          <t>2-3年</t>
        </is>
      </c>
      <c r="O271" s="8" t="n"/>
    </row>
    <row r="272">
      <c r="A272" s="5" t="n">
        <v>270</v>
      </c>
      <c r="B272" s="5" t="inlineStr">
        <is>
          <t>西南-云南</t>
        </is>
      </c>
      <c r="C272" s="5" t="inlineStr">
        <is>
          <t>国有企业</t>
        </is>
      </c>
      <c r="D272" s="6" t="inlineStr">
        <is>
          <t>HT20250620</t>
        </is>
      </c>
      <c r="E272" s="6" t="inlineStr">
        <is>
          <t>20260723</t>
        </is>
      </c>
      <c r="F272" s="10" t="n">
        <v>230.136</v>
      </c>
      <c r="G272" s="8" t="n"/>
      <c r="H272" s="10" t="n">
        <v>28.349</v>
      </c>
      <c r="I272" s="10" t="n">
        <v>201.787</v>
      </c>
      <c r="J272" s="10" t="n">
        <v>98.69199999999999</v>
      </c>
      <c r="K272" s="10" t="n">
        <v>103.095</v>
      </c>
      <c r="L272" s="8" t="inlineStr">
        <is>
          <t>八部</t>
        </is>
      </c>
      <c r="M272" s="8" t="inlineStr">
        <is>
          <t>彭燕</t>
        </is>
      </c>
      <c r="N272" s="8" t="inlineStr">
        <is>
          <t>1年以内</t>
        </is>
      </c>
      <c r="O272" s="8" t="n"/>
    </row>
    <row r="273">
      <c r="A273" s="5" t="n">
        <v>271</v>
      </c>
      <c r="B273" s="5" t="inlineStr">
        <is>
          <t>西南-重庆</t>
        </is>
      </c>
      <c r="C273" s="5" t="inlineStr">
        <is>
          <t>事业单位</t>
        </is>
      </c>
      <c r="D273" s="6" t="inlineStr">
        <is>
          <t>HT20250620</t>
        </is>
      </c>
      <c r="E273" s="6" t="inlineStr">
        <is>
          <t>20260723</t>
        </is>
      </c>
      <c r="F273" s="10" t="n">
        <v>381.142</v>
      </c>
      <c r="G273" s="8" t="n"/>
      <c r="H273" s="10" t="n">
        <v>182.643</v>
      </c>
      <c r="I273" s="10" t="n">
        <v>198.499</v>
      </c>
      <c r="J273" s="10" t="n">
        <v>94.556</v>
      </c>
      <c r="K273" s="10" t="n">
        <v>103.943</v>
      </c>
      <c r="L273" s="8" t="inlineStr">
        <is>
          <t>八部</t>
        </is>
      </c>
      <c r="M273" s="8" t="inlineStr">
        <is>
          <t>曾辉</t>
        </is>
      </c>
      <c r="N273" s="8" t="inlineStr">
        <is>
          <t>1年以内</t>
        </is>
      </c>
      <c r="O273" s="8" t="n"/>
    </row>
    <row r="274">
      <c r="A274" s="5" t="n">
        <v>272</v>
      </c>
      <c r="B274" s="5" t="inlineStr">
        <is>
          <t>西南-云南</t>
        </is>
      </c>
      <c r="C274" s="5" t="inlineStr">
        <is>
          <t>国有企业</t>
        </is>
      </c>
      <c r="D274" s="6" t="inlineStr">
        <is>
          <t>HT20250622</t>
        </is>
      </c>
      <c r="E274" s="6" t="inlineStr">
        <is>
          <t>20260811</t>
        </is>
      </c>
      <c r="F274" s="10" t="n">
        <v>920.217</v>
      </c>
      <c r="G274" s="8" t="n"/>
      <c r="H274" s="10" t="n">
        <v>183.538</v>
      </c>
      <c r="I274" s="10" t="n">
        <v>736.679</v>
      </c>
      <c r="J274" s="10" t="n">
        <v>217.373</v>
      </c>
      <c r="K274" s="10" t="n">
        <v>519.306</v>
      </c>
      <c r="L274" s="8" t="inlineStr">
        <is>
          <t>一部</t>
        </is>
      </c>
      <c r="M274" s="8" t="inlineStr">
        <is>
          <t>刘洋</t>
        </is>
      </c>
      <c r="N274" s="8" t="inlineStr">
        <is>
          <t>2-3年</t>
        </is>
      </c>
      <c r="O274" s="8" t="n"/>
    </row>
    <row r="275">
      <c r="A275" s="5" t="n">
        <v>273</v>
      </c>
      <c r="B275" s="5" t="inlineStr">
        <is>
          <t>华南-香港</t>
        </is>
      </c>
      <c r="C275" s="5" t="inlineStr">
        <is>
          <t>基层自治组织</t>
        </is>
      </c>
      <c r="D275" s="6" t="inlineStr">
        <is>
          <t>HT20250623</t>
        </is>
      </c>
      <c r="E275" s="6" t="inlineStr">
        <is>
          <t>20260706</t>
        </is>
      </c>
      <c r="F275" s="10" t="n">
        <v>444.646</v>
      </c>
      <c r="G275" s="8" t="n"/>
      <c r="H275" s="10" t="n">
        <v>383.452</v>
      </c>
      <c r="I275" s="10" t="n">
        <v>61.194</v>
      </c>
      <c r="J275" s="10" t="n">
        <v>56.871</v>
      </c>
      <c r="K275" s="10" t="n">
        <v>4.323</v>
      </c>
      <c r="L275" s="8" t="inlineStr">
        <is>
          <t>九部</t>
        </is>
      </c>
      <c r="M275" s="8" t="inlineStr">
        <is>
          <t>蒋涛</t>
        </is>
      </c>
      <c r="N275" s="8" t="inlineStr">
        <is>
          <t>1-2年</t>
        </is>
      </c>
      <c r="O275" s="8" t="n"/>
    </row>
    <row r="276">
      <c r="A276" s="5" t="n">
        <v>274</v>
      </c>
      <c r="B276" s="5" t="inlineStr">
        <is>
          <t>东北-辽宁</t>
        </is>
      </c>
      <c r="C276" s="5" t="inlineStr">
        <is>
          <t>人大政协</t>
        </is>
      </c>
      <c r="D276" s="6" t="inlineStr">
        <is>
          <t>HT20250624</t>
        </is>
      </c>
      <c r="E276" s="6" t="inlineStr">
        <is>
          <t>20260424</t>
        </is>
      </c>
      <c r="F276" s="10" t="n">
        <v>356.372</v>
      </c>
      <c r="G276" s="8" t="n"/>
      <c r="H276" s="10" t="n">
        <v>244.761</v>
      </c>
      <c r="I276" s="10" t="n">
        <v>111.611</v>
      </c>
      <c r="J276" s="10" t="n">
        <v>83.05500000000001</v>
      </c>
      <c r="K276" s="10" t="n">
        <v>28.556</v>
      </c>
      <c r="L276" s="8" t="inlineStr">
        <is>
          <t>三部</t>
        </is>
      </c>
      <c r="M276" s="8" t="inlineStr">
        <is>
          <t>徐涛</t>
        </is>
      </c>
      <c r="N276" s="8" t="inlineStr">
        <is>
          <t>1年以内</t>
        </is>
      </c>
      <c r="O276" s="8" t="n"/>
    </row>
    <row r="277">
      <c r="A277" s="5" t="n">
        <v>275</v>
      </c>
      <c r="B277" s="5" t="inlineStr">
        <is>
          <t>西北-陕西</t>
        </is>
      </c>
      <c r="C277" s="5" t="inlineStr">
        <is>
          <t>党委机关</t>
        </is>
      </c>
      <c r="D277" s="6" t="inlineStr">
        <is>
          <t>HT20250625</t>
        </is>
      </c>
      <c r="E277" s="6" t="inlineStr">
        <is>
          <t>20251105</t>
        </is>
      </c>
      <c r="F277" s="10" t="n">
        <v>86.062</v>
      </c>
      <c r="G277" s="8" t="n"/>
      <c r="H277" s="10" t="n">
        <v>47.219</v>
      </c>
      <c r="I277" s="10" t="n">
        <v>38.843</v>
      </c>
      <c r="J277" s="10" t="n">
        <v>34.672</v>
      </c>
      <c r="K277" s="10" t="n">
        <v>4.171</v>
      </c>
      <c r="L277" s="8" t="inlineStr">
        <is>
          <t>七部</t>
        </is>
      </c>
      <c r="M277" s="8" t="inlineStr">
        <is>
          <t>邓丽</t>
        </is>
      </c>
      <c r="N277" s="8" t="inlineStr">
        <is>
          <t>1-2年</t>
        </is>
      </c>
      <c r="O277" s="8" t="n"/>
    </row>
    <row r="278">
      <c r="A278" s="5" t="n">
        <v>276</v>
      </c>
      <c r="B278" s="5" t="inlineStr">
        <is>
          <t>华东-台湾</t>
        </is>
      </c>
      <c r="C278" s="5" t="inlineStr">
        <is>
          <t>人大政协</t>
        </is>
      </c>
      <c r="D278" s="6" t="inlineStr">
        <is>
          <t>HT20250625</t>
        </is>
      </c>
      <c r="E278" s="6" t="inlineStr">
        <is>
          <t>20251105</t>
        </is>
      </c>
      <c r="F278" s="10" t="n">
        <v>688.6900000000001</v>
      </c>
      <c r="G278" s="8" t="n"/>
      <c r="H278" s="10" t="n">
        <v>156.984</v>
      </c>
      <c r="I278" s="10" t="n">
        <v>531.706</v>
      </c>
      <c r="J278" s="10" t="n">
        <v>210.052</v>
      </c>
      <c r="K278" s="10" t="n">
        <v>321.654</v>
      </c>
      <c r="L278" s="8" t="inlineStr">
        <is>
          <t>三部</t>
        </is>
      </c>
      <c r="M278" s="8" t="inlineStr">
        <is>
          <t>孙艳</t>
        </is>
      </c>
      <c r="N278" s="8" t="inlineStr">
        <is>
          <t>1-2年</t>
        </is>
      </c>
      <c r="O278" s="8" t="n"/>
    </row>
    <row r="279">
      <c r="A279" s="5" t="n">
        <v>277</v>
      </c>
      <c r="B279" s="5" t="inlineStr">
        <is>
          <t>西北-青海</t>
        </is>
      </c>
      <c r="C279" s="5" t="inlineStr">
        <is>
          <t>事业单位</t>
        </is>
      </c>
      <c r="D279" s="6" t="inlineStr">
        <is>
          <t>HT20250626</t>
        </is>
      </c>
      <c r="E279" s="6" t="inlineStr">
        <is>
          <t>20260216</t>
        </is>
      </c>
      <c r="F279" s="10" t="n">
        <v>775.3200000000001</v>
      </c>
      <c r="G279" s="8" t="n"/>
      <c r="H279" s="10" t="n">
        <v>297.342</v>
      </c>
      <c r="I279" s="10" t="n">
        <v>477.978</v>
      </c>
      <c r="J279" s="10" t="n">
        <v>322.58</v>
      </c>
      <c r="K279" s="10" t="n">
        <v>155.398</v>
      </c>
      <c r="L279" s="8" t="inlineStr">
        <is>
          <t>八部</t>
        </is>
      </c>
      <c r="M279" s="8" t="inlineStr">
        <is>
          <t>卢俊</t>
        </is>
      </c>
      <c r="N279" s="8" t="inlineStr">
        <is>
          <t>1-2年</t>
        </is>
      </c>
      <c r="O279" s="8" t="n"/>
    </row>
    <row r="280">
      <c r="A280" s="5" t="n">
        <v>278</v>
      </c>
      <c r="B280" s="5" t="inlineStr">
        <is>
          <t>华北-内蒙古</t>
        </is>
      </c>
      <c r="C280" s="5" t="inlineStr">
        <is>
          <t>党委机关</t>
        </is>
      </c>
      <c r="D280" s="6" t="inlineStr">
        <is>
          <t>HT20250626</t>
        </is>
      </c>
      <c r="E280" s="6" t="inlineStr">
        <is>
          <t>20260216</t>
        </is>
      </c>
      <c r="F280" s="10" t="n">
        <v>442.149</v>
      </c>
      <c r="G280" s="8" t="n"/>
      <c r="H280" s="10" t="n">
        <v>120.957</v>
      </c>
      <c r="I280" s="10" t="n">
        <v>321.192</v>
      </c>
      <c r="J280" s="10" t="n">
        <v>7.045</v>
      </c>
      <c r="K280" s="10" t="n">
        <v>314.147</v>
      </c>
      <c r="L280" s="8" t="inlineStr">
        <is>
          <t>一部</t>
        </is>
      </c>
      <c r="M280" s="8" t="inlineStr">
        <is>
          <t>王芳</t>
        </is>
      </c>
      <c r="N280" s="8" t="inlineStr">
        <is>
          <t>1年以内</t>
        </is>
      </c>
      <c r="O280" s="8" t="n"/>
    </row>
    <row r="281">
      <c r="A281" s="5" t="n">
        <v>279</v>
      </c>
      <c r="B281" s="5" t="inlineStr">
        <is>
          <t>华东-浙江</t>
        </is>
      </c>
      <c r="C281" s="5" t="inlineStr">
        <is>
          <t>事业单位</t>
        </is>
      </c>
      <c r="D281" s="6" t="inlineStr">
        <is>
          <t>HT20250628</t>
        </is>
      </c>
      <c r="E281" s="6" t="inlineStr">
        <is>
          <t>20260820</t>
        </is>
      </c>
      <c r="F281" s="10" t="n">
        <v>122.581</v>
      </c>
      <c r="G281" s="8" t="n"/>
      <c r="H281" s="10" t="n">
        <v>103.48</v>
      </c>
      <c r="I281" s="10" t="n">
        <v>19.101</v>
      </c>
      <c r="J281" s="10" t="n">
        <v>16.057</v>
      </c>
      <c r="K281" s="10" t="n">
        <v>3.044</v>
      </c>
      <c r="L281" s="8" t="inlineStr">
        <is>
          <t>二部</t>
        </is>
      </c>
      <c r="M281" s="8" t="inlineStr">
        <is>
          <t>周杰</t>
        </is>
      </c>
      <c r="N281" s="8" t="inlineStr">
        <is>
          <t>2-3年</t>
        </is>
      </c>
      <c r="O281" s="8" t="n"/>
    </row>
    <row r="282">
      <c r="A282" s="5" t="n">
        <v>280</v>
      </c>
      <c r="B282" s="5" t="inlineStr">
        <is>
          <t>西南-四川</t>
        </is>
      </c>
      <c r="C282" s="5" t="inlineStr">
        <is>
          <t>群团组织</t>
        </is>
      </c>
      <c r="D282" s="6" t="inlineStr">
        <is>
          <t>HT20250629</t>
        </is>
      </c>
      <c r="E282" s="6" t="inlineStr">
        <is>
          <t>20260202</t>
        </is>
      </c>
      <c r="F282" s="10" t="n">
        <v>947.189</v>
      </c>
      <c r="G282" s="8" t="n"/>
      <c r="H282" s="10" t="n">
        <v>153.881</v>
      </c>
      <c r="I282" s="10" t="n">
        <v>793.308</v>
      </c>
      <c r="J282" s="10" t="n">
        <v>20.773</v>
      </c>
      <c r="K282" s="10" t="n">
        <v>772.535</v>
      </c>
      <c r="L282" s="8" t="inlineStr">
        <is>
          <t>五部</t>
        </is>
      </c>
      <c r="M282" s="8" t="inlineStr">
        <is>
          <t>谢峰</t>
        </is>
      </c>
      <c r="N282" s="8" t="inlineStr">
        <is>
          <t>1-2年</t>
        </is>
      </c>
      <c r="O282" s="8" t="n"/>
    </row>
    <row r="283">
      <c r="A283" s="5" t="n">
        <v>281</v>
      </c>
      <c r="B283" s="5" t="inlineStr">
        <is>
          <t>华南-香港</t>
        </is>
      </c>
      <c r="C283" s="5" t="inlineStr">
        <is>
          <t>政府机关</t>
        </is>
      </c>
      <c r="D283" s="6" t="inlineStr">
        <is>
          <t>HT20250629</t>
        </is>
      </c>
      <c r="E283" s="6" t="inlineStr">
        <is>
          <t>20260202</t>
        </is>
      </c>
      <c r="F283" s="10" t="n">
        <v>999.269</v>
      </c>
      <c r="G283" s="8" t="n"/>
      <c r="H283" s="10" t="n">
        <v>244.939</v>
      </c>
      <c r="I283" s="10" t="n">
        <v>754.33</v>
      </c>
      <c r="J283" s="10" t="n">
        <v>611.927</v>
      </c>
      <c r="K283" s="10" t="n">
        <v>142.403</v>
      </c>
      <c r="L283" s="8" t="inlineStr">
        <is>
          <t>二部</t>
        </is>
      </c>
      <c r="M283" s="8" t="inlineStr">
        <is>
          <t>吴丽</t>
        </is>
      </c>
      <c r="N283" s="8" t="inlineStr">
        <is>
          <t>1-2年</t>
        </is>
      </c>
      <c r="O283" s="8" t="n"/>
    </row>
    <row r="284">
      <c r="A284" s="5" t="n">
        <v>282</v>
      </c>
      <c r="B284" s="5" t="inlineStr">
        <is>
          <t>华中-湖北</t>
        </is>
      </c>
      <c r="C284" s="5" t="inlineStr">
        <is>
          <t>监察司法机关</t>
        </is>
      </c>
      <c r="D284" s="6" t="inlineStr">
        <is>
          <t>HT20250629</t>
        </is>
      </c>
      <c r="E284" s="6" t="inlineStr">
        <is>
          <t>20260202</t>
        </is>
      </c>
      <c r="F284" s="10" t="n">
        <v>3493.538</v>
      </c>
      <c r="G284" s="8" t="n"/>
      <c r="H284" s="10" t="n">
        <v>1323.809</v>
      </c>
      <c r="I284" s="10" t="n">
        <v>2169.729</v>
      </c>
      <c r="J284" s="10" t="n">
        <v>1210.251</v>
      </c>
      <c r="K284" s="10" t="n">
        <v>959.478</v>
      </c>
      <c r="L284" s="8" t="inlineStr">
        <is>
          <t>四部</t>
        </is>
      </c>
      <c r="M284" s="8" t="inlineStr">
        <is>
          <t>林燕</t>
        </is>
      </c>
      <c r="N284" s="8" t="inlineStr">
        <is>
          <t>2-3年</t>
        </is>
      </c>
      <c r="O284" s="8" t="n"/>
    </row>
    <row r="285">
      <c r="A285" s="5" t="n">
        <v>283</v>
      </c>
      <c r="B285" s="5" t="inlineStr">
        <is>
          <t>西南-重庆</t>
        </is>
      </c>
      <c r="C285" s="5" t="inlineStr">
        <is>
          <t>群团组织</t>
        </is>
      </c>
      <c r="D285" s="6" t="inlineStr">
        <is>
          <t>HT20250630</t>
        </is>
      </c>
      <c r="E285" s="6" t="inlineStr">
        <is>
          <t>20260806</t>
        </is>
      </c>
      <c r="F285" s="10" t="n">
        <v>934.029</v>
      </c>
      <c r="G285" s="8" t="n"/>
      <c r="H285" s="10" t="n">
        <v>8.722</v>
      </c>
      <c r="I285" s="10" t="n">
        <v>925.307</v>
      </c>
      <c r="J285" s="10" t="n">
        <v>523.046</v>
      </c>
      <c r="K285" s="10" t="n">
        <v>402.261</v>
      </c>
      <c r="L285" s="8" t="inlineStr">
        <is>
          <t>五部</t>
        </is>
      </c>
      <c r="M285" s="8" t="inlineStr">
        <is>
          <t>郑浩</t>
        </is>
      </c>
      <c r="N285" s="8" t="inlineStr">
        <is>
          <t>1-2年</t>
        </is>
      </c>
      <c r="O285" s="8" t="n"/>
    </row>
    <row r="286">
      <c r="A286" s="5" t="n">
        <v>284</v>
      </c>
      <c r="B286" s="5" t="inlineStr">
        <is>
          <t>华北-天津</t>
        </is>
      </c>
      <c r="C286" s="5" t="inlineStr">
        <is>
          <t>政府机关</t>
        </is>
      </c>
      <c r="D286" s="6" t="inlineStr">
        <is>
          <t>HT20250702</t>
        </is>
      </c>
      <c r="E286" s="6" t="inlineStr">
        <is>
          <t>20260829</t>
        </is>
      </c>
      <c r="F286" s="10" t="n">
        <v>649.668</v>
      </c>
      <c r="G286" s="8" t="n"/>
      <c r="H286" s="10" t="n">
        <v>25.64</v>
      </c>
      <c r="I286" s="10" t="n">
        <v>624.028</v>
      </c>
      <c r="J286" s="10" t="n">
        <v>585.254</v>
      </c>
      <c r="K286" s="10" t="n">
        <v>38.774</v>
      </c>
      <c r="L286" s="8" t="inlineStr">
        <is>
          <t>一部</t>
        </is>
      </c>
      <c r="M286" s="8" t="inlineStr">
        <is>
          <t>刘洋</t>
        </is>
      </c>
      <c r="N286" s="8" t="inlineStr">
        <is>
          <t>1年以内</t>
        </is>
      </c>
      <c r="O286" s="8" t="n"/>
    </row>
    <row r="287">
      <c r="A287" s="5" t="n">
        <v>285</v>
      </c>
      <c r="B287" s="5" t="inlineStr">
        <is>
          <t>华东-山东</t>
        </is>
      </c>
      <c r="C287" s="5" t="inlineStr">
        <is>
          <t>党委机关</t>
        </is>
      </c>
      <c r="D287" s="6" t="inlineStr">
        <is>
          <t>HT20250702</t>
        </is>
      </c>
      <c r="E287" s="6" t="inlineStr">
        <is>
          <t>20260829</t>
        </is>
      </c>
      <c r="F287" s="10" t="n">
        <v>631.989</v>
      </c>
      <c r="G287" s="8" t="n"/>
      <c r="H287" s="10" t="n">
        <v>107.855</v>
      </c>
      <c r="I287" s="10" t="n">
        <v>524.134</v>
      </c>
      <c r="J287" s="10" t="n">
        <v>98.316</v>
      </c>
      <c r="K287" s="10" t="n">
        <v>425.818</v>
      </c>
      <c r="L287" s="8" t="inlineStr">
        <is>
          <t>五部</t>
        </is>
      </c>
      <c r="M287" s="8" t="inlineStr">
        <is>
          <t>郑浩</t>
        </is>
      </c>
      <c r="N287" s="8" t="inlineStr">
        <is>
          <t>1年以内</t>
        </is>
      </c>
      <c r="O287" s="8" t="n"/>
    </row>
    <row r="288">
      <c r="A288" s="5" t="n">
        <v>286</v>
      </c>
      <c r="B288" s="5" t="inlineStr">
        <is>
          <t>西北-新疆</t>
        </is>
      </c>
      <c r="C288" s="5" t="inlineStr">
        <is>
          <t>政府机关</t>
        </is>
      </c>
      <c r="D288" s="6" t="inlineStr">
        <is>
          <t>HT20250702</t>
        </is>
      </c>
      <c r="E288" s="6" t="inlineStr">
        <is>
          <t>20260829</t>
        </is>
      </c>
      <c r="F288" s="10" t="n">
        <v>904.419</v>
      </c>
      <c r="G288" s="8" t="n"/>
      <c r="H288" s="10" t="n">
        <v>200.406</v>
      </c>
      <c r="I288" s="10" t="n">
        <v>704.013</v>
      </c>
      <c r="J288" s="10" t="n">
        <v>290.219</v>
      </c>
      <c r="K288" s="10" t="n">
        <v>413.794</v>
      </c>
      <c r="L288" s="8" t="inlineStr">
        <is>
          <t>三部</t>
        </is>
      </c>
      <c r="M288" s="8" t="inlineStr">
        <is>
          <t>朱军</t>
        </is>
      </c>
      <c r="N288" s="8" t="inlineStr">
        <is>
          <t>1年以内</t>
        </is>
      </c>
      <c r="O288" s="8" t="n"/>
    </row>
    <row r="289">
      <c r="A289" s="5" t="n">
        <v>287</v>
      </c>
      <c r="B289" s="5" t="inlineStr">
        <is>
          <t>华东-上海</t>
        </is>
      </c>
      <c r="C289" s="5" t="inlineStr">
        <is>
          <t>基层自治组织</t>
        </is>
      </c>
      <c r="D289" s="6" t="inlineStr">
        <is>
          <t>HT20250704</t>
        </is>
      </c>
      <c r="E289" s="6" t="inlineStr">
        <is>
          <t>20260620</t>
        </is>
      </c>
      <c r="F289" s="10" t="n">
        <v>851.76</v>
      </c>
      <c r="G289" s="8" t="n"/>
      <c r="H289" s="10" t="n">
        <v>736.2190000000001</v>
      </c>
      <c r="I289" s="10" t="n">
        <v>115.541</v>
      </c>
      <c r="J289" s="10" t="n">
        <v>111.71</v>
      </c>
      <c r="K289" s="10" t="n">
        <v>3.831</v>
      </c>
      <c r="L289" s="8" t="inlineStr">
        <is>
          <t>一部</t>
        </is>
      </c>
      <c r="M289" s="8" t="inlineStr">
        <is>
          <t>陈静</t>
        </is>
      </c>
      <c r="N289" s="8" t="inlineStr">
        <is>
          <t>1年以内</t>
        </is>
      </c>
      <c r="O289" s="8" t="n"/>
    </row>
    <row r="290">
      <c r="A290" s="5" t="n">
        <v>288</v>
      </c>
      <c r="B290" s="5" t="inlineStr">
        <is>
          <t>华南-澳门</t>
        </is>
      </c>
      <c r="C290" s="5" t="inlineStr">
        <is>
          <t>政府机关</t>
        </is>
      </c>
      <c r="D290" s="6" t="inlineStr">
        <is>
          <t>HT20250704</t>
        </is>
      </c>
      <c r="E290" s="6" t="inlineStr">
        <is>
          <t>20260620</t>
        </is>
      </c>
      <c r="F290" s="10" t="n">
        <v>809.946</v>
      </c>
      <c r="G290" s="8" t="n"/>
      <c r="H290" s="10" t="n">
        <v>792.381</v>
      </c>
      <c r="I290" s="10" t="n">
        <v>17.565</v>
      </c>
      <c r="J290" s="10" t="n">
        <v>8.021000000000001</v>
      </c>
      <c r="K290" s="10" t="n">
        <v>9.544</v>
      </c>
      <c r="L290" s="8" t="inlineStr">
        <is>
          <t>八部</t>
        </is>
      </c>
      <c r="M290" s="8" t="inlineStr">
        <is>
          <t>吕强</t>
        </is>
      </c>
      <c r="N290" s="8" t="inlineStr">
        <is>
          <t>1年以内</t>
        </is>
      </c>
      <c r="O290" s="8" t="n"/>
    </row>
    <row r="291">
      <c r="A291" s="5" t="n">
        <v>289</v>
      </c>
      <c r="B291" s="5" t="inlineStr">
        <is>
          <t>华南-海南</t>
        </is>
      </c>
      <c r="C291" s="5" t="inlineStr">
        <is>
          <t>人大政协</t>
        </is>
      </c>
      <c r="D291" s="6" t="inlineStr">
        <is>
          <t>HT20250704</t>
        </is>
      </c>
      <c r="E291" s="6" t="inlineStr">
        <is>
          <t>20260620</t>
        </is>
      </c>
      <c r="F291" s="10" t="n">
        <v>462.985</v>
      </c>
      <c r="G291" s="8" t="n"/>
      <c r="H291" s="10" t="n">
        <v>233.522</v>
      </c>
      <c r="I291" s="10" t="n">
        <v>229.463</v>
      </c>
      <c r="J291" s="10" t="n">
        <v>15.922</v>
      </c>
      <c r="K291" s="10" t="n">
        <v>213.541</v>
      </c>
      <c r="L291" s="8" t="inlineStr">
        <is>
          <t>七部</t>
        </is>
      </c>
      <c r="M291" s="8" t="inlineStr">
        <is>
          <t>邓丽</t>
        </is>
      </c>
      <c r="N291" s="8" t="inlineStr">
        <is>
          <t>1-2年</t>
        </is>
      </c>
      <c r="O291" s="8" t="n"/>
    </row>
    <row r="292">
      <c r="A292" s="5" t="n">
        <v>290</v>
      </c>
      <c r="B292" s="5" t="inlineStr">
        <is>
          <t>东北-吉林</t>
        </is>
      </c>
      <c r="C292" s="5" t="inlineStr">
        <is>
          <t>事业单位</t>
        </is>
      </c>
      <c r="D292" s="6" t="inlineStr">
        <is>
          <t>HT20250704</t>
        </is>
      </c>
      <c r="E292" s="6" t="inlineStr">
        <is>
          <t>20260620</t>
        </is>
      </c>
      <c r="F292" s="10" t="n">
        <v>161.789</v>
      </c>
      <c r="G292" s="8" t="n"/>
      <c r="H292" s="10" t="n">
        <v>30.841</v>
      </c>
      <c r="I292" s="10" t="n">
        <v>130.948</v>
      </c>
      <c r="J292" s="10" t="n">
        <v>33.379</v>
      </c>
      <c r="K292" s="10" t="n">
        <v>97.569</v>
      </c>
      <c r="L292" s="8" t="inlineStr">
        <is>
          <t>九部</t>
        </is>
      </c>
      <c r="M292" s="8" t="inlineStr">
        <is>
          <t>丁磊</t>
        </is>
      </c>
      <c r="N292" s="8" t="inlineStr">
        <is>
          <t>2-3年</t>
        </is>
      </c>
      <c r="O292" s="8" t="n"/>
    </row>
    <row r="293">
      <c r="A293" s="5" t="n">
        <v>291</v>
      </c>
      <c r="B293" s="5" t="inlineStr">
        <is>
          <t>西北-宁夏</t>
        </is>
      </c>
      <c r="C293" s="5" t="inlineStr">
        <is>
          <t>监察司法机关</t>
        </is>
      </c>
      <c r="D293" s="6" t="inlineStr">
        <is>
          <t>HT20250704</t>
        </is>
      </c>
      <c r="E293" s="6" t="inlineStr">
        <is>
          <t>20260620</t>
        </is>
      </c>
      <c r="F293" s="10" t="n">
        <v>847.696</v>
      </c>
      <c r="G293" s="8" t="n"/>
      <c r="H293" s="10" t="n">
        <v>179.656</v>
      </c>
      <c r="I293" s="10" t="n">
        <v>668.04</v>
      </c>
      <c r="J293" s="10" t="n">
        <v>271.343</v>
      </c>
      <c r="K293" s="10" t="n">
        <v>396.697</v>
      </c>
      <c r="L293" s="8" t="inlineStr">
        <is>
          <t>一部</t>
        </is>
      </c>
      <c r="M293" s="8" t="inlineStr">
        <is>
          <t>王芳</t>
        </is>
      </c>
      <c r="N293" s="8" t="inlineStr">
        <is>
          <t>1年以内</t>
        </is>
      </c>
      <c r="O293" s="8" t="n"/>
    </row>
    <row r="294">
      <c r="A294" s="5" t="n">
        <v>292</v>
      </c>
      <c r="B294" s="5" t="inlineStr">
        <is>
          <t>华南-香港</t>
        </is>
      </c>
      <c r="C294" s="5" t="inlineStr">
        <is>
          <t>人大政协</t>
        </is>
      </c>
      <c r="D294" s="6" t="inlineStr">
        <is>
          <t>HT20250704</t>
        </is>
      </c>
      <c r="E294" s="6" t="inlineStr">
        <is>
          <t>20260620</t>
        </is>
      </c>
      <c r="F294" s="10" t="n">
        <v>606.673</v>
      </c>
      <c r="G294" s="8" t="n"/>
      <c r="H294" s="10" t="n">
        <v>389.01</v>
      </c>
      <c r="I294" s="10" t="n">
        <v>217.663</v>
      </c>
      <c r="J294" s="10" t="n">
        <v>60.703</v>
      </c>
      <c r="K294" s="10" t="n">
        <v>156.96</v>
      </c>
      <c r="L294" s="8" t="inlineStr">
        <is>
          <t>三部</t>
        </is>
      </c>
      <c r="M294" s="8" t="inlineStr">
        <is>
          <t>朱军</t>
        </is>
      </c>
      <c r="N294" s="8" t="inlineStr">
        <is>
          <t>1-2年</t>
        </is>
      </c>
      <c r="O294" s="8" t="n"/>
    </row>
    <row r="295">
      <c r="A295" s="5" t="n">
        <v>293</v>
      </c>
      <c r="B295" s="5" t="inlineStr">
        <is>
          <t>华东-山东</t>
        </is>
      </c>
      <c r="C295" s="5" t="inlineStr">
        <is>
          <t>党委机关</t>
        </is>
      </c>
      <c r="D295" s="6" t="inlineStr">
        <is>
          <t>HT20250704</t>
        </is>
      </c>
      <c r="E295" s="6" t="inlineStr">
        <is>
          <t>20260620</t>
        </is>
      </c>
      <c r="F295" s="10" t="n">
        <v>698.973</v>
      </c>
      <c r="G295" s="8" t="n"/>
      <c r="H295" s="10" t="n">
        <v>433.29</v>
      </c>
      <c r="I295" s="10" t="n">
        <v>265.683</v>
      </c>
      <c r="J295" s="10" t="n">
        <v>197.206</v>
      </c>
      <c r="K295" s="10" t="n">
        <v>68.477</v>
      </c>
      <c r="L295" s="8" t="inlineStr">
        <is>
          <t>六部</t>
        </is>
      </c>
      <c r="M295" s="8" t="inlineStr">
        <is>
          <t>曹阳</t>
        </is>
      </c>
      <c r="N295" s="8" t="inlineStr">
        <is>
          <t>2-3年</t>
        </is>
      </c>
      <c r="O295" s="8" t="n"/>
    </row>
    <row r="296">
      <c r="A296" s="5" t="n">
        <v>294</v>
      </c>
      <c r="B296" s="5" t="inlineStr">
        <is>
          <t>西南-重庆</t>
        </is>
      </c>
      <c r="C296" s="5" t="inlineStr">
        <is>
          <t>人大政协</t>
        </is>
      </c>
      <c r="D296" s="6" t="inlineStr">
        <is>
          <t>HT20250704</t>
        </is>
      </c>
      <c r="E296" s="6" t="inlineStr">
        <is>
          <t>20260620</t>
        </is>
      </c>
      <c r="F296" s="10" t="n">
        <v>483.098</v>
      </c>
      <c r="G296" s="8" t="n"/>
      <c r="H296" s="10" t="n">
        <v>358.6</v>
      </c>
      <c r="I296" s="10" t="n">
        <v>124.498</v>
      </c>
      <c r="J296" s="10" t="n">
        <v>103.772</v>
      </c>
      <c r="K296" s="10" t="n">
        <v>20.726</v>
      </c>
      <c r="L296" s="8" t="inlineStr">
        <is>
          <t>十部</t>
        </is>
      </c>
      <c r="M296" s="8" t="inlineStr">
        <is>
          <t>段勇</t>
        </is>
      </c>
      <c r="N296" s="8" t="inlineStr">
        <is>
          <t>2-3年</t>
        </is>
      </c>
      <c r="O296" s="8" t="n"/>
    </row>
    <row r="297">
      <c r="A297" s="5" t="n">
        <v>295</v>
      </c>
      <c r="B297" s="5" t="inlineStr">
        <is>
          <t>华北-河北</t>
        </is>
      </c>
      <c r="C297" s="5" t="inlineStr">
        <is>
          <t>群团组织</t>
        </is>
      </c>
      <c r="D297" s="6" t="inlineStr">
        <is>
          <t>HT20250704</t>
        </is>
      </c>
      <c r="E297" s="6" t="inlineStr">
        <is>
          <t>20260620</t>
        </is>
      </c>
      <c r="F297" s="10" t="n">
        <v>298.687</v>
      </c>
      <c r="G297" s="8" t="n"/>
      <c r="H297" s="10" t="n">
        <v>101.662</v>
      </c>
      <c r="I297" s="10" t="n">
        <v>197.025</v>
      </c>
      <c r="J297" s="10" t="n">
        <v>28.835</v>
      </c>
      <c r="K297" s="10" t="n">
        <v>168.19</v>
      </c>
      <c r="L297" s="8" t="inlineStr">
        <is>
          <t>一部</t>
        </is>
      </c>
      <c r="M297" s="8" t="inlineStr">
        <is>
          <t>陈静</t>
        </is>
      </c>
      <c r="N297" s="8" t="inlineStr">
        <is>
          <t>1-2年</t>
        </is>
      </c>
      <c r="O297" s="8" t="n"/>
    </row>
    <row r="298">
      <c r="A298" s="5" t="n">
        <v>296</v>
      </c>
      <c r="B298" s="5" t="inlineStr">
        <is>
          <t>西北-宁夏</t>
        </is>
      </c>
      <c r="C298" s="5" t="inlineStr">
        <is>
          <t>国有企业</t>
        </is>
      </c>
      <c r="D298" s="6" t="inlineStr">
        <is>
          <t>HT20250704</t>
        </is>
      </c>
      <c r="E298" s="6" t="inlineStr">
        <is>
          <t>20260620</t>
        </is>
      </c>
      <c r="F298" s="10" t="n">
        <v>853.202</v>
      </c>
      <c r="G298" s="8" t="n"/>
      <c r="H298" s="10" t="n">
        <v>111.096</v>
      </c>
      <c r="I298" s="10" t="n">
        <v>742.106</v>
      </c>
      <c r="J298" s="10" t="n">
        <v>355.086</v>
      </c>
      <c r="K298" s="10" t="n">
        <v>387.02</v>
      </c>
      <c r="L298" s="8" t="inlineStr">
        <is>
          <t>三部</t>
        </is>
      </c>
      <c r="M298" s="8" t="inlineStr">
        <is>
          <t>徐涛</t>
        </is>
      </c>
      <c r="N298" s="8" t="inlineStr">
        <is>
          <t>1-2年</t>
        </is>
      </c>
      <c r="O298" s="8" t="n"/>
    </row>
    <row r="299">
      <c r="A299" s="5" t="n">
        <v>297</v>
      </c>
      <c r="B299" s="5" t="inlineStr">
        <is>
          <t>西南-贵州</t>
        </is>
      </c>
      <c r="C299" s="5" t="inlineStr">
        <is>
          <t>人大政协</t>
        </is>
      </c>
      <c r="D299" s="6" t="inlineStr">
        <is>
          <t>HT20250705</t>
        </is>
      </c>
      <c r="E299" s="6" t="inlineStr">
        <is>
          <t>20260515</t>
        </is>
      </c>
      <c r="F299" s="10" t="n">
        <v>821.866</v>
      </c>
      <c r="G299" s="8" t="n"/>
      <c r="H299" s="10" t="n">
        <v>232.165</v>
      </c>
      <c r="I299" s="10" t="n">
        <v>589.701</v>
      </c>
      <c r="J299" s="10" t="n">
        <v>420.172</v>
      </c>
      <c r="K299" s="10" t="n">
        <v>169.529</v>
      </c>
      <c r="L299" s="8" t="inlineStr">
        <is>
          <t>九部</t>
        </is>
      </c>
      <c r="M299" s="8" t="inlineStr">
        <is>
          <t>魏红</t>
        </is>
      </c>
      <c r="N299" s="8" t="inlineStr">
        <is>
          <t>2-3年</t>
        </is>
      </c>
      <c r="O299" s="8" t="n"/>
    </row>
    <row r="300">
      <c r="A300" s="5" t="n">
        <v>298</v>
      </c>
      <c r="B300" s="5" t="inlineStr">
        <is>
          <t>西北-甘肃</t>
        </is>
      </c>
      <c r="C300" s="5" t="inlineStr">
        <is>
          <t>监察司法机关</t>
        </is>
      </c>
      <c r="D300" s="6" t="inlineStr">
        <is>
          <t>HT20250705</t>
        </is>
      </c>
      <c r="E300" s="6" t="inlineStr">
        <is>
          <t>20260515</t>
        </is>
      </c>
      <c r="F300" s="10" t="n">
        <v>1650.819</v>
      </c>
      <c r="G300" s="8" t="n"/>
      <c r="H300" s="10" t="n">
        <v>261.643</v>
      </c>
      <c r="I300" s="10" t="n">
        <v>1389.176</v>
      </c>
      <c r="J300" s="10" t="n">
        <v>829.78</v>
      </c>
      <c r="K300" s="10" t="n">
        <v>559.396</v>
      </c>
      <c r="L300" s="8" t="inlineStr">
        <is>
          <t>八部</t>
        </is>
      </c>
      <c r="M300" s="8" t="inlineStr">
        <is>
          <t>卢俊</t>
        </is>
      </c>
      <c r="N300" s="8" t="inlineStr">
        <is>
          <t>1-2年</t>
        </is>
      </c>
      <c r="O300" s="8" t="n"/>
    </row>
    <row r="301">
      <c r="A301" s="5" t="n">
        <v>299</v>
      </c>
      <c r="B301" s="5" t="inlineStr">
        <is>
          <t>华北-河北</t>
        </is>
      </c>
      <c r="C301" s="5" t="inlineStr">
        <is>
          <t>事业单位</t>
        </is>
      </c>
      <c r="D301" s="6" t="inlineStr">
        <is>
          <t>HT20250706</t>
        </is>
      </c>
      <c r="E301" s="6" t="inlineStr">
        <is>
          <t>20260315</t>
        </is>
      </c>
      <c r="F301" s="10" t="n">
        <v>378.4</v>
      </c>
      <c r="G301" s="8" t="n"/>
      <c r="H301" s="10" t="n">
        <v>103.355</v>
      </c>
      <c r="I301" s="10" t="n">
        <v>275.045</v>
      </c>
      <c r="J301" s="10" t="n">
        <v>101.568</v>
      </c>
      <c r="K301" s="10" t="n">
        <v>173.477</v>
      </c>
      <c r="L301" s="8" t="inlineStr">
        <is>
          <t>一部</t>
        </is>
      </c>
      <c r="M301" s="8" t="inlineStr">
        <is>
          <t>张伟</t>
        </is>
      </c>
      <c r="N301" s="8" t="inlineStr">
        <is>
          <t>1年以内</t>
        </is>
      </c>
      <c r="O301" s="8" t="n"/>
    </row>
    <row r="302">
      <c r="A302" s="5" t="n">
        <v>300</v>
      </c>
      <c r="B302" s="5" t="inlineStr">
        <is>
          <t>华北-天津</t>
        </is>
      </c>
      <c r="C302" s="5" t="inlineStr">
        <is>
          <t>人大政协</t>
        </is>
      </c>
      <c r="D302" s="6" t="inlineStr">
        <is>
          <t>HT20250706</t>
        </is>
      </c>
      <c r="E302" s="6" t="inlineStr">
        <is>
          <t>20260315</t>
        </is>
      </c>
      <c r="F302" s="10" t="n">
        <v>2426.774</v>
      </c>
      <c r="G302" s="8" t="n"/>
      <c r="H302" s="10" t="n">
        <v>2174.353</v>
      </c>
      <c r="I302" s="10" t="n">
        <v>252.421</v>
      </c>
      <c r="J302" s="10" t="n">
        <v>88.336</v>
      </c>
      <c r="K302" s="10" t="n">
        <v>164.085</v>
      </c>
      <c r="L302" s="8" t="inlineStr">
        <is>
          <t>二部</t>
        </is>
      </c>
      <c r="M302" s="8" t="inlineStr">
        <is>
          <t>周杰</t>
        </is>
      </c>
      <c r="N302" s="8" t="inlineStr">
        <is>
          <t>2-3年</t>
        </is>
      </c>
      <c r="O302" s="8" t="n"/>
    </row>
    <row r="303">
      <c r="A303" s="5" t="n">
        <v>301</v>
      </c>
      <c r="B303" s="5" t="inlineStr">
        <is>
          <t>华中-湖南</t>
        </is>
      </c>
      <c r="C303" s="5" t="inlineStr">
        <is>
          <t>基层自治组织</t>
        </is>
      </c>
      <c r="D303" s="6" t="inlineStr">
        <is>
          <t>HT20250707</t>
        </is>
      </c>
      <c r="E303" s="6" t="inlineStr">
        <is>
          <t>20260219</t>
        </is>
      </c>
      <c r="F303" s="10" t="n">
        <v>5822.461</v>
      </c>
      <c r="G303" s="8" t="n"/>
      <c r="H303" s="10" t="n">
        <v>312.377</v>
      </c>
      <c r="I303" s="10" t="n">
        <v>5510.084</v>
      </c>
      <c r="J303" s="10" t="n">
        <v>558.8</v>
      </c>
      <c r="K303" s="10" t="n">
        <v>4951.284</v>
      </c>
      <c r="L303" s="8" t="inlineStr">
        <is>
          <t>五部</t>
        </is>
      </c>
      <c r="M303" s="8" t="inlineStr">
        <is>
          <t>韩梅</t>
        </is>
      </c>
      <c r="N303" s="8" t="inlineStr">
        <is>
          <t>1年以内</t>
        </is>
      </c>
      <c r="O303" s="8" t="n"/>
    </row>
    <row r="304">
      <c r="A304" s="5" t="n">
        <v>302</v>
      </c>
      <c r="B304" s="5" t="inlineStr">
        <is>
          <t>华东-福建</t>
        </is>
      </c>
      <c r="C304" s="5" t="inlineStr">
        <is>
          <t>监察司法机关</t>
        </is>
      </c>
      <c r="D304" s="6" t="inlineStr">
        <is>
          <t>HT20250707</t>
        </is>
      </c>
      <c r="E304" s="6" t="inlineStr">
        <is>
          <t>20260219</t>
        </is>
      </c>
      <c r="F304" s="10" t="n">
        <v>220.383</v>
      </c>
      <c r="G304" s="8" t="n"/>
      <c r="H304" s="10" t="n">
        <v>122.71</v>
      </c>
      <c r="I304" s="10" t="n">
        <v>97.673</v>
      </c>
      <c r="J304" s="10" t="n">
        <v>93.107</v>
      </c>
      <c r="K304" s="10" t="n">
        <v>4.566</v>
      </c>
      <c r="L304" s="8" t="inlineStr">
        <is>
          <t>二部</t>
        </is>
      </c>
      <c r="M304" s="8" t="inlineStr">
        <is>
          <t>赵敏</t>
        </is>
      </c>
      <c r="N304" s="8" t="inlineStr">
        <is>
          <t>2-3年</t>
        </is>
      </c>
      <c r="O304" s="8" t="n"/>
    </row>
    <row r="305">
      <c r="A305" s="5" t="n">
        <v>303</v>
      </c>
      <c r="B305" s="5" t="inlineStr">
        <is>
          <t>西北-宁夏</t>
        </is>
      </c>
      <c r="C305" s="5" t="inlineStr">
        <is>
          <t>事业单位</t>
        </is>
      </c>
      <c r="D305" s="6" t="inlineStr">
        <is>
          <t>HT20250707</t>
        </is>
      </c>
      <c r="E305" s="6" t="inlineStr">
        <is>
          <t>20260219</t>
        </is>
      </c>
      <c r="F305" s="10" t="n">
        <v>685.582</v>
      </c>
      <c r="G305" s="8" t="n"/>
      <c r="H305" s="10" t="n">
        <v>388.358</v>
      </c>
      <c r="I305" s="10" t="n">
        <v>297.224</v>
      </c>
      <c r="J305" s="10" t="n">
        <v>57.34</v>
      </c>
      <c r="K305" s="10" t="n">
        <v>239.884</v>
      </c>
      <c r="L305" s="8" t="inlineStr">
        <is>
          <t>七部</t>
        </is>
      </c>
      <c r="M305" s="8" t="inlineStr">
        <is>
          <t>许涛</t>
        </is>
      </c>
      <c r="N305" s="8" t="inlineStr">
        <is>
          <t>1-2年</t>
        </is>
      </c>
      <c r="O305" s="8" t="n"/>
    </row>
    <row r="306">
      <c r="A306" s="5" t="n">
        <v>304</v>
      </c>
      <c r="B306" s="5" t="inlineStr">
        <is>
          <t>华东-安徽</t>
        </is>
      </c>
      <c r="C306" s="5" t="inlineStr">
        <is>
          <t>党委机关</t>
        </is>
      </c>
      <c r="D306" s="6" t="inlineStr">
        <is>
          <t>HT20250708</t>
        </is>
      </c>
      <c r="E306" s="6" t="inlineStr">
        <is>
          <t>20260329</t>
        </is>
      </c>
      <c r="F306" s="10" t="n">
        <v>270.527</v>
      </c>
      <c r="G306" s="8" t="n"/>
      <c r="H306" s="10" t="n">
        <v>244.545</v>
      </c>
      <c r="I306" s="10" t="n">
        <v>25.982</v>
      </c>
      <c r="J306" s="10" t="n">
        <v>0.968</v>
      </c>
      <c r="K306" s="10" t="n">
        <v>25.014</v>
      </c>
      <c r="L306" s="8" t="inlineStr">
        <is>
          <t>十部</t>
        </is>
      </c>
      <c r="M306" s="8" t="inlineStr">
        <is>
          <t>雷声</t>
        </is>
      </c>
      <c r="N306" s="8" t="inlineStr">
        <is>
          <t>2-3年</t>
        </is>
      </c>
      <c r="O306" s="8" t="n"/>
    </row>
    <row r="307">
      <c r="A307" s="5" t="n">
        <v>305</v>
      </c>
      <c r="B307" s="5" t="inlineStr">
        <is>
          <t>华东-台湾</t>
        </is>
      </c>
      <c r="C307" s="5" t="inlineStr">
        <is>
          <t>事业单位</t>
        </is>
      </c>
      <c r="D307" s="6" t="inlineStr">
        <is>
          <t>HT20250708</t>
        </is>
      </c>
      <c r="E307" s="6" t="inlineStr">
        <is>
          <t>20260329</t>
        </is>
      </c>
      <c r="F307" s="10" t="n">
        <v>569.073</v>
      </c>
      <c r="G307" s="8" t="n"/>
      <c r="H307" s="10" t="n">
        <v>40.147</v>
      </c>
      <c r="I307" s="10" t="n">
        <v>528.926</v>
      </c>
      <c r="J307" s="10" t="n">
        <v>150.427</v>
      </c>
      <c r="K307" s="10" t="n">
        <v>378.499</v>
      </c>
      <c r="L307" s="8" t="inlineStr">
        <is>
          <t>六部</t>
        </is>
      </c>
      <c r="M307" s="8" t="inlineStr">
        <is>
          <t>唐亮</t>
        </is>
      </c>
      <c r="N307" s="8" t="inlineStr">
        <is>
          <t>2-3年</t>
        </is>
      </c>
      <c r="O307" s="8" t="n"/>
    </row>
    <row r="308">
      <c r="A308" s="5" t="n">
        <v>306</v>
      </c>
      <c r="B308" s="5" t="inlineStr">
        <is>
          <t>西北-陕西</t>
        </is>
      </c>
      <c r="C308" s="5" t="inlineStr">
        <is>
          <t>党委机关</t>
        </is>
      </c>
      <c r="D308" s="6" t="inlineStr">
        <is>
          <t>HT20250708</t>
        </is>
      </c>
      <c r="E308" s="6" t="inlineStr">
        <is>
          <t>20260329</t>
        </is>
      </c>
      <c r="F308" s="10" t="n">
        <v>446.11</v>
      </c>
      <c r="G308" s="8" t="n"/>
      <c r="H308" s="10" t="n">
        <v>346.704</v>
      </c>
      <c r="I308" s="10" t="n">
        <v>99.40600000000001</v>
      </c>
      <c r="J308" s="10" t="n">
        <v>23.105</v>
      </c>
      <c r="K308" s="10" t="n">
        <v>76.301</v>
      </c>
      <c r="L308" s="8" t="inlineStr">
        <is>
          <t>二部</t>
        </is>
      </c>
      <c r="M308" s="8" t="inlineStr">
        <is>
          <t>周杰</t>
        </is>
      </c>
      <c r="N308" s="8" t="inlineStr">
        <is>
          <t>1-2年</t>
        </is>
      </c>
      <c r="O308" s="8" t="n"/>
    </row>
    <row r="309">
      <c r="A309" s="5" t="n">
        <v>307</v>
      </c>
      <c r="B309" s="5" t="inlineStr">
        <is>
          <t>西南-贵州</t>
        </is>
      </c>
      <c r="C309" s="5" t="inlineStr">
        <is>
          <t>人大政协</t>
        </is>
      </c>
      <c r="D309" s="6" t="inlineStr">
        <is>
          <t>HT20250708</t>
        </is>
      </c>
      <c r="E309" s="6" t="inlineStr">
        <is>
          <t>20260329</t>
        </is>
      </c>
      <c r="F309" s="10" t="n">
        <v>686.058</v>
      </c>
      <c r="G309" s="8" t="n"/>
      <c r="H309" s="10" t="n">
        <v>657.758</v>
      </c>
      <c r="I309" s="10" t="n">
        <v>28.3</v>
      </c>
      <c r="J309" s="10" t="n">
        <v>12.76</v>
      </c>
      <c r="K309" s="10" t="n">
        <v>15.54</v>
      </c>
      <c r="L309" s="8" t="inlineStr">
        <is>
          <t>五部</t>
        </is>
      </c>
      <c r="M309" s="8" t="inlineStr">
        <is>
          <t>梁雪</t>
        </is>
      </c>
      <c r="N309" s="8" t="inlineStr">
        <is>
          <t>2-3年</t>
        </is>
      </c>
      <c r="O309" s="8" t="n"/>
    </row>
    <row r="310">
      <c r="A310" s="5" t="n">
        <v>308</v>
      </c>
      <c r="B310" s="5" t="inlineStr">
        <is>
          <t>华东-安徽</t>
        </is>
      </c>
      <c r="C310" s="5" t="inlineStr">
        <is>
          <t>国有企业</t>
        </is>
      </c>
      <c r="D310" s="6" t="inlineStr">
        <is>
          <t>HT20250709</t>
        </is>
      </c>
      <c r="E310" s="6" t="inlineStr">
        <is>
          <t>20260423</t>
        </is>
      </c>
      <c r="F310" s="10" t="n">
        <v>914.561</v>
      </c>
      <c r="G310" s="8" t="n"/>
      <c r="H310" s="10" t="n">
        <v>905.335</v>
      </c>
      <c r="I310" s="10" t="n">
        <v>9.226000000000001</v>
      </c>
      <c r="J310" s="10" t="n">
        <v>2.753</v>
      </c>
      <c r="K310" s="10" t="n">
        <v>6.473</v>
      </c>
      <c r="L310" s="8" t="inlineStr">
        <is>
          <t>七部</t>
        </is>
      </c>
      <c r="M310" s="8" t="inlineStr">
        <is>
          <t>傅蓉</t>
        </is>
      </c>
      <c r="N310" s="8" t="inlineStr">
        <is>
          <t>1-2年</t>
        </is>
      </c>
      <c r="O310" s="8" t="n"/>
    </row>
    <row r="311">
      <c r="A311" s="5" t="n">
        <v>309</v>
      </c>
      <c r="B311" s="5" t="inlineStr">
        <is>
          <t>华东-江苏</t>
        </is>
      </c>
      <c r="C311" s="5" t="inlineStr">
        <is>
          <t>群团组织</t>
        </is>
      </c>
      <c r="D311" s="6" t="inlineStr">
        <is>
          <t>HT20250709</t>
        </is>
      </c>
      <c r="E311" s="6" t="inlineStr">
        <is>
          <t>20260423</t>
        </is>
      </c>
      <c r="F311" s="10" t="n">
        <v>854.218</v>
      </c>
      <c r="G311" s="8" t="n"/>
      <c r="H311" s="10" t="n">
        <v>723.453</v>
      </c>
      <c r="I311" s="10" t="n">
        <v>130.765</v>
      </c>
      <c r="J311" s="10" t="n">
        <v>98.908</v>
      </c>
      <c r="K311" s="10" t="n">
        <v>31.857</v>
      </c>
      <c r="L311" s="8" t="inlineStr">
        <is>
          <t>二部</t>
        </is>
      </c>
      <c r="M311" s="8" t="inlineStr">
        <is>
          <t>吴丽</t>
        </is>
      </c>
      <c r="N311" s="8" t="inlineStr">
        <is>
          <t>2-3年</t>
        </is>
      </c>
      <c r="O311" s="8" t="n"/>
    </row>
    <row r="312">
      <c r="A312" s="5" t="n">
        <v>310</v>
      </c>
      <c r="B312" s="5" t="inlineStr">
        <is>
          <t>华南-香港</t>
        </is>
      </c>
      <c r="C312" s="5" t="inlineStr">
        <is>
          <t>监察司法机关</t>
        </is>
      </c>
      <c r="D312" s="6" t="inlineStr">
        <is>
          <t>HT20250709</t>
        </is>
      </c>
      <c r="E312" s="6" t="inlineStr">
        <is>
          <t>20260423</t>
        </is>
      </c>
      <c r="F312" s="10" t="n">
        <v>107.447</v>
      </c>
      <c r="G312" s="8" t="n"/>
      <c r="H312" s="10" t="n">
        <v>96.89</v>
      </c>
      <c r="I312" s="10" t="n">
        <v>10.557</v>
      </c>
      <c r="J312" s="10" t="n">
        <v>10.426</v>
      </c>
      <c r="K312" s="10" t="n">
        <v>0.131</v>
      </c>
      <c r="L312" s="8" t="inlineStr">
        <is>
          <t>三部</t>
        </is>
      </c>
      <c r="M312" s="8" t="inlineStr">
        <is>
          <t>胡蓉</t>
        </is>
      </c>
      <c r="N312" s="8" t="inlineStr">
        <is>
          <t>2-3年</t>
        </is>
      </c>
      <c r="O312" s="8" t="n"/>
    </row>
    <row r="313">
      <c r="A313" s="5" t="n">
        <v>311</v>
      </c>
      <c r="B313" s="5" t="inlineStr">
        <is>
          <t>西南-云南</t>
        </is>
      </c>
      <c r="C313" s="5" t="inlineStr">
        <is>
          <t>国有企业</t>
        </is>
      </c>
      <c r="D313" s="6" t="inlineStr">
        <is>
          <t>HT20250709</t>
        </is>
      </c>
      <c r="E313" s="6" t="inlineStr">
        <is>
          <t>20260423</t>
        </is>
      </c>
      <c r="F313" s="10" t="n">
        <v>8313.255999999999</v>
      </c>
      <c r="G313" s="8" t="n"/>
      <c r="H313" s="10" t="n">
        <v>4082.875</v>
      </c>
      <c r="I313" s="10" t="n">
        <v>4230.381</v>
      </c>
      <c r="J313" s="10" t="n">
        <v>3380.554</v>
      </c>
      <c r="K313" s="10" t="n">
        <v>849.827</v>
      </c>
      <c r="L313" s="8" t="inlineStr">
        <is>
          <t>六部</t>
        </is>
      </c>
      <c r="M313" s="8" t="inlineStr">
        <is>
          <t>曹阳</t>
        </is>
      </c>
      <c r="N313" s="8" t="inlineStr">
        <is>
          <t>1年以内</t>
        </is>
      </c>
      <c r="O313" s="8" t="n"/>
    </row>
    <row r="314">
      <c r="A314" s="5" t="n">
        <v>312</v>
      </c>
      <c r="B314" s="5" t="inlineStr">
        <is>
          <t>西北-甘肃</t>
        </is>
      </c>
      <c r="C314" s="5" t="inlineStr">
        <is>
          <t>政府机关</t>
        </is>
      </c>
      <c r="D314" s="6" t="inlineStr">
        <is>
          <t>HT20250709</t>
        </is>
      </c>
      <c r="E314" s="6" t="inlineStr">
        <is>
          <t>20260423</t>
        </is>
      </c>
      <c r="F314" s="10" t="n">
        <v>835.124</v>
      </c>
      <c r="G314" s="8" t="n"/>
      <c r="H314" s="10" t="n">
        <v>542.9930000000001</v>
      </c>
      <c r="I314" s="10" t="n">
        <v>292.131</v>
      </c>
      <c r="J314" s="10" t="n">
        <v>80.383</v>
      </c>
      <c r="K314" s="10" t="n">
        <v>211.748</v>
      </c>
      <c r="L314" s="8" t="inlineStr">
        <is>
          <t>三部</t>
        </is>
      </c>
      <c r="M314" s="8" t="inlineStr">
        <is>
          <t>孙艳</t>
        </is>
      </c>
      <c r="N314" s="8" t="inlineStr">
        <is>
          <t>2-3年</t>
        </is>
      </c>
      <c r="O314" s="8" t="n"/>
    </row>
    <row r="315">
      <c r="A315" s="5" t="n">
        <v>313</v>
      </c>
      <c r="B315" s="5" t="inlineStr">
        <is>
          <t>华南-香港</t>
        </is>
      </c>
      <c r="C315" s="5" t="inlineStr">
        <is>
          <t>党委机关</t>
        </is>
      </c>
      <c r="D315" s="6" t="inlineStr">
        <is>
          <t>HT20250709</t>
        </is>
      </c>
      <c r="E315" s="6" t="inlineStr">
        <is>
          <t>20260423</t>
        </is>
      </c>
      <c r="F315" s="10" t="n">
        <v>252.564</v>
      </c>
      <c r="G315" s="8" t="n"/>
      <c r="H315" s="10" t="n">
        <v>96.97799999999999</v>
      </c>
      <c r="I315" s="10" t="n">
        <v>155.586</v>
      </c>
      <c r="J315" s="10" t="n">
        <v>53.47</v>
      </c>
      <c r="K315" s="10" t="n">
        <v>102.116</v>
      </c>
      <c r="L315" s="8" t="inlineStr">
        <is>
          <t>一部</t>
        </is>
      </c>
      <c r="M315" s="8" t="inlineStr">
        <is>
          <t>陈静</t>
        </is>
      </c>
      <c r="N315" s="8" t="inlineStr">
        <is>
          <t>1-2年</t>
        </is>
      </c>
      <c r="O315" s="8" t="n"/>
    </row>
    <row r="316">
      <c r="A316" s="5" t="n">
        <v>314</v>
      </c>
      <c r="B316" s="5" t="inlineStr">
        <is>
          <t>西南-西藏</t>
        </is>
      </c>
      <c r="C316" s="5" t="inlineStr">
        <is>
          <t>基层自治组织</t>
        </is>
      </c>
      <c r="D316" s="6" t="inlineStr">
        <is>
          <t>HT20250710</t>
        </is>
      </c>
      <c r="E316" s="6" t="inlineStr">
        <is>
          <t>20260812</t>
        </is>
      </c>
      <c r="F316" s="10" t="n">
        <v>566.841</v>
      </c>
      <c r="G316" s="8" t="n"/>
      <c r="H316" s="10" t="n">
        <v>188.461</v>
      </c>
      <c r="I316" s="10" t="n">
        <v>378.38</v>
      </c>
      <c r="J316" s="10" t="n">
        <v>182.287</v>
      </c>
      <c r="K316" s="10" t="n">
        <v>196.093</v>
      </c>
      <c r="L316" s="8" t="inlineStr">
        <is>
          <t>十部</t>
        </is>
      </c>
      <c r="M316" s="8" t="inlineStr">
        <is>
          <t>侯敏</t>
        </is>
      </c>
      <c r="N316" s="8" t="inlineStr">
        <is>
          <t>2-3年</t>
        </is>
      </c>
      <c r="O316" s="8" t="n"/>
    </row>
    <row r="317">
      <c r="A317" s="5" t="n">
        <v>315</v>
      </c>
      <c r="B317" s="5" t="inlineStr">
        <is>
          <t>华东-台湾</t>
        </is>
      </c>
      <c r="C317" s="5" t="inlineStr">
        <is>
          <t>政府机关</t>
        </is>
      </c>
      <c r="D317" s="6" t="inlineStr">
        <is>
          <t>HT20250710</t>
        </is>
      </c>
      <c r="E317" s="6" t="inlineStr">
        <is>
          <t>20260812</t>
        </is>
      </c>
      <c r="F317" s="10" t="n">
        <v>551.793</v>
      </c>
      <c r="G317" s="8" t="n"/>
      <c r="H317" s="10" t="n">
        <v>516.525</v>
      </c>
      <c r="I317" s="10" t="n">
        <v>35.268</v>
      </c>
      <c r="J317" s="10" t="n">
        <v>19.237</v>
      </c>
      <c r="K317" s="10" t="n">
        <v>16.031</v>
      </c>
      <c r="L317" s="8" t="inlineStr">
        <is>
          <t>九部</t>
        </is>
      </c>
      <c r="M317" s="8" t="inlineStr">
        <is>
          <t>魏红</t>
        </is>
      </c>
      <c r="N317" s="8" t="inlineStr">
        <is>
          <t>1年以内</t>
        </is>
      </c>
      <c r="O317" s="8" t="n"/>
    </row>
    <row r="318">
      <c r="A318" s="5" t="n">
        <v>316</v>
      </c>
      <c r="B318" s="5" t="inlineStr">
        <is>
          <t>华东-福建</t>
        </is>
      </c>
      <c r="C318" s="5" t="inlineStr">
        <is>
          <t>人大政协</t>
        </is>
      </c>
      <c r="D318" s="6" t="inlineStr">
        <is>
          <t>HT20250710</t>
        </is>
      </c>
      <c r="E318" s="6" t="inlineStr">
        <is>
          <t>20260812</t>
        </is>
      </c>
      <c r="F318" s="10" t="n">
        <v>741.648</v>
      </c>
      <c r="G318" s="8" t="n"/>
      <c r="H318" s="10" t="n">
        <v>224.611</v>
      </c>
      <c r="I318" s="10" t="n">
        <v>517.037</v>
      </c>
      <c r="J318" s="10" t="n">
        <v>131.052</v>
      </c>
      <c r="K318" s="10" t="n">
        <v>385.985</v>
      </c>
      <c r="L318" s="8" t="inlineStr">
        <is>
          <t>六部</t>
        </is>
      </c>
      <c r="M318" s="8" t="inlineStr">
        <is>
          <t>唐亮</t>
        </is>
      </c>
      <c r="N318" s="8" t="inlineStr">
        <is>
          <t>1-2年</t>
        </is>
      </c>
      <c r="O318" s="8" t="n"/>
    </row>
    <row r="319">
      <c r="A319" s="5" t="n">
        <v>317</v>
      </c>
      <c r="B319" s="5" t="inlineStr">
        <is>
          <t>华北-内蒙古</t>
        </is>
      </c>
      <c r="C319" s="5" t="inlineStr">
        <is>
          <t>事业单位</t>
        </is>
      </c>
      <c r="D319" s="6" t="inlineStr">
        <is>
          <t>HT20250712</t>
        </is>
      </c>
      <c r="E319" s="6" t="inlineStr">
        <is>
          <t>20260515</t>
        </is>
      </c>
      <c r="F319" s="10" t="n">
        <v>443.11</v>
      </c>
      <c r="G319" s="8" t="n"/>
      <c r="H319" s="10" t="n">
        <v>322.919</v>
      </c>
      <c r="I319" s="10" t="n">
        <v>120.191</v>
      </c>
      <c r="J319" s="10" t="n">
        <v>37.832</v>
      </c>
      <c r="K319" s="10" t="n">
        <v>82.35899999999999</v>
      </c>
      <c r="L319" s="8" t="inlineStr">
        <is>
          <t>九部</t>
        </is>
      </c>
      <c r="M319" s="8" t="inlineStr">
        <is>
          <t>魏红</t>
        </is>
      </c>
      <c r="N319" s="8" t="inlineStr">
        <is>
          <t>2-3年</t>
        </is>
      </c>
      <c r="O319" s="8" t="n"/>
    </row>
    <row r="320">
      <c r="A320" s="5" t="n">
        <v>318</v>
      </c>
      <c r="B320" s="5" t="inlineStr">
        <is>
          <t>西南-重庆</t>
        </is>
      </c>
      <c r="C320" s="5" t="inlineStr">
        <is>
          <t>人大政协</t>
        </is>
      </c>
      <c r="D320" s="6" t="inlineStr">
        <is>
          <t>HT20250713</t>
        </is>
      </c>
      <c r="E320" s="6" t="inlineStr">
        <is>
          <t>20260402</t>
        </is>
      </c>
      <c r="F320" s="10" t="n">
        <v>878.1369999999999</v>
      </c>
      <c r="G320" s="8" t="n"/>
      <c r="H320" s="10" t="n">
        <v>518.021</v>
      </c>
      <c r="I320" s="10" t="n">
        <v>360.116</v>
      </c>
      <c r="J320" s="10" t="n">
        <v>300.688</v>
      </c>
      <c r="K320" s="10" t="n">
        <v>59.428</v>
      </c>
      <c r="L320" s="8" t="inlineStr">
        <is>
          <t>六部</t>
        </is>
      </c>
      <c r="M320" s="8" t="inlineStr">
        <is>
          <t>唐亮</t>
        </is>
      </c>
      <c r="N320" s="8" t="inlineStr">
        <is>
          <t>1-2年</t>
        </is>
      </c>
      <c r="O320" s="8" t="n"/>
    </row>
    <row r="321">
      <c r="A321" s="5" t="n">
        <v>319</v>
      </c>
      <c r="B321" s="5" t="inlineStr">
        <is>
          <t>华东-山东</t>
        </is>
      </c>
      <c r="C321" s="5" t="inlineStr">
        <is>
          <t>政府机关</t>
        </is>
      </c>
      <c r="D321" s="6" t="inlineStr">
        <is>
          <t>HT20250713</t>
        </is>
      </c>
      <c r="E321" s="6" t="inlineStr">
        <is>
          <t>20260402</t>
        </is>
      </c>
      <c r="F321" s="10" t="n">
        <v>549.545</v>
      </c>
      <c r="G321" s="8" t="n"/>
      <c r="H321" s="10" t="n">
        <v>545.686</v>
      </c>
      <c r="I321" s="10" t="n">
        <v>3.859</v>
      </c>
      <c r="J321" s="10" t="n">
        <v>1.993</v>
      </c>
      <c r="K321" s="10" t="n">
        <v>1.866</v>
      </c>
      <c r="L321" s="8" t="inlineStr">
        <is>
          <t>八部</t>
        </is>
      </c>
      <c r="M321" s="8" t="inlineStr">
        <is>
          <t>苏珊</t>
        </is>
      </c>
      <c r="N321" s="8" t="inlineStr">
        <is>
          <t>1-2年</t>
        </is>
      </c>
      <c r="O321" s="8" t="n"/>
    </row>
    <row r="322">
      <c r="A322" s="5" t="n">
        <v>320</v>
      </c>
      <c r="B322" s="5" t="inlineStr">
        <is>
          <t>华东-安徽</t>
        </is>
      </c>
      <c r="C322" s="5" t="inlineStr">
        <is>
          <t>监察司法机关</t>
        </is>
      </c>
      <c r="D322" s="6" t="inlineStr">
        <is>
          <t>HT20250713</t>
        </is>
      </c>
      <c r="E322" s="6" t="inlineStr">
        <is>
          <t>20260402</t>
        </is>
      </c>
      <c r="F322" s="10" t="n">
        <v>601.837</v>
      </c>
      <c r="G322" s="8" t="n"/>
      <c r="H322" s="10" t="n">
        <v>573.293</v>
      </c>
      <c r="I322" s="10" t="n">
        <v>28.544</v>
      </c>
      <c r="J322" s="10" t="n">
        <v>4.584</v>
      </c>
      <c r="K322" s="10" t="n">
        <v>23.96</v>
      </c>
      <c r="L322" s="8" t="inlineStr">
        <is>
          <t>二部</t>
        </is>
      </c>
      <c r="M322" s="8" t="inlineStr">
        <is>
          <t>赵敏</t>
        </is>
      </c>
      <c r="N322" s="8" t="inlineStr">
        <is>
          <t>2-3年</t>
        </is>
      </c>
      <c r="O322" s="8" t="n"/>
    </row>
    <row r="323">
      <c r="A323" s="5" t="n">
        <v>321</v>
      </c>
      <c r="B323" s="5" t="inlineStr">
        <is>
          <t>华东-上海</t>
        </is>
      </c>
      <c r="C323" s="5" t="inlineStr">
        <is>
          <t>党委机关</t>
        </is>
      </c>
      <c r="D323" s="6" t="inlineStr">
        <is>
          <t>HT20250713</t>
        </is>
      </c>
      <c r="E323" s="6" t="inlineStr">
        <is>
          <t>20260402</t>
        </is>
      </c>
      <c r="F323" s="10" t="n">
        <v>671.98</v>
      </c>
      <c r="G323" s="8" t="n"/>
      <c r="H323" s="10" t="n">
        <v>35.024</v>
      </c>
      <c r="I323" s="10" t="n">
        <v>636.956</v>
      </c>
      <c r="J323" s="10" t="n">
        <v>596.49</v>
      </c>
      <c r="K323" s="10" t="n">
        <v>40.466</v>
      </c>
      <c r="L323" s="8" t="inlineStr">
        <is>
          <t>四部</t>
        </is>
      </c>
      <c r="M323" s="8" t="inlineStr">
        <is>
          <t>郭鹏</t>
        </is>
      </c>
      <c r="N323" s="8" t="inlineStr">
        <is>
          <t>2-3年</t>
        </is>
      </c>
      <c r="O323" s="8" t="n"/>
    </row>
    <row r="324">
      <c r="A324" s="5" t="n">
        <v>322</v>
      </c>
      <c r="B324" s="5" t="inlineStr">
        <is>
          <t>华东-安徽</t>
        </is>
      </c>
      <c r="C324" s="5" t="inlineStr">
        <is>
          <t>政府机关</t>
        </is>
      </c>
      <c r="D324" s="6" t="inlineStr">
        <is>
          <t>HT20250715</t>
        </is>
      </c>
      <c r="E324" s="6" t="inlineStr">
        <is>
          <t>20260716</t>
        </is>
      </c>
      <c r="F324" s="10" t="n">
        <v>104.287</v>
      </c>
      <c r="G324" s="8" t="n"/>
      <c r="H324" s="10" t="n">
        <v>77.395</v>
      </c>
      <c r="I324" s="10" t="n">
        <v>26.892</v>
      </c>
      <c r="J324" s="10" t="n">
        <v>14.771</v>
      </c>
      <c r="K324" s="10" t="n">
        <v>12.121</v>
      </c>
      <c r="L324" s="8" t="inlineStr">
        <is>
          <t>十部</t>
        </is>
      </c>
      <c r="M324" s="8" t="inlineStr">
        <is>
          <t>侯敏</t>
        </is>
      </c>
      <c r="N324" s="8" t="inlineStr">
        <is>
          <t>1年以内</t>
        </is>
      </c>
      <c r="O324" s="8" t="n"/>
    </row>
    <row r="325">
      <c r="A325" s="5" t="n">
        <v>323</v>
      </c>
      <c r="B325" s="5" t="inlineStr">
        <is>
          <t>华北-天津</t>
        </is>
      </c>
      <c r="C325" s="5" t="inlineStr">
        <is>
          <t>群团组织</t>
        </is>
      </c>
      <c r="D325" s="6" t="inlineStr">
        <is>
          <t>HT20250716</t>
        </is>
      </c>
      <c r="E325" s="6" t="inlineStr">
        <is>
          <t>20260414</t>
        </is>
      </c>
      <c r="F325" s="10" t="n">
        <v>7064.48</v>
      </c>
      <c r="G325" s="8" t="n"/>
      <c r="H325" s="10" t="n">
        <v>4208.683</v>
      </c>
      <c r="I325" s="10" t="n">
        <v>2855.797</v>
      </c>
      <c r="J325" s="10" t="n">
        <v>180.901</v>
      </c>
      <c r="K325" s="10" t="n">
        <v>2674.896</v>
      </c>
      <c r="L325" s="8" t="inlineStr">
        <is>
          <t>十部</t>
        </is>
      </c>
      <c r="M325" s="8" t="inlineStr">
        <is>
          <t>侯敏</t>
        </is>
      </c>
      <c r="N325" s="8" t="inlineStr">
        <is>
          <t>2-3年</t>
        </is>
      </c>
      <c r="O325" s="8" t="n"/>
    </row>
    <row r="326">
      <c r="A326" s="5" t="n">
        <v>324</v>
      </c>
      <c r="B326" s="5" t="inlineStr">
        <is>
          <t>华北-天津</t>
        </is>
      </c>
      <c r="C326" s="5" t="inlineStr">
        <is>
          <t>群团组织</t>
        </is>
      </c>
      <c r="D326" s="6" t="inlineStr">
        <is>
          <t>HT20250716</t>
        </is>
      </c>
      <c r="E326" s="6" t="inlineStr">
        <is>
          <t>20260414</t>
        </is>
      </c>
      <c r="F326" s="10" t="n">
        <v>184.986</v>
      </c>
      <c r="G326" s="8" t="n"/>
      <c r="H326" s="10" t="n">
        <v>144.645</v>
      </c>
      <c r="I326" s="10" t="n">
        <v>40.341</v>
      </c>
      <c r="J326" s="10" t="n">
        <v>0.962</v>
      </c>
      <c r="K326" s="10" t="n">
        <v>39.379</v>
      </c>
      <c r="L326" s="8" t="inlineStr">
        <is>
          <t>八部</t>
        </is>
      </c>
      <c r="M326" s="8" t="inlineStr">
        <is>
          <t>卢俊</t>
        </is>
      </c>
      <c r="N326" s="8" t="inlineStr">
        <is>
          <t>2-3年</t>
        </is>
      </c>
      <c r="O326" s="8" t="n"/>
    </row>
    <row r="327">
      <c r="A327" s="5" t="n">
        <v>325</v>
      </c>
      <c r="B327" s="5" t="inlineStr">
        <is>
          <t>华东-山东</t>
        </is>
      </c>
      <c r="C327" s="5" t="inlineStr">
        <is>
          <t>监察司法机关</t>
        </is>
      </c>
      <c r="D327" s="6" t="inlineStr">
        <is>
          <t>HT20250716</t>
        </is>
      </c>
      <c r="E327" s="6" t="inlineStr">
        <is>
          <t>20260414</t>
        </is>
      </c>
      <c r="F327" s="10" t="n">
        <v>402.553</v>
      </c>
      <c r="G327" s="8" t="n"/>
      <c r="H327" s="10" t="n">
        <v>245.363</v>
      </c>
      <c r="I327" s="10" t="n">
        <v>157.19</v>
      </c>
      <c r="J327" s="10" t="n">
        <v>137.1</v>
      </c>
      <c r="K327" s="10" t="n">
        <v>20.09</v>
      </c>
      <c r="L327" s="8" t="inlineStr">
        <is>
          <t>八部</t>
        </is>
      </c>
      <c r="M327" s="8" t="inlineStr">
        <is>
          <t>苏珊</t>
        </is>
      </c>
      <c r="N327" s="8" t="inlineStr">
        <is>
          <t>1年以内</t>
        </is>
      </c>
      <c r="O327" s="8" t="n"/>
    </row>
    <row r="328">
      <c r="A328" s="5" t="n">
        <v>326</v>
      </c>
      <c r="B328" s="5" t="inlineStr">
        <is>
          <t>华东-江西</t>
        </is>
      </c>
      <c r="C328" s="5" t="inlineStr">
        <is>
          <t>监察司法机关</t>
        </is>
      </c>
      <c r="D328" s="6" t="inlineStr">
        <is>
          <t>HT20250716</t>
        </is>
      </c>
      <c r="E328" s="6" t="inlineStr">
        <is>
          <t>20260414</t>
        </is>
      </c>
      <c r="F328" s="10" t="n">
        <v>266.532</v>
      </c>
      <c r="G328" s="8" t="n"/>
      <c r="H328" s="10" t="n">
        <v>264.261</v>
      </c>
      <c r="I328" s="10" t="n">
        <v>2.271</v>
      </c>
      <c r="J328" s="10" t="n">
        <v>0.76</v>
      </c>
      <c r="K328" s="10" t="n">
        <v>1.511</v>
      </c>
      <c r="L328" s="8" t="inlineStr">
        <is>
          <t>三部</t>
        </is>
      </c>
      <c r="M328" s="8" t="inlineStr">
        <is>
          <t>马超</t>
        </is>
      </c>
      <c r="N328" s="8" t="inlineStr">
        <is>
          <t>1年以内</t>
        </is>
      </c>
      <c r="O328" s="8" t="n"/>
    </row>
    <row r="329">
      <c r="A329" s="5" t="n">
        <v>327</v>
      </c>
      <c r="B329" s="5" t="inlineStr">
        <is>
          <t>华北-山西</t>
        </is>
      </c>
      <c r="C329" s="5" t="inlineStr">
        <is>
          <t>国有企业</t>
        </is>
      </c>
      <c r="D329" s="6" t="inlineStr">
        <is>
          <t>HT20250716</t>
        </is>
      </c>
      <c r="E329" s="6" t="inlineStr">
        <is>
          <t>20260414</t>
        </is>
      </c>
      <c r="F329" s="10" t="n">
        <v>576.442</v>
      </c>
      <c r="G329" s="8" t="n"/>
      <c r="H329" s="10" t="n">
        <v>324.443</v>
      </c>
      <c r="I329" s="10" t="n">
        <v>251.999</v>
      </c>
      <c r="J329" s="10" t="n">
        <v>149.612</v>
      </c>
      <c r="K329" s="10" t="n">
        <v>102.387</v>
      </c>
      <c r="L329" s="8" t="inlineStr">
        <is>
          <t>七部</t>
        </is>
      </c>
      <c r="M329" s="8" t="inlineStr">
        <is>
          <t>袁博</t>
        </is>
      </c>
      <c r="N329" s="8" t="inlineStr">
        <is>
          <t>2-3年</t>
        </is>
      </c>
      <c r="O329" s="8" t="n"/>
    </row>
    <row r="330">
      <c r="A330" s="5" t="n">
        <v>328</v>
      </c>
      <c r="B330" s="5" t="inlineStr">
        <is>
          <t>西南-西藏</t>
        </is>
      </c>
      <c r="C330" s="5" t="inlineStr">
        <is>
          <t>党委机关</t>
        </is>
      </c>
      <c r="D330" s="6" t="inlineStr">
        <is>
          <t>HT20250717</t>
        </is>
      </c>
      <c r="E330" s="6" t="inlineStr">
        <is>
          <t>20260830</t>
        </is>
      </c>
      <c r="F330" s="10" t="n">
        <v>79.956</v>
      </c>
      <c r="G330" s="8" t="n"/>
      <c r="H330" s="10" t="n">
        <v>36.154</v>
      </c>
      <c r="I330" s="10" t="n">
        <v>43.802</v>
      </c>
      <c r="J330" s="10" t="n">
        <v>9.436</v>
      </c>
      <c r="K330" s="10" t="n">
        <v>34.366</v>
      </c>
      <c r="L330" s="8" t="inlineStr">
        <is>
          <t>四部</t>
        </is>
      </c>
      <c r="M330" s="8" t="inlineStr">
        <is>
          <t>郭鹏</t>
        </is>
      </c>
      <c r="N330" s="8" t="inlineStr">
        <is>
          <t>2-3年</t>
        </is>
      </c>
      <c r="O330" s="8" t="n"/>
    </row>
    <row r="331">
      <c r="A331" s="5" t="n">
        <v>329</v>
      </c>
      <c r="B331" s="5" t="inlineStr">
        <is>
          <t>华东-台湾</t>
        </is>
      </c>
      <c r="C331" s="5" t="inlineStr">
        <is>
          <t>党委机关</t>
        </is>
      </c>
      <c r="D331" s="6" t="inlineStr">
        <is>
          <t>HT20250717</t>
        </is>
      </c>
      <c r="E331" s="6" t="inlineStr">
        <is>
          <t>20260830</t>
        </is>
      </c>
      <c r="F331" s="10" t="n">
        <v>437.263</v>
      </c>
      <c r="G331" s="8" t="n"/>
      <c r="H331" s="10" t="n">
        <v>368.829</v>
      </c>
      <c r="I331" s="10" t="n">
        <v>68.434</v>
      </c>
      <c r="J331" s="10" t="n">
        <v>63.418</v>
      </c>
      <c r="K331" s="10" t="n">
        <v>5.016</v>
      </c>
      <c r="L331" s="8" t="inlineStr">
        <is>
          <t>三部</t>
        </is>
      </c>
      <c r="M331" s="8" t="inlineStr">
        <is>
          <t>朱军</t>
        </is>
      </c>
      <c r="N331" s="8" t="inlineStr">
        <is>
          <t>2-3年</t>
        </is>
      </c>
      <c r="O331" s="8" t="n"/>
    </row>
    <row r="332">
      <c r="A332" s="5" t="n">
        <v>330</v>
      </c>
      <c r="B332" s="5" t="inlineStr">
        <is>
          <t>华北-山西</t>
        </is>
      </c>
      <c r="C332" s="5" t="inlineStr">
        <is>
          <t>基层自治组织</t>
        </is>
      </c>
      <c r="D332" s="6" t="inlineStr">
        <is>
          <t>HT20250717</t>
        </is>
      </c>
      <c r="E332" s="6" t="inlineStr">
        <is>
          <t>20260830</t>
        </is>
      </c>
      <c r="F332" s="10" t="n">
        <v>103.359</v>
      </c>
      <c r="G332" s="8" t="n"/>
      <c r="H332" s="10" t="n">
        <v>30.209</v>
      </c>
      <c r="I332" s="10" t="n">
        <v>73.15000000000001</v>
      </c>
      <c r="J332" s="10" t="n">
        <v>36.014</v>
      </c>
      <c r="K332" s="10" t="n">
        <v>37.136</v>
      </c>
      <c r="L332" s="8" t="inlineStr">
        <is>
          <t>五部</t>
        </is>
      </c>
      <c r="M332" s="8" t="inlineStr">
        <is>
          <t>宋佳</t>
        </is>
      </c>
      <c r="N332" s="8" t="inlineStr">
        <is>
          <t>1年以内</t>
        </is>
      </c>
      <c r="O332" s="8" t="n"/>
    </row>
    <row r="333">
      <c r="A333" s="5" t="n">
        <v>331</v>
      </c>
      <c r="B333" s="5" t="inlineStr">
        <is>
          <t>西南-四川</t>
        </is>
      </c>
      <c r="C333" s="5" t="inlineStr">
        <is>
          <t>基层自治组织</t>
        </is>
      </c>
      <c r="D333" s="6" t="inlineStr">
        <is>
          <t>HT20250717</t>
        </is>
      </c>
      <c r="E333" s="6" t="inlineStr">
        <is>
          <t>20260830</t>
        </is>
      </c>
      <c r="F333" s="10" t="n">
        <v>588.11</v>
      </c>
      <c r="G333" s="8" t="n"/>
      <c r="H333" s="10" t="n">
        <v>37.337</v>
      </c>
      <c r="I333" s="10" t="n">
        <v>550.773</v>
      </c>
      <c r="J333" s="10" t="n">
        <v>548.908</v>
      </c>
      <c r="K333" s="10" t="n">
        <v>1.865</v>
      </c>
      <c r="L333" s="8" t="inlineStr">
        <is>
          <t>七部</t>
        </is>
      </c>
      <c r="M333" s="8" t="inlineStr">
        <is>
          <t>许涛</t>
        </is>
      </c>
      <c r="N333" s="8" t="inlineStr">
        <is>
          <t>2-3年</t>
        </is>
      </c>
      <c r="O333" s="8" t="n"/>
    </row>
    <row r="334">
      <c r="A334" s="5" t="n">
        <v>332</v>
      </c>
      <c r="B334" s="5" t="inlineStr">
        <is>
          <t>西北-甘肃</t>
        </is>
      </c>
      <c r="C334" s="5" t="inlineStr">
        <is>
          <t>人大政协</t>
        </is>
      </c>
      <c r="D334" s="6" t="inlineStr">
        <is>
          <t>HT20250718</t>
        </is>
      </c>
      <c r="E334" s="6" t="inlineStr">
        <is>
          <t>20260702</t>
        </is>
      </c>
      <c r="F334" s="10" t="n">
        <v>6811.147</v>
      </c>
      <c r="G334" s="8" t="n"/>
      <c r="H334" s="10" t="n">
        <v>3481.194</v>
      </c>
      <c r="I334" s="10" t="n">
        <v>3329.953</v>
      </c>
      <c r="J334" s="10" t="n">
        <v>2848.084</v>
      </c>
      <c r="K334" s="10" t="n">
        <v>481.869</v>
      </c>
      <c r="L334" s="8" t="inlineStr">
        <is>
          <t>七部</t>
        </is>
      </c>
      <c r="M334" s="8" t="inlineStr">
        <is>
          <t>许涛</t>
        </is>
      </c>
      <c r="N334" s="8" t="inlineStr">
        <is>
          <t>2-3年</t>
        </is>
      </c>
      <c r="O334" s="8" t="n"/>
    </row>
    <row r="335">
      <c r="A335" s="5" t="n">
        <v>333</v>
      </c>
      <c r="B335" s="5" t="inlineStr">
        <is>
          <t>华东-江苏</t>
        </is>
      </c>
      <c r="C335" s="5" t="inlineStr">
        <is>
          <t>党委机关</t>
        </is>
      </c>
      <c r="D335" s="6" t="inlineStr">
        <is>
          <t>HT20250718</t>
        </is>
      </c>
      <c r="E335" s="6" t="inlineStr">
        <is>
          <t>20260702</t>
        </is>
      </c>
      <c r="F335" s="10" t="n">
        <v>769.721</v>
      </c>
      <c r="G335" s="8" t="n"/>
      <c r="H335" s="10" t="n">
        <v>376.55</v>
      </c>
      <c r="I335" s="10" t="n">
        <v>393.171</v>
      </c>
      <c r="J335" s="10" t="n">
        <v>265.581</v>
      </c>
      <c r="K335" s="10" t="n">
        <v>127.59</v>
      </c>
      <c r="L335" s="8" t="inlineStr">
        <is>
          <t>十部</t>
        </is>
      </c>
      <c r="M335" s="8" t="inlineStr">
        <is>
          <t>段勇</t>
        </is>
      </c>
      <c r="N335" s="8" t="inlineStr">
        <is>
          <t>2-3年</t>
        </is>
      </c>
      <c r="O335" s="8" t="n"/>
    </row>
    <row r="336">
      <c r="A336" s="5" t="n">
        <v>334</v>
      </c>
      <c r="B336" s="5" t="inlineStr">
        <is>
          <t>华东-福建</t>
        </is>
      </c>
      <c r="C336" s="5" t="inlineStr">
        <is>
          <t>监察司法机关</t>
        </is>
      </c>
      <c r="D336" s="6" t="inlineStr">
        <is>
          <t>HT20250721</t>
        </is>
      </c>
      <c r="E336" s="6" t="inlineStr">
        <is>
          <t>20260606</t>
        </is>
      </c>
      <c r="F336" s="10" t="n">
        <v>462.165</v>
      </c>
      <c r="G336" s="8" t="n"/>
      <c r="H336" s="10" t="n">
        <v>240.437</v>
      </c>
      <c r="I336" s="10" t="n">
        <v>221.728</v>
      </c>
      <c r="J336" s="10" t="n">
        <v>56.401</v>
      </c>
      <c r="K336" s="10" t="n">
        <v>165.327</v>
      </c>
      <c r="L336" s="8" t="inlineStr">
        <is>
          <t>十部</t>
        </is>
      </c>
      <c r="M336" s="8" t="inlineStr">
        <is>
          <t>阎莉</t>
        </is>
      </c>
      <c r="N336" s="8" t="inlineStr">
        <is>
          <t>1年以内</t>
        </is>
      </c>
      <c r="O336" s="8" t="n"/>
    </row>
    <row r="337">
      <c r="A337" s="5" t="n">
        <v>335</v>
      </c>
      <c r="B337" s="5" t="inlineStr">
        <is>
          <t>西北-宁夏</t>
        </is>
      </c>
      <c r="C337" s="5" t="inlineStr">
        <is>
          <t>群团组织</t>
        </is>
      </c>
      <c r="D337" s="6" t="inlineStr">
        <is>
          <t>HT20250721</t>
        </is>
      </c>
      <c r="E337" s="6" t="inlineStr">
        <is>
          <t>20260606</t>
        </is>
      </c>
      <c r="F337" s="10" t="n">
        <v>145.937</v>
      </c>
      <c r="G337" s="8" t="n"/>
      <c r="H337" s="10" t="n">
        <v>111.448</v>
      </c>
      <c r="I337" s="10" t="n">
        <v>34.489</v>
      </c>
      <c r="J337" s="10" t="n">
        <v>24.738</v>
      </c>
      <c r="K337" s="10" t="n">
        <v>9.750999999999999</v>
      </c>
      <c r="L337" s="8" t="inlineStr">
        <is>
          <t>一部</t>
        </is>
      </c>
      <c r="M337" s="8" t="inlineStr">
        <is>
          <t>陈静</t>
        </is>
      </c>
      <c r="N337" s="8" t="inlineStr">
        <is>
          <t>1-2年</t>
        </is>
      </c>
      <c r="O337" s="8" t="n"/>
    </row>
    <row r="338">
      <c r="A338" s="5" t="n">
        <v>336</v>
      </c>
      <c r="B338" s="5" t="inlineStr">
        <is>
          <t>西南-云南</t>
        </is>
      </c>
      <c r="C338" s="5" t="inlineStr">
        <is>
          <t>党委机关</t>
        </is>
      </c>
      <c r="D338" s="6" t="inlineStr">
        <is>
          <t>HT20250722</t>
        </is>
      </c>
      <c r="E338" s="6" t="inlineStr">
        <is>
          <t>20260717</t>
        </is>
      </c>
      <c r="F338" s="10" t="n">
        <v>4202.357</v>
      </c>
      <c r="G338" s="8" t="n"/>
      <c r="H338" s="10" t="n">
        <v>163.684</v>
      </c>
      <c r="I338" s="10" t="n">
        <v>4038.673</v>
      </c>
      <c r="J338" s="10" t="n">
        <v>1732.024</v>
      </c>
      <c r="K338" s="10" t="n">
        <v>2306.649</v>
      </c>
      <c r="L338" s="8" t="inlineStr">
        <is>
          <t>八部</t>
        </is>
      </c>
      <c r="M338" s="8" t="inlineStr">
        <is>
          <t>曾辉</t>
        </is>
      </c>
      <c r="N338" s="8" t="inlineStr">
        <is>
          <t>1-2年</t>
        </is>
      </c>
      <c r="O338" s="8" t="n"/>
    </row>
    <row r="339">
      <c r="A339" s="5" t="n">
        <v>337</v>
      </c>
      <c r="B339" s="5" t="inlineStr">
        <is>
          <t>东北-辽宁</t>
        </is>
      </c>
      <c r="C339" s="5" t="inlineStr">
        <is>
          <t>党委机关</t>
        </is>
      </c>
      <c r="D339" s="6" t="inlineStr">
        <is>
          <t>HT20250722</t>
        </is>
      </c>
      <c r="E339" s="6" t="inlineStr">
        <is>
          <t>20260717</t>
        </is>
      </c>
      <c r="F339" s="10" t="n">
        <v>52.306</v>
      </c>
      <c r="G339" s="8" t="n"/>
      <c r="H339" s="10" t="n">
        <v>39.804</v>
      </c>
      <c r="I339" s="10" t="n">
        <v>12.502</v>
      </c>
      <c r="J339" s="10" t="n">
        <v>12.249</v>
      </c>
      <c r="K339" s="10" t="n">
        <v>0.253</v>
      </c>
      <c r="L339" s="8" t="inlineStr">
        <is>
          <t>六部</t>
        </is>
      </c>
      <c r="M339" s="8" t="inlineStr">
        <is>
          <t>唐亮</t>
        </is>
      </c>
      <c r="N339" s="8" t="inlineStr">
        <is>
          <t>1年以内</t>
        </is>
      </c>
      <c r="O339" s="8" t="n"/>
    </row>
    <row r="340">
      <c r="A340" s="5" t="n">
        <v>338</v>
      </c>
      <c r="B340" s="5" t="inlineStr">
        <is>
          <t>华南-广西</t>
        </is>
      </c>
      <c r="C340" s="5" t="inlineStr">
        <is>
          <t>政府机关</t>
        </is>
      </c>
      <c r="D340" s="6" t="inlineStr">
        <is>
          <t>HT20250723</t>
        </is>
      </c>
      <c r="E340" s="6" t="inlineStr">
        <is>
          <t>20260502</t>
        </is>
      </c>
      <c r="F340" s="10" t="n">
        <v>854.264</v>
      </c>
      <c r="G340" s="8" t="n"/>
      <c r="H340" s="10" t="n">
        <v>86.84399999999999</v>
      </c>
      <c r="I340" s="10" t="n">
        <v>767.42</v>
      </c>
      <c r="J340" s="10" t="n">
        <v>465.518</v>
      </c>
      <c r="K340" s="10" t="n">
        <v>301.902</v>
      </c>
      <c r="L340" s="8" t="inlineStr">
        <is>
          <t>六部</t>
        </is>
      </c>
      <c r="M340" s="8" t="inlineStr">
        <is>
          <t>冯倩</t>
        </is>
      </c>
      <c r="N340" s="8" t="inlineStr">
        <is>
          <t>1年以内</t>
        </is>
      </c>
      <c r="O340" s="8" t="n"/>
    </row>
    <row r="341">
      <c r="A341" s="5" t="n">
        <v>339</v>
      </c>
      <c r="B341" s="5" t="inlineStr">
        <is>
          <t>华东-安徽</t>
        </is>
      </c>
      <c r="C341" s="5" t="inlineStr">
        <is>
          <t>国有企业</t>
        </is>
      </c>
      <c r="D341" s="6" t="inlineStr">
        <is>
          <t>HT20250723</t>
        </is>
      </c>
      <c r="E341" s="6" t="inlineStr">
        <is>
          <t>20260502</t>
        </is>
      </c>
      <c r="F341" s="10" t="n">
        <v>487.394</v>
      </c>
      <c r="G341" s="8" t="n"/>
      <c r="H341" s="10" t="n">
        <v>144.594</v>
      </c>
      <c r="I341" s="10" t="n">
        <v>342.8</v>
      </c>
      <c r="J341" s="10" t="n">
        <v>295.511</v>
      </c>
      <c r="K341" s="10" t="n">
        <v>47.289</v>
      </c>
      <c r="L341" s="8" t="inlineStr">
        <is>
          <t>一部</t>
        </is>
      </c>
      <c r="M341" s="8" t="inlineStr">
        <is>
          <t>陈静</t>
        </is>
      </c>
      <c r="N341" s="8" t="inlineStr">
        <is>
          <t>1-2年</t>
        </is>
      </c>
      <c r="O341" s="8" t="n"/>
    </row>
    <row r="342">
      <c r="A342" s="5" t="n">
        <v>340</v>
      </c>
      <c r="B342" s="5" t="inlineStr">
        <is>
          <t>华南-海南</t>
        </is>
      </c>
      <c r="C342" s="5" t="inlineStr">
        <is>
          <t>监察司法机关</t>
        </is>
      </c>
      <c r="D342" s="6" t="inlineStr">
        <is>
          <t>HT20250724</t>
        </is>
      </c>
      <c r="E342" s="6" t="inlineStr">
        <is>
          <t>20260119</t>
        </is>
      </c>
      <c r="F342" s="10" t="n">
        <v>913.17</v>
      </c>
      <c r="G342" s="8" t="n"/>
      <c r="H342" s="10" t="n">
        <v>513.98</v>
      </c>
      <c r="I342" s="10" t="n">
        <v>399.19</v>
      </c>
      <c r="J342" s="10" t="n">
        <v>264.932</v>
      </c>
      <c r="K342" s="10" t="n">
        <v>134.258</v>
      </c>
      <c r="L342" s="8" t="inlineStr">
        <is>
          <t>一部</t>
        </is>
      </c>
      <c r="M342" s="8" t="inlineStr">
        <is>
          <t>刘洋</t>
        </is>
      </c>
      <c r="N342" s="8" t="inlineStr">
        <is>
          <t>2-3年</t>
        </is>
      </c>
      <c r="O342" s="8" t="n"/>
    </row>
    <row r="343">
      <c r="A343" s="5" t="n">
        <v>341</v>
      </c>
      <c r="B343" s="5" t="inlineStr">
        <is>
          <t>东北-吉林</t>
        </is>
      </c>
      <c r="C343" s="5" t="inlineStr">
        <is>
          <t>党委机关</t>
        </is>
      </c>
      <c r="D343" s="6" t="inlineStr">
        <is>
          <t>HT20250725</t>
        </is>
      </c>
      <c r="E343" s="6" t="inlineStr">
        <is>
          <t>20260403</t>
        </is>
      </c>
      <c r="F343" s="10" t="n">
        <v>851.061</v>
      </c>
      <c r="G343" s="8" t="n"/>
      <c r="H343" s="10" t="n">
        <v>767.8819999999999</v>
      </c>
      <c r="I343" s="10" t="n">
        <v>83.179</v>
      </c>
      <c r="J343" s="10" t="n">
        <v>57.348</v>
      </c>
      <c r="K343" s="10" t="n">
        <v>25.831</v>
      </c>
      <c r="L343" s="8" t="inlineStr">
        <is>
          <t>七部</t>
        </is>
      </c>
      <c r="M343" s="8" t="inlineStr">
        <is>
          <t>许涛</t>
        </is>
      </c>
      <c r="N343" s="8" t="inlineStr">
        <is>
          <t>2-3年</t>
        </is>
      </c>
      <c r="O343" s="8" t="n"/>
    </row>
    <row r="344">
      <c r="A344" s="5" t="n">
        <v>342</v>
      </c>
      <c r="B344" s="5" t="inlineStr">
        <is>
          <t>华北-河北</t>
        </is>
      </c>
      <c r="C344" s="5" t="inlineStr">
        <is>
          <t>国有企业</t>
        </is>
      </c>
      <c r="D344" s="6" t="inlineStr">
        <is>
          <t>HT20250725</t>
        </is>
      </c>
      <c r="E344" s="6" t="inlineStr">
        <is>
          <t>20260403</t>
        </is>
      </c>
      <c r="F344" s="10" t="n">
        <v>5844.175</v>
      </c>
      <c r="G344" s="8" t="n"/>
      <c r="H344" s="10" t="n">
        <v>4353.643</v>
      </c>
      <c r="I344" s="10" t="n">
        <v>1490.532</v>
      </c>
      <c r="J344" s="10" t="n">
        <v>464.831</v>
      </c>
      <c r="K344" s="10" t="n">
        <v>1025.701</v>
      </c>
      <c r="L344" s="8" t="inlineStr">
        <is>
          <t>四部</t>
        </is>
      </c>
      <c r="M344" s="8" t="inlineStr">
        <is>
          <t>林燕</t>
        </is>
      </c>
      <c r="N344" s="8" t="inlineStr">
        <is>
          <t>2-3年</t>
        </is>
      </c>
      <c r="O344" s="8" t="n"/>
    </row>
    <row r="345">
      <c r="A345" s="5" t="n">
        <v>343</v>
      </c>
      <c r="B345" s="5" t="inlineStr">
        <is>
          <t>华中-河南</t>
        </is>
      </c>
      <c r="C345" s="5" t="inlineStr">
        <is>
          <t>人大政协</t>
        </is>
      </c>
      <c r="D345" s="6" t="inlineStr">
        <is>
          <t>HT20250726</t>
        </is>
      </c>
      <c r="E345" s="6" t="inlineStr">
        <is>
          <t>20260906</t>
        </is>
      </c>
      <c r="F345" s="10" t="n">
        <v>831.176</v>
      </c>
      <c r="G345" s="8" t="n"/>
      <c r="H345" s="10" t="n">
        <v>492.402</v>
      </c>
      <c r="I345" s="10" t="n">
        <v>338.774</v>
      </c>
      <c r="J345" s="10" t="n">
        <v>304.591</v>
      </c>
      <c r="K345" s="10" t="n">
        <v>34.183</v>
      </c>
      <c r="L345" s="8" t="inlineStr">
        <is>
          <t>六部</t>
        </is>
      </c>
      <c r="M345" s="8" t="inlineStr">
        <is>
          <t>冯倩</t>
        </is>
      </c>
      <c r="N345" s="8" t="inlineStr">
        <is>
          <t>1年以内</t>
        </is>
      </c>
      <c r="O345" s="8" t="n"/>
    </row>
    <row r="346">
      <c r="A346" s="5" t="n">
        <v>344</v>
      </c>
      <c r="B346" s="5" t="inlineStr">
        <is>
          <t>华南-广西</t>
        </is>
      </c>
      <c r="C346" s="5" t="inlineStr">
        <is>
          <t>基层自治组织</t>
        </is>
      </c>
      <c r="D346" s="6" t="inlineStr">
        <is>
          <t>HT20250728</t>
        </is>
      </c>
      <c r="E346" s="6" t="inlineStr">
        <is>
          <t>20260717</t>
        </is>
      </c>
      <c r="F346" s="10" t="n">
        <v>123.788</v>
      </c>
      <c r="G346" s="8" t="n"/>
      <c r="H346" s="10" t="n">
        <v>23.464</v>
      </c>
      <c r="I346" s="10" t="n">
        <v>100.324</v>
      </c>
      <c r="J346" s="10" t="n">
        <v>4.993</v>
      </c>
      <c r="K346" s="10" t="n">
        <v>95.331</v>
      </c>
      <c r="L346" s="8" t="inlineStr">
        <is>
          <t>一部</t>
        </is>
      </c>
      <c r="M346" s="8" t="inlineStr">
        <is>
          <t>张伟</t>
        </is>
      </c>
      <c r="N346" s="8" t="inlineStr">
        <is>
          <t>2-3年</t>
        </is>
      </c>
      <c r="O346" s="8" t="n"/>
    </row>
    <row r="347">
      <c r="A347" s="5" t="n">
        <v>345</v>
      </c>
      <c r="B347" s="5" t="inlineStr">
        <is>
          <t>华南-广西</t>
        </is>
      </c>
      <c r="C347" s="5" t="inlineStr">
        <is>
          <t>事业单位</t>
        </is>
      </c>
      <c r="D347" s="6" t="inlineStr">
        <is>
          <t>HT20250729</t>
        </is>
      </c>
      <c r="E347" s="6" t="inlineStr">
        <is>
          <t>20260306</t>
        </is>
      </c>
      <c r="F347" s="10" t="n">
        <v>418.214</v>
      </c>
      <c r="G347" s="8" t="n"/>
      <c r="H347" s="10" t="n">
        <v>182.313</v>
      </c>
      <c r="I347" s="10" t="n">
        <v>235.901</v>
      </c>
      <c r="J347" s="10" t="n">
        <v>165.163</v>
      </c>
      <c r="K347" s="10" t="n">
        <v>70.738</v>
      </c>
      <c r="L347" s="8" t="inlineStr">
        <is>
          <t>三部</t>
        </is>
      </c>
      <c r="M347" s="8" t="inlineStr">
        <is>
          <t>朱军</t>
        </is>
      </c>
      <c r="N347" s="8" t="inlineStr">
        <is>
          <t>1年以内</t>
        </is>
      </c>
      <c r="O347" s="8" t="n"/>
    </row>
    <row r="348">
      <c r="A348" s="5" t="n">
        <v>346</v>
      </c>
      <c r="B348" s="5" t="inlineStr">
        <is>
          <t>华东-台湾</t>
        </is>
      </c>
      <c r="C348" s="5" t="inlineStr">
        <is>
          <t>群团组织</t>
        </is>
      </c>
      <c r="D348" s="6" t="inlineStr">
        <is>
          <t>HT20250730</t>
        </is>
      </c>
      <c r="E348" s="6" t="inlineStr">
        <is>
          <t>20260805</t>
        </is>
      </c>
      <c r="F348" s="10" t="n">
        <v>474.323</v>
      </c>
      <c r="G348" s="8" t="n"/>
      <c r="H348" s="10" t="n">
        <v>287.312</v>
      </c>
      <c r="I348" s="10" t="n">
        <v>187.011</v>
      </c>
      <c r="J348" s="10" t="n">
        <v>100.01</v>
      </c>
      <c r="K348" s="10" t="n">
        <v>87.001</v>
      </c>
      <c r="L348" s="8" t="inlineStr">
        <is>
          <t>六部</t>
        </is>
      </c>
      <c r="M348" s="8" t="inlineStr">
        <is>
          <t>曹阳</t>
        </is>
      </c>
      <c r="N348" s="8" t="inlineStr">
        <is>
          <t>1年以内</t>
        </is>
      </c>
      <c r="O348" s="8" t="n"/>
    </row>
    <row r="349">
      <c r="A349" s="5" t="n">
        <v>347</v>
      </c>
      <c r="B349" s="5" t="inlineStr">
        <is>
          <t>华北-山西</t>
        </is>
      </c>
      <c r="C349" s="5" t="inlineStr">
        <is>
          <t>基层自治组织</t>
        </is>
      </c>
      <c r="D349" s="6" t="inlineStr">
        <is>
          <t>HT20250730</t>
        </is>
      </c>
      <c r="E349" s="6" t="inlineStr">
        <is>
          <t>20260805</t>
        </is>
      </c>
      <c r="F349" s="10" t="n">
        <v>105.203</v>
      </c>
      <c r="G349" s="8" t="n"/>
      <c r="H349" s="10" t="n">
        <v>84.40000000000001</v>
      </c>
      <c r="I349" s="10" t="n">
        <v>20.803</v>
      </c>
      <c r="J349" s="10" t="n">
        <v>15.764</v>
      </c>
      <c r="K349" s="10" t="n">
        <v>5.039</v>
      </c>
      <c r="L349" s="8" t="inlineStr">
        <is>
          <t>七部</t>
        </is>
      </c>
      <c r="M349" s="8" t="inlineStr">
        <is>
          <t>邓丽</t>
        </is>
      </c>
      <c r="N349" s="8" t="inlineStr">
        <is>
          <t>1-2年</t>
        </is>
      </c>
      <c r="O349" s="8" t="n"/>
    </row>
    <row r="350">
      <c r="A350" s="5" t="n">
        <v>348</v>
      </c>
      <c r="B350" s="5" t="inlineStr">
        <is>
          <t>华东-山东</t>
        </is>
      </c>
      <c r="C350" s="5" t="inlineStr">
        <is>
          <t>事业单位</t>
        </is>
      </c>
      <c r="D350" s="6" t="inlineStr">
        <is>
          <t>HT20250731</t>
        </is>
      </c>
      <c r="E350" s="6" t="inlineStr">
        <is>
          <t>20260402</t>
        </is>
      </c>
      <c r="F350" s="10" t="n">
        <v>198.065</v>
      </c>
      <c r="G350" s="8" t="n"/>
      <c r="H350" s="10" t="n">
        <v>150.03</v>
      </c>
      <c r="I350" s="10" t="n">
        <v>48.035</v>
      </c>
      <c r="J350" s="10" t="n">
        <v>24.24</v>
      </c>
      <c r="K350" s="10" t="n">
        <v>23.795</v>
      </c>
      <c r="L350" s="8" t="inlineStr">
        <is>
          <t>九部</t>
        </is>
      </c>
      <c r="M350" s="8" t="inlineStr">
        <is>
          <t>贾静</t>
        </is>
      </c>
      <c r="N350" s="8" t="inlineStr">
        <is>
          <t>1年以内</t>
        </is>
      </c>
      <c r="O350" s="8" t="n"/>
    </row>
    <row r="351">
      <c r="A351" s="5" t="n">
        <v>349</v>
      </c>
      <c r="B351" s="5" t="inlineStr">
        <is>
          <t>华北-河北</t>
        </is>
      </c>
      <c r="C351" s="5" t="inlineStr">
        <is>
          <t>群团组织</t>
        </is>
      </c>
      <c r="D351" s="6" t="inlineStr">
        <is>
          <t>HT20250801</t>
        </is>
      </c>
      <c r="E351" s="6" t="inlineStr">
        <is>
          <t>20260914</t>
        </is>
      </c>
      <c r="F351" s="10" t="n">
        <v>616.206</v>
      </c>
      <c r="G351" s="8" t="n"/>
      <c r="H351" s="10" t="n">
        <v>28.468</v>
      </c>
      <c r="I351" s="10" t="n">
        <v>587.7380000000001</v>
      </c>
      <c r="J351" s="10" t="n">
        <v>329.9</v>
      </c>
      <c r="K351" s="10" t="n">
        <v>257.838</v>
      </c>
      <c r="L351" s="8" t="inlineStr">
        <is>
          <t>七部</t>
        </is>
      </c>
      <c r="M351" s="8" t="inlineStr">
        <is>
          <t>袁博</t>
        </is>
      </c>
      <c r="N351" s="8" t="inlineStr">
        <is>
          <t>2-3年</t>
        </is>
      </c>
      <c r="O351" s="8" t="n"/>
    </row>
    <row r="352">
      <c r="A352" s="5" t="n">
        <v>350</v>
      </c>
      <c r="B352" s="5" t="inlineStr">
        <is>
          <t>华中-湖南</t>
        </is>
      </c>
      <c r="C352" s="5" t="inlineStr">
        <is>
          <t>国有企业</t>
        </is>
      </c>
      <c r="D352" s="6" t="inlineStr">
        <is>
          <t>HT20250801</t>
        </is>
      </c>
      <c r="E352" s="6" t="inlineStr">
        <is>
          <t>20260914</t>
        </is>
      </c>
      <c r="F352" s="10" t="n">
        <v>624.8390000000001</v>
      </c>
      <c r="G352" s="8" t="n"/>
      <c r="H352" s="10" t="n">
        <v>51.695</v>
      </c>
      <c r="I352" s="10" t="n">
        <v>573.144</v>
      </c>
      <c r="J352" s="10" t="n">
        <v>292.561</v>
      </c>
      <c r="K352" s="10" t="n">
        <v>280.583</v>
      </c>
      <c r="L352" s="8" t="inlineStr">
        <is>
          <t>九部</t>
        </is>
      </c>
      <c r="M352" s="8" t="inlineStr">
        <is>
          <t>蔡明</t>
        </is>
      </c>
      <c r="N352" s="8" t="inlineStr">
        <is>
          <t>1年以内</t>
        </is>
      </c>
      <c r="O352" s="8" t="n"/>
    </row>
    <row r="353">
      <c r="A353" s="5" t="n">
        <v>351</v>
      </c>
      <c r="B353" s="5" t="inlineStr">
        <is>
          <t>华中-河南</t>
        </is>
      </c>
      <c r="C353" s="5" t="inlineStr">
        <is>
          <t>党委机关</t>
        </is>
      </c>
      <c r="D353" s="6" t="inlineStr">
        <is>
          <t>HT20250801</t>
        </is>
      </c>
      <c r="E353" s="6" t="inlineStr">
        <is>
          <t>20260914</t>
        </is>
      </c>
      <c r="F353" s="10" t="n">
        <v>507.135</v>
      </c>
      <c r="G353" s="8" t="n"/>
      <c r="H353" s="10" t="n">
        <v>316.639</v>
      </c>
      <c r="I353" s="10" t="n">
        <v>190.496</v>
      </c>
      <c r="J353" s="10" t="n">
        <v>24.23</v>
      </c>
      <c r="K353" s="10" t="n">
        <v>166.266</v>
      </c>
      <c r="L353" s="8" t="inlineStr">
        <is>
          <t>九部</t>
        </is>
      </c>
      <c r="M353" s="8" t="inlineStr">
        <is>
          <t>蒋涛</t>
        </is>
      </c>
      <c r="N353" s="8" t="inlineStr">
        <is>
          <t>1-2年</t>
        </is>
      </c>
      <c r="O353" s="8" t="n"/>
    </row>
    <row r="354">
      <c r="A354" s="5" t="n">
        <v>352</v>
      </c>
      <c r="B354" s="5" t="inlineStr">
        <is>
          <t>华东-江西</t>
        </is>
      </c>
      <c r="C354" s="5" t="inlineStr">
        <is>
          <t>监察司法机关</t>
        </is>
      </c>
      <c r="D354" s="6" t="inlineStr">
        <is>
          <t>HT20250801</t>
        </is>
      </c>
      <c r="E354" s="6" t="inlineStr">
        <is>
          <t>20260914</t>
        </is>
      </c>
      <c r="F354" s="10" t="n">
        <v>6580.56</v>
      </c>
      <c r="G354" s="8" t="n"/>
      <c r="H354" s="10" t="n">
        <v>4259.061</v>
      </c>
      <c r="I354" s="10" t="n">
        <v>2321.499</v>
      </c>
      <c r="J354" s="10" t="n">
        <v>1559.675</v>
      </c>
      <c r="K354" s="10" t="n">
        <v>761.824</v>
      </c>
      <c r="L354" s="8" t="inlineStr">
        <is>
          <t>三部</t>
        </is>
      </c>
      <c r="M354" s="8" t="inlineStr">
        <is>
          <t>朱军</t>
        </is>
      </c>
      <c r="N354" s="8" t="inlineStr">
        <is>
          <t>1年以内</t>
        </is>
      </c>
      <c r="O354" s="8" t="n"/>
    </row>
    <row r="355">
      <c r="A355" s="5" t="n">
        <v>353</v>
      </c>
      <c r="B355" s="5" t="inlineStr">
        <is>
          <t>西南-四川</t>
        </is>
      </c>
      <c r="C355" s="5" t="inlineStr">
        <is>
          <t>基层自治组织</t>
        </is>
      </c>
      <c r="D355" s="6" t="inlineStr">
        <is>
          <t>HT20250801</t>
        </is>
      </c>
      <c r="E355" s="6" t="inlineStr">
        <is>
          <t>20260914</t>
        </is>
      </c>
      <c r="F355" s="10" t="n">
        <v>968.796</v>
      </c>
      <c r="G355" s="8" t="n"/>
      <c r="H355" s="10" t="n">
        <v>62.459</v>
      </c>
      <c r="I355" s="10" t="n">
        <v>906.337</v>
      </c>
      <c r="J355" s="10" t="n">
        <v>733.986</v>
      </c>
      <c r="K355" s="10" t="n">
        <v>172.351</v>
      </c>
      <c r="L355" s="8" t="inlineStr">
        <is>
          <t>五部</t>
        </is>
      </c>
      <c r="M355" s="8" t="inlineStr">
        <is>
          <t>韩梅</t>
        </is>
      </c>
      <c r="N355" s="8" t="inlineStr">
        <is>
          <t>1年以内</t>
        </is>
      </c>
      <c r="O355" s="8" t="n"/>
    </row>
    <row r="356">
      <c r="A356" s="5" t="n">
        <v>354</v>
      </c>
      <c r="B356" s="5" t="inlineStr">
        <is>
          <t>华中-河南</t>
        </is>
      </c>
      <c r="C356" s="5" t="inlineStr">
        <is>
          <t>群团组织</t>
        </is>
      </c>
      <c r="D356" s="6" t="inlineStr">
        <is>
          <t>HT20250802</t>
        </is>
      </c>
      <c r="E356" s="6" t="inlineStr">
        <is>
          <t>20260316</t>
        </is>
      </c>
      <c r="F356" s="10" t="n">
        <v>734.616</v>
      </c>
      <c r="G356" s="8" t="n"/>
      <c r="H356" s="10" t="n">
        <v>445.592</v>
      </c>
      <c r="I356" s="10" t="n">
        <v>289.024</v>
      </c>
      <c r="J356" s="10" t="n">
        <v>43.712</v>
      </c>
      <c r="K356" s="10" t="n">
        <v>245.312</v>
      </c>
      <c r="L356" s="8" t="inlineStr">
        <is>
          <t>七部</t>
        </is>
      </c>
      <c r="M356" s="8" t="inlineStr">
        <is>
          <t>沈刚</t>
        </is>
      </c>
      <c r="N356" s="8" t="inlineStr">
        <is>
          <t>1-2年</t>
        </is>
      </c>
      <c r="O356" s="8" t="n"/>
    </row>
    <row r="357">
      <c r="A357" s="5" t="n">
        <v>355</v>
      </c>
      <c r="B357" s="5" t="inlineStr">
        <is>
          <t>东北-辽宁</t>
        </is>
      </c>
      <c r="C357" s="5" t="inlineStr">
        <is>
          <t>党委机关</t>
        </is>
      </c>
      <c r="D357" s="6" t="inlineStr">
        <is>
          <t>HT20250802</t>
        </is>
      </c>
      <c r="E357" s="6" t="inlineStr">
        <is>
          <t>20260316</t>
        </is>
      </c>
      <c r="F357" s="10" t="n">
        <v>310.233</v>
      </c>
      <c r="G357" s="8" t="n"/>
      <c r="H357" s="10" t="n">
        <v>217.911</v>
      </c>
      <c r="I357" s="10" t="n">
        <v>92.322</v>
      </c>
      <c r="J357" s="10" t="n">
        <v>48.224</v>
      </c>
      <c r="K357" s="10" t="n">
        <v>44.098</v>
      </c>
      <c r="L357" s="8" t="inlineStr">
        <is>
          <t>七部</t>
        </is>
      </c>
      <c r="M357" s="8" t="inlineStr">
        <is>
          <t>傅蓉</t>
        </is>
      </c>
      <c r="N357" s="8" t="inlineStr">
        <is>
          <t>1年以内</t>
        </is>
      </c>
      <c r="O357" s="8" t="n"/>
    </row>
    <row r="358">
      <c r="A358" s="5" t="n">
        <v>356</v>
      </c>
      <c r="B358" s="5" t="inlineStr">
        <is>
          <t>西南-云南</t>
        </is>
      </c>
      <c r="C358" s="5" t="inlineStr">
        <is>
          <t>基层自治组织</t>
        </is>
      </c>
      <c r="D358" s="6" t="inlineStr">
        <is>
          <t>HT20250802</t>
        </is>
      </c>
      <c r="E358" s="6" t="inlineStr">
        <is>
          <t>20260316</t>
        </is>
      </c>
      <c r="F358" s="10" t="n">
        <v>128.82</v>
      </c>
      <c r="G358" s="8" t="n"/>
      <c r="H358" s="10" t="n">
        <v>68.521</v>
      </c>
      <c r="I358" s="10" t="n">
        <v>60.299</v>
      </c>
      <c r="J358" s="10" t="n">
        <v>33.647</v>
      </c>
      <c r="K358" s="10" t="n">
        <v>26.652</v>
      </c>
      <c r="L358" s="8" t="inlineStr">
        <is>
          <t>五部</t>
        </is>
      </c>
      <c r="M358" s="8" t="inlineStr">
        <is>
          <t>梁雪</t>
        </is>
      </c>
      <c r="N358" s="8" t="inlineStr">
        <is>
          <t>1年以内</t>
        </is>
      </c>
      <c r="O358" s="8" t="n"/>
    </row>
    <row r="359">
      <c r="A359" s="5" t="n">
        <v>357</v>
      </c>
      <c r="B359" s="5" t="inlineStr">
        <is>
          <t>西南-云南</t>
        </is>
      </c>
      <c r="C359" s="5" t="inlineStr">
        <is>
          <t>基层自治组织</t>
        </is>
      </c>
      <c r="D359" s="6" t="inlineStr">
        <is>
          <t>HT20250802</t>
        </is>
      </c>
      <c r="E359" s="6" t="inlineStr">
        <is>
          <t>20260316</t>
        </is>
      </c>
      <c r="F359" s="10" t="n">
        <v>875.521</v>
      </c>
      <c r="G359" s="8" t="n"/>
      <c r="H359" s="10" t="n">
        <v>220.463</v>
      </c>
      <c r="I359" s="10" t="n">
        <v>655.058</v>
      </c>
      <c r="J359" s="10" t="n">
        <v>117.179</v>
      </c>
      <c r="K359" s="10" t="n">
        <v>537.879</v>
      </c>
      <c r="L359" s="8" t="inlineStr">
        <is>
          <t>六部</t>
        </is>
      </c>
      <c r="M359" s="8" t="inlineStr">
        <is>
          <t>曹阳</t>
        </is>
      </c>
      <c r="N359" s="8" t="inlineStr">
        <is>
          <t>1年以内</t>
        </is>
      </c>
      <c r="O359" s="8" t="n"/>
    </row>
    <row r="360">
      <c r="A360" s="5" t="n">
        <v>358</v>
      </c>
      <c r="B360" s="5" t="inlineStr">
        <is>
          <t>西南-贵州</t>
        </is>
      </c>
      <c r="C360" s="5" t="inlineStr">
        <is>
          <t>事业单位</t>
        </is>
      </c>
      <c r="D360" s="6" t="inlineStr">
        <is>
          <t>HT20250805</t>
        </is>
      </c>
      <c r="E360" s="6" t="inlineStr">
        <is>
          <t>20260630</t>
        </is>
      </c>
      <c r="F360" s="10" t="n">
        <v>984.635</v>
      </c>
      <c r="G360" s="8" t="n"/>
      <c r="H360" s="10" t="n">
        <v>266.893</v>
      </c>
      <c r="I360" s="10" t="n">
        <v>717.742</v>
      </c>
      <c r="J360" s="10" t="n">
        <v>28.789</v>
      </c>
      <c r="K360" s="10" t="n">
        <v>688.953</v>
      </c>
      <c r="L360" s="8" t="inlineStr">
        <is>
          <t>九部</t>
        </is>
      </c>
      <c r="M360" s="8" t="inlineStr">
        <is>
          <t>蔡明</t>
        </is>
      </c>
      <c r="N360" s="8" t="inlineStr">
        <is>
          <t>1-2年</t>
        </is>
      </c>
      <c r="O360" s="8" t="n"/>
    </row>
    <row r="361">
      <c r="A361" s="5" t="n">
        <v>359</v>
      </c>
      <c r="B361" s="5" t="inlineStr">
        <is>
          <t>华中-湖南</t>
        </is>
      </c>
      <c r="C361" s="5" t="inlineStr">
        <is>
          <t>事业单位</t>
        </is>
      </c>
      <c r="D361" s="6" t="inlineStr">
        <is>
          <t>HT20250805</t>
        </is>
      </c>
      <c r="E361" s="6" t="inlineStr">
        <is>
          <t>20260630</t>
        </is>
      </c>
      <c r="F361" s="10" t="n">
        <v>25.54</v>
      </c>
      <c r="G361" s="8" t="n"/>
      <c r="H361" s="10" t="n">
        <v>24.561</v>
      </c>
      <c r="I361" s="10" t="n">
        <v>0.979</v>
      </c>
      <c r="J361" s="10" t="n">
        <v>0.856</v>
      </c>
      <c r="K361" s="10" t="n">
        <v>0.123</v>
      </c>
      <c r="L361" s="8" t="inlineStr">
        <is>
          <t>三部</t>
        </is>
      </c>
      <c r="M361" s="8" t="inlineStr">
        <is>
          <t>徐涛</t>
        </is>
      </c>
      <c r="N361" s="8" t="inlineStr">
        <is>
          <t>2-3年</t>
        </is>
      </c>
      <c r="O361" s="8" t="n"/>
    </row>
    <row r="362">
      <c r="A362" s="5" t="n">
        <v>360</v>
      </c>
      <c r="B362" s="5" t="inlineStr">
        <is>
          <t>东北-黑龙江</t>
        </is>
      </c>
      <c r="C362" s="5" t="inlineStr">
        <is>
          <t>监察司法机关</t>
        </is>
      </c>
      <c r="D362" s="6" t="inlineStr">
        <is>
          <t>HT20250807</t>
        </is>
      </c>
      <c r="E362" s="6" t="inlineStr">
        <is>
          <t>20260704</t>
        </is>
      </c>
      <c r="F362" s="10" t="n">
        <v>32.769</v>
      </c>
      <c r="G362" s="8" t="n"/>
      <c r="H362" s="10" t="n">
        <v>2.874</v>
      </c>
      <c r="I362" s="10" t="n">
        <v>29.895</v>
      </c>
      <c r="J362" s="10" t="n">
        <v>12.929</v>
      </c>
      <c r="K362" s="10" t="n">
        <v>16.966</v>
      </c>
      <c r="L362" s="8" t="inlineStr">
        <is>
          <t>三部</t>
        </is>
      </c>
      <c r="M362" s="8" t="inlineStr">
        <is>
          <t>胡蓉</t>
        </is>
      </c>
      <c r="N362" s="8" t="inlineStr">
        <is>
          <t>1年以内</t>
        </is>
      </c>
      <c r="O362" s="8" t="n"/>
    </row>
    <row r="363">
      <c r="A363" s="5" t="n">
        <v>361</v>
      </c>
      <c r="B363" s="5" t="inlineStr">
        <is>
          <t>华南-香港</t>
        </is>
      </c>
      <c r="C363" s="5" t="inlineStr">
        <is>
          <t>监察司法机关</t>
        </is>
      </c>
      <c r="D363" s="6" t="inlineStr">
        <is>
          <t>HT20250807</t>
        </is>
      </c>
      <c r="E363" s="6" t="inlineStr">
        <is>
          <t>20260704</t>
        </is>
      </c>
      <c r="F363" s="10" t="n">
        <v>193.086</v>
      </c>
      <c r="G363" s="8" t="n"/>
      <c r="H363" s="10" t="n">
        <v>127.952</v>
      </c>
      <c r="I363" s="10" t="n">
        <v>65.134</v>
      </c>
      <c r="J363" s="10" t="n">
        <v>61.207</v>
      </c>
      <c r="K363" s="10" t="n">
        <v>3.927</v>
      </c>
      <c r="L363" s="8" t="inlineStr">
        <is>
          <t>六部</t>
        </is>
      </c>
      <c r="M363" s="8" t="inlineStr">
        <is>
          <t>曹阳</t>
        </is>
      </c>
      <c r="N363" s="8" t="inlineStr">
        <is>
          <t>1年以内</t>
        </is>
      </c>
      <c r="O363" s="8" t="n"/>
    </row>
    <row r="364">
      <c r="A364" s="5" t="n">
        <v>362</v>
      </c>
      <c r="B364" s="5" t="inlineStr">
        <is>
          <t>东北-辽宁</t>
        </is>
      </c>
      <c r="C364" s="5" t="inlineStr">
        <is>
          <t>党委机关</t>
        </is>
      </c>
      <c r="D364" s="6" t="inlineStr">
        <is>
          <t>HT20250807</t>
        </is>
      </c>
      <c r="E364" s="6" t="inlineStr">
        <is>
          <t>20260704</t>
        </is>
      </c>
      <c r="F364" s="10" t="n">
        <v>577.408</v>
      </c>
      <c r="G364" s="8" t="n"/>
      <c r="H364" s="10" t="n">
        <v>371.743</v>
      </c>
      <c r="I364" s="10" t="n">
        <v>205.665</v>
      </c>
      <c r="J364" s="10" t="n">
        <v>7.795</v>
      </c>
      <c r="K364" s="10" t="n">
        <v>197.87</v>
      </c>
      <c r="L364" s="8" t="inlineStr">
        <is>
          <t>一部</t>
        </is>
      </c>
      <c r="M364" s="8" t="inlineStr">
        <is>
          <t>张伟</t>
        </is>
      </c>
      <c r="N364" s="8" t="inlineStr">
        <is>
          <t>1-2年</t>
        </is>
      </c>
      <c r="O364" s="8" t="n"/>
    </row>
    <row r="365">
      <c r="A365" s="5" t="n">
        <v>363</v>
      </c>
      <c r="B365" s="5" t="inlineStr">
        <is>
          <t>华南-香港</t>
        </is>
      </c>
      <c r="C365" s="5" t="inlineStr">
        <is>
          <t>基层自治组织</t>
        </is>
      </c>
      <c r="D365" s="6" t="inlineStr">
        <is>
          <t>HT20250809</t>
        </is>
      </c>
      <c r="E365" s="6" t="inlineStr">
        <is>
          <t>20260227</t>
        </is>
      </c>
      <c r="F365" s="10" t="n">
        <v>306.721</v>
      </c>
      <c r="G365" s="8" t="n"/>
      <c r="H365" s="10" t="n">
        <v>188.09</v>
      </c>
      <c r="I365" s="10" t="n">
        <v>118.631</v>
      </c>
      <c r="J365" s="10" t="n">
        <v>8.526999999999999</v>
      </c>
      <c r="K365" s="10" t="n">
        <v>110.104</v>
      </c>
      <c r="L365" s="8" t="inlineStr">
        <is>
          <t>四部</t>
        </is>
      </c>
      <c r="M365" s="8" t="inlineStr">
        <is>
          <t>何萍</t>
        </is>
      </c>
      <c r="N365" s="8" t="inlineStr">
        <is>
          <t>2-3年</t>
        </is>
      </c>
      <c r="O365" s="8" t="n"/>
    </row>
    <row r="366">
      <c r="A366" s="5" t="n">
        <v>364</v>
      </c>
      <c r="B366" s="5" t="inlineStr">
        <is>
          <t>西北-青海</t>
        </is>
      </c>
      <c r="C366" s="5" t="inlineStr">
        <is>
          <t>国有企业</t>
        </is>
      </c>
      <c r="D366" s="6" t="inlineStr">
        <is>
          <t>HT20250809</t>
        </is>
      </c>
      <c r="E366" s="6" t="inlineStr">
        <is>
          <t>20260227</t>
        </is>
      </c>
      <c r="F366" s="10" t="n">
        <v>739.752</v>
      </c>
      <c r="G366" s="8" t="n"/>
      <c r="H366" s="10" t="n">
        <v>418.827</v>
      </c>
      <c r="I366" s="10" t="n">
        <v>320.925</v>
      </c>
      <c r="J366" s="10" t="n">
        <v>222.033</v>
      </c>
      <c r="K366" s="10" t="n">
        <v>98.892</v>
      </c>
      <c r="L366" s="8" t="inlineStr">
        <is>
          <t>六部</t>
        </is>
      </c>
      <c r="M366" s="8" t="inlineStr">
        <is>
          <t>程琳</t>
        </is>
      </c>
      <c r="N366" s="8" t="inlineStr">
        <is>
          <t>1-2年</t>
        </is>
      </c>
      <c r="O366" s="8" t="n"/>
    </row>
    <row r="367">
      <c r="A367" s="5" t="n">
        <v>365</v>
      </c>
      <c r="B367" s="5" t="inlineStr">
        <is>
          <t>华中-湖北</t>
        </is>
      </c>
      <c r="C367" s="5" t="inlineStr">
        <is>
          <t>事业单位</t>
        </is>
      </c>
      <c r="D367" s="6" t="inlineStr">
        <is>
          <t>HT20250809</t>
        </is>
      </c>
      <c r="E367" s="6" t="inlineStr">
        <is>
          <t>20260227</t>
        </is>
      </c>
      <c r="F367" s="10" t="n">
        <v>611.638</v>
      </c>
      <c r="G367" s="8" t="n"/>
      <c r="H367" s="10" t="n">
        <v>248.458</v>
      </c>
      <c r="I367" s="10" t="n">
        <v>363.18</v>
      </c>
      <c r="J367" s="10" t="n">
        <v>208.471</v>
      </c>
      <c r="K367" s="10" t="n">
        <v>154.709</v>
      </c>
      <c r="L367" s="8" t="inlineStr">
        <is>
          <t>五部</t>
        </is>
      </c>
      <c r="M367" s="8" t="inlineStr">
        <is>
          <t>梁雪</t>
        </is>
      </c>
      <c r="N367" s="8" t="inlineStr">
        <is>
          <t>2-3年</t>
        </is>
      </c>
      <c r="O367" s="8" t="n"/>
    </row>
    <row r="368">
      <c r="A368" s="5" t="n">
        <v>366</v>
      </c>
      <c r="B368" s="5" t="inlineStr">
        <is>
          <t>华东-安徽</t>
        </is>
      </c>
      <c r="C368" s="5" t="inlineStr">
        <is>
          <t>政府机关</t>
        </is>
      </c>
      <c r="D368" s="6" t="inlineStr">
        <is>
          <t>HT20250809</t>
        </is>
      </c>
      <c r="E368" s="6" t="inlineStr">
        <is>
          <t>20260227</t>
        </is>
      </c>
      <c r="F368" s="10" t="n">
        <v>634.591</v>
      </c>
      <c r="G368" s="8" t="n"/>
      <c r="H368" s="10" t="n">
        <v>565.997</v>
      </c>
      <c r="I368" s="10" t="n">
        <v>68.59399999999999</v>
      </c>
      <c r="J368" s="10" t="n">
        <v>25.839</v>
      </c>
      <c r="K368" s="10" t="n">
        <v>42.755</v>
      </c>
      <c r="L368" s="8" t="inlineStr">
        <is>
          <t>九部</t>
        </is>
      </c>
      <c r="M368" s="8" t="inlineStr">
        <is>
          <t>贾静</t>
        </is>
      </c>
      <c r="N368" s="8" t="inlineStr">
        <is>
          <t>1年以内</t>
        </is>
      </c>
      <c r="O368" s="8" t="n"/>
    </row>
    <row r="369">
      <c r="A369" s="5" t="n">
        <v>367</v>
      </c>
      <c r="B369" s="5" t="inlineStr">
        <is>
          <t>华中-河南</t>
        </is>
      </c>
      <c r="C369" s="5" t="inlineStr">
        <is>
          <t>基层自治组织</t>
        </is>
      </c>
      <c r="D369" s="6" t="inlineStr">
        <is>
          <t>HT20250810</t>
        </is>
      </c>
      <c r="E369" s="6" t="inlineStr">
        <is>
          <t>20260420</t>
        </is>
      </c>
      <c r="F369" s="10" t="n">
        <v>227.677</v>
      </c>
      <c r="G369" s="8" t="n"/>
      <c r="H369" s="10" t="n">
        <v>187.45</v>
      </c>
      <c r="I369" s="10" t="n">
        <v>40.227</v>
      </c>
      <c r="J369" s="10" t="n">
        <v>33.899</v>
      </c>
      <c r="K369" s="10" t="n">
        <v>6.328</v>
      </c>
      <c r="L369" s="8" t="inlineStr">
        <is>
          <t>二部</t>
        </is>
      </c>
      <c r="M369" s="8" t="inlineStr">
        <is>
          <t>杨磊</t>
        </is>
      </c>
      <c r="N369" s="8" t="inlineStr">
        <is>
          <t>1-2年</t>
        </is>
      </c>
      <c r="O369" s="8" t="n"/>
    </row>
    <row r="370">
      <c r="A370" s="5" t="n">
        <v>368</v>
      </c>
      <c r="B370" s="5" t="inlineStr">
        <is>
          <t>华中-湖北</t>
        </is>
      </c>
      <c r="C370" s="5" t="inlineStr">
        <is>
          <t>党委机关</t>
        </is>
      </c>
      <c r="D370" s="6" t="inlineStr">
        <is>
          <t>HT20250811</t>
        </is>
      </c>
      <c r="E370" s="6" t="inlineStr">
        <is>
          <t>20260818</t>
        </is>
      </c>
      <c r="F370" s="10" t="n">
        <v>927.958</v>
      </c>
      <c r="G370" s="8" t="n"/>
      <c r="H370" s="10" t="n">
        <v>414.415</v>
      </c>
      <c r="I370" s="10" t="n">
        <v>513.543</v>
      </c>
      <c r="J370" s="10" t="n">
        <v>33.543</v>
      </c>
      <c r="K370" s="10" t="n">
        <v>480</v>
      </c>
      <c r="L370" s="8" t="inlineStr">
        <is>
          <t>三部</t>
        </is>
      </c>
      <c r="M370" s="8" t="inlineStr">
        <is>
          <t>朱军</t>
        </is>
      </c>
      <c r="N370" s="8" t="inlineStr">
        <is>
          <t>1年以内</t>
        </is>
      </c>
      <c r="O370" s="8" t="n"/>
    </row>
    <row r="371">
      <c r="A371" s="5" t="n">
        <v>369</v>
      </c>
      <c r="B371" s="5" t="inlineStr">
        <is>
          <t>华北-天津</t>
        </is>
      </c>
      <c r="C371" s="5" t="inlineStr">
        <is>
          <t>基层自治组织</t>
        </is>
      </c>
      <c r="D371" s="6" t="inlineStr">
        <is>
          <t>HT20250812</t>
        </is>
      </c>
      <c r="E371" s="6" t="inlineStr">
        <is>
          <t>20260820</t>
        </is>
      </c>
      <c r="F371" s="10" t="n">
        <v>291.555</v>
      </c>
      <c r="G371" s="8" t="n"/>
      <c r="H371" s="10" t="n">
        <v>80.003</v>
      </c>
      <c r="I371" s="10" t="n">
        <v>211.552</v>
      </c>
      <c r="J371" s="10" t="n">
        <v>1.892</v>
      </c>
      <c r="K371" s="10" t="n">
        <v>209.66</v>
      </c>
      <c r="L371" s="8" t="inlineStr">
        <is>
          <t>九部</t>
        </is>
      </c>
      <c r="M371" s="8" t="inlineStr">
        <is>
          <t>魏红</t>
        </is>
      </c>
      <c r="N371" s="8" t="inlineStr">
        <is>
          <t>1年以内</t>
        </is>
      </c>
      <c r="O371" s="8" t="n"/>
    </row>
    <row r="372">
      <c r="A372" s="5" t="n">
        <v>370</v>
      </c>
      <c r="B372" s="5" t="inlineStr">
        <is>
          <t>华南-香港</t>
        </is>
      </c>
      <c r="C372" s="5" t="inlineStr">
        <is>
          <t>党委机关</t>
        </is>
      </c>
      <c r="D372" s="6" t="inlineStr">
        <is>
          <t>HT20250812</t>
        </is>
      </c>
      <c r="E372" s="6" t="inlineStr">
        <is>
          <t>20260820</t>
        </is>
      </c>
      <c r="F372" s="10" t="n">
        <v>834.115</v>
      </c>
      <c r="G372" s="8" t="n"/>
      <c r="H372" s="10" t="n">
        <v>229.883</v>
      </c>
      <c r="I372" s="10" t="n">
        <v>604.232</v>
      </c>
      <c r="J372" s="10" t="n">
        <v>14.119</v>
      </c>
      <c r="K372" s="10" t="n">
        <v>590.1130000000001</v>
      </c>
      <c r="L372" s="8" t="inlineStr">
        <is>
          <t>三部</t>
        </is>
      </c>
      <c r="M372" s="8" t="inlineStr">
        <is>
          <t>马超</t>
        </is>
      </c>
      <c r="N372" s="8" t="inlineStr">
        <is>
          <t>1-2年</t>
        </is>
      </c>
      <c r="O372" s="8" t="n"/>
    </row>
    <row r="373">
      <c r="A373" s="5" t="n">
        <v>371</v>
      </c>
      <c r="B373" s="5" t="inlineStr">
        <is>
          <t>华北-北京</t>
        </is>
      </c>
      <c r="C373" s="5" t="inlineStr">
        <is>
          <t>事业单位</t>
        </is>
      </c>
      <c r="D373" s="6" t="inlineStr">
        <is>
          <t>HT20250812</t>
        </is>
      </c>
      <c r="E373" s="6" t="inlineStr">
        <is>
          <t>20260820</t>
        </is>
      </c>
      <c r="F373" s="10" t="n">
        <v>332.206</v>
      </c>
      <c r="G373" s="8" t="n"/>
      <c r="H373" s="10" t="n">
        <v>225.912</v>
      </c>
      <c r="I373" s="10" t="n">
        <v>106.294</v>
      </c>
      <c r="J373" s="10" t="n">
        <v>37.273</v>
      </c>
      <c r="K373" s="10" t="n">
        <v>69.021</v>
      </c>
      <c r="L373" s="8" t="inlineStr">
        <is>
          <t>二部</t>
        </is>
      </c>
      <c r="M373" s="8" t="inlineStr">
        <is>
          <t>吴丽</t>
        </is>
      </c>
      <c r="N373" s="8" t="inlineStr">
        <is>
          <t>1-2年</t>
        </is>
      </c>
      <c r="O373" s="8" t="n"/>
    </row>
    <row r="374">
      <c r="A374" s="5" t="n">
        <v>372</v>
      </c>
      <c r="B374" s="5" t="inlineStr">
        <is>
          <t>华东-安徽</t>
        </is>
      </c>
      <c r="C374" s="5" t="inlineStr">
        <is>
          <t>人大政协</t>
        </is>
      </c>
      <c r="D374" s="6" t="inlineStr">
        <is>
          <t>HT20250813</t>
        </is>
      </c>
      <c r="E374" s="6" t="inlineStr">
        <is>
          <t>20251217</t>
        </is>
      </c>
      <c r="F374" s="10" t="n">
        <v>686.379</v>
      </c>
      <c r="G374" s="8" t="n"/>
      <c r="H374" s="10" t="n">
        <v>274.94</v>
      </c>
      <c r="I374" s="10" t="n">
        <v>411.439</v>
      </c>
      <c r="J374" s="10" t="n">
        <v>244.51</v>
      </c>
      <c r="K374" s="10" t="n">
        <v>166.929</v>
      </c>
      <c r="L374" s="8" t="inlineStr">
        <is>
          <t>三部</t>
        </is>
      </c>
      <c r="M374" s="8" t="inlineStr">
        <is>
          <t>马超</t>
        </is>
      </c>
      <c r="N374" s="8" t="inlineStr">
        <is>
          <t>1年以内</t>
        </is>
      </c>
      <c r="O374" s="8" t="n"/>
    </row>
    <row r="375">
      <c r="A375" s="5" t="n">
        <v>373</v>
      </c>
      <c r="B375" s="5" t="inlineStr">
        <is>
          <t>华南-广西</t>
        </is>
      </c>
      <c r="C375" s="5" t="inlineStr">
        <is>
          <t>政府机关</t>
        </is>
      </c>
      <c r="D375" s="6" t="inlineStr">
        <is>
          <t>HT20250813</t>
        </is>
      </c>
      <c r="E375" s="6" t="inlineStr">
        <is>
          <t>20251217</t>
        </is>
      </c>
      <c r="F375" s="10" t="n">
        <v>425.2</v>
      </c>
      <c r="G375" s="8" t="n"/>
      <c r="H375" s="10" t="n">
        <v>181.637</v>
      </c>
      <c r="I375" s="10" t="n">
        <v>243.563</v>
      </c>
      <c r="J375" s="10" t="n">
        <v>2.921</v>
      </c>
      <c r="K375" s="10" t="n">
        <v>240.642</v>
      </c>
      <c r="L375" s="8" t="inlineStr">
        <is>
          <t>三部</t>
        </is>
      </c>
      <c r="M375" s="8" t="inlineStr">
        <is>
          <t>朱军</t>
        </is>
      </c>
      <c r="N375" s="8" t="inlineStr">
        <is>
          <t>1年以内</t>
        </is>
      </c>
      <c r="O375" s="8" t="n"/>
    </row>
    <row r="376">
      <c r="A376" s="5" t="n">
        <v>374</v>
      </c>
      <c r="B376" s="5" t="inlineStr">
        <is>
          <t>华东-山东</t>
        </is>
      </c>
      <c r="C376" s="5" t="inlineStr">
        <is>
          <t>事业单位</t>
        </is>
      </c>
      <c r="D376" s="6" t="inlineStr">
        <is>
          <t>HT20250813</t>
        </is>
      </c>
      <c r="E376" s="6" t="inlineStr">
        <is>
          <t>20251217</t>
        </is>
      </c>
      <c r="F376" s="10" t="n">
        <v>439.774</v>
      </c>
      <c r="G376" s="8" t="n"/>
      <c r="H376" s="10" t="n">
        <v>74.49299999999999</v>
      </c>
      <c r="I376" s="10" t="n">
        <v>365.281</v>
      </c>
      <c r="J376" s="10" t="n">
        <v>100.942</v>
      </c>
      <c r="K376" s="10" t="n">
        <v>264.339</v>
      </c>
      <c r="L376" s="8" t="inlineStr">
        <is>
          <t>十部</t>
        </is>
      </c>
      <c r="M376" s="8" t="inlineStr">
        <is>
          <t>阎莉</t>
        </is>
      </c>
      <c r="N376" s="8" t="inlineStr">
        <is>
          <t>2-3年</t>
        </is>
      </c>
      <c r="O376" s="8" t="n"/>
    </row>
    <row r="377">
      <c r="A377" s="5" t="n">
        <v>375</v>
      </c>
      <c r="B377" s="5" t="inlineStr">
        <is>
          <t>华东-上海</t>
        </is>
      </c>
      <c r="C377" s="5" t="inlineStr">
        <is>
          <t>事业单位</t>
        </is>
      </c>
      <c r="D377" s="6" t="inlineStr">
        <is>
          <t>HT20250813</t>
        </is>
      </c>
      <c r="E377" s="6" t="inlineStr">
        <is>
          <t>20251217</t>
        </is>
      </c>
      <c r="F377" s="10" t="n">
        <v>249.12</v>
      </c>
      <c r="G377" s="8" t="n"/>
      <c r="H377" s="10" t="n">
        <v>24.316</v>
      </c>
      <c r="I377" s="10" t="n">
        <v>224.804</v>
      </c>
      <c r="J377" s="10" t="n">
        <v>106.877</v>
      </c>
      <c r="K377" s="10" t="n">
        <v>117.927</v>
      </c>
      <c r="L377" s="8" t="inlineStr">
        <is>
          <t>三部</t>
        </is>
      </c>
      <c r="M377" s="8" t="inlineStr">
        <is>
          <t>朱军</t>
        </is>
      </c>
      <c r="N377" s="8" t="inlineStr">
        <is>
          <t>1-2年</t>
        </is>
      </c>
      <c r="O377" s="8" t="n"/>
    </row>
    <row r="378">
      <c r="A378" s="5" t="n">
        <v>376</v>
      </c>
      <c r="B378" s="5" t="inlineStr">
        <is>
          <t>西南-云南</t>
        </is>
      </c>
      <c r="C378" s="5" t="inlineStr">
        <is>
          <t>监察司法机关</t>
        </is>
      </c>
      <c r="D378" s="6" t="inlineStr">
        <is>
          <t>HT20250813</t>
        </is>
      </c>
      <c r="E378" s="6" t="inlineStr">
        <is>
          <t>20251217</t>
        </is>
      </c>
      <c r="F378" s="10" t="n">
        <v>624.9690000000001</v>
      </c>
      <c r="G378" s="8" t="n"/>
      <c r="H378" s="10" t="n">
        <v>265.974</v>
      </c>
      <c r="I378" s="10" t="n">
        <v>358.995</v>
      </c>
      <c r="J378" s="10" t="n">
        <v>164.68</v>
      </c>
      <c r="K378" s="10" t="n">
        <v>194.315</v>
      </c>
      <c r="L378" s="8" t="inlineStr">
        <is>
          <t>十部</t>
        </is>
      </c>
      <c r="M378" s="8" t="inlineStr">
        <is>
          <t>侯敏</t>
        </is>
      </c>
      <c r="N378" s="8" t="inlineStr">
        <is>
          <t>2-3年</t>
        </is>
      </c>
      <c r="O378" s="8" t="n"/>
    </row>
    <row r="379">
      <c r="A379" s="5" t="n">
        <v>377</v>
      </c>
      <c r="B379" s="5" t="inlineStr">
        <is>
          <t>华东-台湾</t>
        </is>
      </c>
      <c r="C379" s="5" t="inlineStr">
        <is>
          <t>政府机关</t>
        </is>
      </c>
      <c r="D379" s="6" t="inlineStr">
        <is>
          <t>HT20250814</t>
        </is>
      </c>
      <c r="E379" s="6" t="inlineStr">
        <is>
          <t>20260817</t>
        </is>
      </c>
      <c r="F379" s="10" t="n">
        <v>707.604</v>
      </c>
      <c r="G379" s="8" t="n"/>
      <c r="H379" s="10" t="n">
        <v>32.672</v>
      </c>
      <c r="I379" s="10" t="n">
        <v>674.932</v>
      </c>
      <c r="J379" s="10" t="n">
        <v>270.216</v>
      </c>
      <c r="K379" s="10" t="n">
        <v>404.716</v>
      </c>
      <c r="L379" s="8" t="inlineStr">
        <is>
          <t>六部</t>
        </is>
      </c>
      <c r="M379" s="8" t="inlineStr">
        <is>
          <t>程琳</t>
        </is>
      </c>
      <c r="N379" s="8" t="inlineStr">
        <is>
          <t>1-2年</t>
        </is>
      </c>
      <c r="O379" s="8" t="n"/>
    </row>
    <row r="380">
      <c r="A380" s="5" t="n">
        <v>378</v>
      </c>
      <c r="B380" s="5" t="inlineStr">
        <is>
          <t>华东-安徽</t>
        </is>
      </c>
      <c r="C380" s="5" t="inlineStr">
        <is>
          <t>监察司法机关</t>
        </is>
      </c>
      <c r="D380" s="6" t="inlineStr">
        <is>
          <t>HT20250814</t>
        </is>
      </c>
      <c r="E380" s="6" t="inlineStr">
        <is>
          <t>20260817</t>
        </is>
      </c>
      <c r="F380" s="10" t="n">
        <v>671.755</v>
      </c>
      <c r="G380" s="8" t="n"/>
      <c r="H380" s="10" t="n">
        <v>179.059</v>
      </c>
      <c r="I380" s="10" t="n">
        <v>492.696</v>
      </c>
      <c r="J380" s="10" t="n">
        <v>139.803</v>
      </c>
      <c r="K380" s="10" t="n">
        <v>352.893</v>
      </c>
      <c r="L380" s="8" t="inlineStr">
        <is>
          <t>一部</t>
        </is>
      </c>
      <c r="M380" s="8" t="inlineStr">
        <is>
          <t>张伟</t>
        </is>
      </c>
      <c r="N380" s="8" t="inlineStr">
        <is>
          <t>2-3年</t>
        </is>
      </c>
      <c r="O380" s="8" t="n"/>
    </row>
    <row r="381">
      <c r="A381" s="5" t="n">
        <v>379</v>
      </c>
      <c r="B381" s="5" t="inlineStr">
        <is>
          <t>西南-贵州</t>
        </is>
      </c>
      <c r="C381" s="5" t="inlineStr">
        <is>
          <t>人大政协</t>
        </is>
      </c>
      <c r="D381" s="6" t="inlineStr">
        <is>
          <t>HT20250815</t>
        </is>
      </c>
      <c r="E381" s="6" t="inlineStr">
        <is>
          <t>20260602</t>
        </is>
      </c>
      <c r="F381" s="10" t="n">
        <v>439.122</v>
      </c>
      <c r="G381" s="8" t="n"/>
      <c r="H381" s="10" t="n">
        <v>53.437</v>
      </c>
      <c r="I381" s="10" t="n">
        <v>385.685</v>
      </c>
      <c r="J381" s="10" t="n">
        <v>229.23</v>
      </c>
      <c r="K381" s="10" t="n">
        <v>156.455</v>
      </c>
      <c r="L381" s="8" t="inlineStr">
        <is>
          <t>七部</t>
        </is>
      </c>
      <c r="M381" s="8" t="inlineStr">
        <is>
          <t>许涛</t>
        </is>
      </c>
      <c r="N381" s="8" t="inlineStr">
        <is>
          <t>1年以内</t>
        </is>
      </c>
      <c r="O381" s="8" t="n"/>
    </row>
    <row r="382">
      <c r="A382" s="5" t="n">
        <v>380</v>
      </c>
      <c r="B382" s="5" t="inlineStr">
        <is>
          <t>华南-澳门</t>
        </is>
      </c>
      <c r="C382" s="5" t="inlineStr">
        <is>
          <t>事业单位</t>
        </is>
      </c>
      <c r="D382" s="6" t="inlineStr">
        <is>
          <t>HT20250815</t>
        </is>
      </c>
      <c r="E382" s="6" t="inlineStr">
        <is>
          <t>20260602</t>
        </is>
      </c>
      <c r="F382" s="10" t="n">
        <v>993.17</v>
      </c>
      <c r="G382" s="8" t="n"/>
      <c r="H382" s="10" t="n">
        <v>503.321</v>
      </c>
      <c r="I382" s="10" t="n">
        <v>489.849</v>
      </c>
      <c r="J382" s="10" t="n">
        <v>193.491</v>
      </c>
      <c r="K382" s="10" t="n">
        <v>296.358</v>
      </c>
      <c r="L382" s="8" t="inlineStr">
        <is>
          <t>五部</t>
        </is>
      </c>
      <c r="M382" s="8" t="inlineStr">
        <is>
          <t>韩梅</t>
        </is>
      </c>
      <c r="N382" s="8" t="inlineStr">
        <is>
          <t>1-2年</t>
        </is>
      </c>
      <c r="O382" s="8" t="n"/>
    </row>
    <row r="383">
      <c r="A383" s="5" t="n">
        <v>381</v>
      </c>
      <c r="B383" s="5" t="inlineStr">
        <is>
          <t>华东-上海</t>
        </is>
      </c>
      <c r="C383" s="5" t="inlineStr">
        <is>
          <t>人大政协</t>
        </is>
      </c>
      <c r="D383" s="6" t="inlineStr">
        <is>
          <t>HT20250816</t>
        </is>
      </c>
      <c r="E383" s="6" t="inlineStr">
        <is>
          <t>20260515</t>
        </is>
      </c>
      <c r="F383" s="10" t="n">
        <v>898.8819999999999</v>
      </c>
      <c r="G383" s="8" t="n"/>
      <c r="H383" s="10" t="n">
        <v>79.69499999999999</v>
      </c>
      <c r="I383" s="10" t="n">
        <v>819.187</v>
      </c>
      <c r="J383" s="10" t="n">
        <v>36.884</v>
      </c>
      <c r="K383" s="10" t="n">
        <v>782.303</v>
      </c>
      <c r="L383" s="8" t="inlineStr">
        <is>
          <t>三部</t>
        </is>
      </c>
      <c r="M383" s="8" t="inlineStr">
        <is>
          <t>孙艳</t>
        </is>
      </c>
      <c r="N383" s="8" t="inlineStr">
        <is>
          <t>2-3年</t>
        </is>
      </c>
      <c r="O383" s="8" t="n"/>
    </row>
    <row r="384">
      <c r="A384" s="5" t="n">
        <v>382</v>
      </c>
      <c r="B384" s="5" t="inlineStr">
        <is>
          <t>西南-云南</t>
        </is>
      </c>
      <c r="C384" s="5" t="inlineStr">
        <is>
          <t>事业单位</t>
        </is>
      </c>
      <c r="D384" s="6" t="inlineStr">
        <is>
          <t>HT20250819</t>
        </is>
      </c>
      <c r="E384" s="6" t="inlineStr">
        <is>
          <t>20260909</t>
        </is>
      </c>
      <c r="F384" s="10" t="n">
        <v>510.805</v>
      </c>
      <c r="G384" s="8" t="n"/>
      <c r="H384" s="10" t="n">
        <v>382.232</v>
      </c>
      <c r="I384" s="10" t="n">
        <v>128.573</v>
      </c>
      <c r="J384" s="10" t="n">
        <v>44.748</v>
      </c>
      <c r="K384" s="10" t="n">
        <v>83.825</v>
      </c>
      <c r="L384" s="8" t="inlineStr">
        <is>
          <t>七部</t>
        </is>
      </c>
      <c r="M384" s="8" t="inlineStr">
        <is>
          <t>许涛</t>
        </is>
      </c>
      <c r="N384" s="8" t="inlineStr">
        <is>
          <t>2-3年</t>
        </is>
      </c>
      <c r="O384" s="8" t="n"/>
    </row>
    <row r="385">
      <c r="A385" s="5" t="n">
        <v>383</v>
      </c>
      <c r="B385" s="5" t="inlineStr">
        <is>
          <t>西南-重庆</t>
        </is>
      </c>
      <c r="C385" s="5" t="inlineStr">
        <is>
          <t>监察司法机关</t>
        </is>
      </c>
      <c r="D385" s="6" t="inlineStr">
        <is>
          <t>HT20250820</t>
        </is>
      </c>
      <c r="E385" s="6" t="inlineStr">
        <is>
          <t>20260703</t>
        </is>
      </c>
      <c r="F385" s="10" t="n">
        <v>551.145</v>
      </c>
      <c r="G385" s="8" t="n"/>
      <c r="H385" s="10" t="n">
        <v>121.33</v>
      </c>
      <c r="I385" s="10" t="n">
        <v>429.815</v>
      </c>
      <c r="J385" s="10" t="n">
        <v>217.932</v>
      </c>
      <c r="K385" s="10" t="n">
        <v>211.883</v>
      </c>
      <c r="L385" s="8" t="inlineStr">
        <is>
          <t>三部</t>
        </is>
      </c>
      <c r="M385" s="8" t="inlineStr">
        <is>
          <t>孙艳</t>
        </is>
      </c>
      <c r="N385" s="8" t="inlineStr">
        <is>
          <t>1-2年</t>
        </is>
      </c>
      <c r="O385" s="8" t="n"/>
    </row>
    <row r="386">
      <c r="A386" s="5" t="n">
        <v>384</v>
      </c>
      <c r="B386" s="5" t="inlineStr">
        <is>
          <t>西北-宁夏</t>
        </is>
      </c>
      <c r="C386" s="5" t="inlineStr">
        <is>
          <t>人大政协</t>
        </is>
      </c>
      <c r="D386" s="6" t="inlineStr">
        <is>
          <t>HT20250820</t>
        </is>
      </c>
      <c r="E386" s="6" t="inlineStr">
        <is>
          <t>20260703</t>
        </is>
      </c>
      <c r="F386" s="10" t="n">
        <v>128.164</v>
      </c>
      <c r="G386" s="8" t="n"/>
      <c r="H386" s="10" t="n">
        <v>78.932</v>
      </c>
      <c r="I386" s="10" t="n">
        <v>49.232</v>
      </c>
      <c r="J386" s="10" t="n">
        <v>37.246</v>
      </c>
      <c r="K386" s="10" t="n">
        <v>11.986</v>
      </c>
      <c r="L386" s="8" t="inlineStr">
        <is>
          <t>四部</t>
        </is>
      </c>
      <c r="M386" s="8" t="inlineStr">
        <is>
          <t>何萍</t>
        </is>
      </c>
      <c r="N386" s="8" t="inlineStr">
        <is>
          <t>2-3年</t>
        </is>
      </c>
      <c r="O386" s="8" t="n"/>
    </row>
    <row r="387">
      <c r="A387" s="5" t="n">
        <v>385</v>
      </c>
      <c r="B387" s="5" t="inlineStr">
        <is>
          <t>西北-陕西</t>
        </is>
      </c>
      <c r="C387" s="5" t="inlineStr">
        <is>
          <t>事业单位</t>
        </is>
      </c>
      <c r="D387" s="6" t="inlineStr">
        <is>
          <t>HT20250820</t>
        </is>
      </c>
      <c r="E387" s="6" t="inlineStr">
        <is>
          <t>20260703</t>
        </is>
      </c>
      <c r="F387" s="10" t="n">
        <v>797.285</v>
      </c>
      <c r="G387" s="8" t="n"/>
      <c r="H387" s="10" t="n">
        <v>399.967</v>
      </c>
      <c r="I387" s="10" t="n">
        <v>397.318</v>
      </c>
      <c r="J387" s="10" t="n">
        <v>81.197</v>
      </c>
      <c r="K387" s="10" t="n">
        <v>316.121</v>
      </c>
      <c r="L387" s="8" t="inlineStr">
        <is>
          <t>六部</t>
        </is>
      </c>
      <c r="M387" s="8" t="inlineStr">
        <is>
          <t>冯倩</t>
        </is>
      </c>
      <c r="N387" s="8" t="inlineStr">
        <is>
          <t>1年以内</t>
        </is>
      </c>
      <c r="O387" s="8" t="n"/>
    </row>
    <row r="388">
      <c r="A388" s="5" t="n">
        <v>386</v>
      </c>
      <c r="B388" s="5" t="inlineStr">
        <is>
          <t>东北-辽宁</t>
        </is>
      </c>
      <c r="C388" s="5" t="inlineStr">
        <is>
          <t>政府机关</t>
        </is>
      </c>
      <c r="D388" s="6" t="inlineStr">
        <is>
          <t>HT20250822</t>
        </is>
      </c>
      <c r="E388" s="6" t="inlineStr">
        <is>
          <t>20260529</t>
        </is>
      </c>
      <c r="F388" s="10" t="n">
        <v>412.539</v>
      </c>
      <c r="G388" s="8" t="n"/>
      <c r="H388" s="10" t="n">
        <v>302.906</v>
      </c>
      <c r="I388" s="10" t="n">
        <v>109.633</v>
      </c>
      <c r="J388" s="10" t="n">
        <v>51.177</v>
      </c>
      <c r="K388" s="10" t="n">
        <v>58.456</v>
      </c>
      <c r="L388" s="8" t="inlineStr">
        <is>
          <t>二部</t>
        </is>
      </c>
      <c r="M388" s="8" t="inlineStr">
        <is>
          <t>杨磊</t>
        </is>
      </c>
      <c r="N388" s="8" t="inlineStr">
        <is>
          <t>1年以内</t>
        </is>
      </c>
      <c r="O388" s="8" t="n"/>
    </row>
    <row r="389">
      <c r="A389" s="5" t="n">
        <v>387</v>
      </c>
      <c r="B389" s="5" t="inlineStr">
        <is>
          <t>华南-广东</t>
        </is>
      </c>
      <c r="C389" s="5" t="inlineStr">
        <is>
          <t>党委机关</t>
        </is>
      </c>
      <c r="D389" s="6" t="inlineStr">
        <is>
          <t>HT20250822</t>
        </is>
      </c>
      <c r="E389" s="6" t="inlineStr">
        <is>
          <t>20260529</t>
        </is>
      </c>
      <c r="F389" s="10" t="n">
        <v>240.059</v>
      </c>
      <c r="G389" s="8" t="n"/>
      <c r="H389" s="10" t="n">
        <v>153.26</v>
      </c>
      <c r="I389" s="10" t="n">
        <v>86.79900000000001</v>
      </c>
      <c r="J389" s="10" t="n">
        <v>5.358</v>
      </c>
      <c r="K389" s="10" t="n">
        <v>81.441</v>
      </c>
      <c r="L389" s="8" t="inlineStr">
        <is>
          <t>四部</t>
        </is>
      </c>
      <c r="M389" s="8" t="inlineStr">
        <is>
          <t>何萍</t>
        </is>
      </c>
      <c r="N389" s="8" t="inlineStr">
        <is>
          <t>1年以内</t>
        </is>
      </c>
      <c r="O389" s="8" t="n"/>
    </row>
    <row r="390">
      <c r="A390" s="5" t="n">
        <v>388</v>
      </c>
      <c r="B390" s="5" t="inlineStr">
        <is>
          <t>华东-浙江</t>
        </is>
      </c>
      <c r="C390" s="5" t="inlineStr">
        <is>
          <t>群团组织</t>
        </is>
      </c>
      <c r="D390" s="6" t="inlineStr">
        <is>
          <t>HT20250822</t>
        </is>
      </c>
      <c r="E390" s="6" t="inlineStr">
        <is>
          <t>20260529</t>
        </is>
      </c>
      <c r="F390" s="10" t="n">
        <v>8767.218999999999</v>
      </c>
      <c r="G390" s="8" t="n"/>
      <c r="H390" s="10" t="n">
        <v>1624.333</v>
      </c>
      <c r="I390" s="10" t="n">
        <v>7142.886</v>
      </c>
      <c r="J390" s="10" t="n">
        <v>6650.304</v>
      </c>
      <c r="K390" s="10" t="n">
        <v>492.582</v>
      </c>
      <c r="L390" s="8" t="inlineStr">
        <is>
          <t>七部</t>
        </is>
      </c>
      <c r="M390" s="8" t="inlineStr">
        <is>
          <t>傅蓉</t>
        </is>
      </c>
      <c r="N390" s="8" t="inlineStr">
        <is>
          <t>2-3年</t>
        </is>
      </c>
      <c r="O390" s="8" t="n"/>
    </row>
    <row r="391">
      <c r="A391" s="5" t="n">
        <v>389</v>
      </c>
      <c r="B391" s="5" t="inlineStr">
        <is>
          <t>西南-重庆</t>
        </is>
      </c>
      <c r="C391" s="5" t="inlineStr">
        <is>
          <t>群团组织</t>
        </is>
      </c>
      <c r="D391" s="6" t="inlineStr">
        <is>
          <t>HT20250822</t>
        </is>
      </c>
      <c r="E391" s="6" t="inlineStr">
        <is>
          <t>20260529</t>
        </is>
      </c>
      <c r="F391" s="10" t="n">
        <v>2105.396</v>
      </c>
      <c r="G391" s="8" t="n"/>
      <c r="H391" s="10" t="n">
        <v>593.158</v>
      </c>
      <c r="I391" s="10" t="n">
        <v>1512.238</v>
      </c>
      <c r="J391" s="10" t="n">
        <v>41.226</v>
      </c>
      <c r="K391" s="10" t="n">
        <v>1471.012</v>
      </c>
      <c r="L391" s="8" t="inlineStr">
        <is>
          <t>九部</t>
        </is>
      </c>
      <c r="M391" s="8" t="inlineStr">
        <is>
          <t>蔡明</t>
        </is>
      </c>
      <c r="N391" s="8" t="inlineStr">
        <is>
          <t>1年以内</t>
        </is>
      </c>
      <c r="O391" s="8" t="n"/>
    </row>
    <row r="392">
      <c r="A392" s="5" t="n">
        <v>390</v>
      </c>
      <c r="B392" s="5" t="inlineStr">
        <is>
          <t>华东-台湾</t>
        </is>
      </c>
      <c r="C392" s="5" t="inlineStr">
        <is>
          <t>监察司法机关</t>
        </is>
      </c>
      <c r="D392" s="6" t="inlineStr">
        <is>
          <t>HT20250824</t>
        </is>
      </c>
      <c r="E392" s="6" t="inlineStr">
        <is>
          <t>20260412</t>
        </is>
      </c>
      <c r="F392" s="10" t="n">
        <v>365.065</v>
      </c>
      <c r="G392" s="8" t="n"/>
      <c r="H392" s="10" t="n">
        <v>325.55</v>
      </c>
      <c r="I392" s="10" t="n">
        <v>39.515</v>
      </c>
      <c r="J392" s="10" t="n">
        <v>23.885</v>
      </c>
      <c r="K392" s="10" t="n">
        <v>15.63</v>
      </c>
      <c r="L392" s="8" t="inlineStr">
        <is>
          <t>八部</t>
        </is>
      </c>
      <c r="M392" s="8" t="inlineStr">
        <is>
          <t>苏珊</t>
        </is>
      </c>
      <c r="N392" s="8" t="inlineStr">
        <is>
          <t>1-2年</t>
        </is>
      </c>
      <c r="O392" s="8" t="n"/>
    </row>
    <row r="393">
      <c r="A393" s="5" t="n">
        <v>391</v>
      </c>
      <c r="B393" s="5" t="inlineStr">
        <is>
          <t>西南-云南</t>
        </is>
      </c>
      <c r="C393" s="5" t="inlineStr">
        <is>
          <t>政府机关</t>
        </is>
      </c>
      <c r="D393" s="6" t="inlineStr">
        <is>
          <t>HT20250824</t>
        </is>
      </c>
      <c r="E393" s="6" t="inlineStr">
        <is>
          <t>20260412</t>
        </is>
      </c>
      <c r="F393" s="10" t="n">
        <v>689.211</v>
      </c>
      <c r="G393" s="8" t="n"/>
      <c r="H393" s="10" t="n">
        <v>642.6849999999999</v>
      </c>
      <c r="I393" s="10" t="n">
        <v>46.526</v>
      </c>
      <c r="J393" s="10" t="n">
        <v>6.355</v>
      </c>
      <c r="K393" s="10" t="n">
        <v>40.171</v>
      </c>
      <c r="L393" s="8" t="inlineStr">
        <is>
          <t>十部</t>
        </is>
      </c>
      <c r="M393" s="8" t="inlineStr">
        <is>
          <t>阎莉</t>
        </is>
      </c>
      <c r="N393" s="8" t="inlineStr">
        <is>
          <t>1-2年</t>
        </is>
      </c>
      <c r="O393" s="8" t="n"/>
    </row>
    <row r="394">
      <c r="A394" s="5" t="n">
        <v>392</v>
      </c>
      <c r="B394" s="5" t="inlineStr">
        <is>
          <t>华东-江苏</t>
        </is>
      </c>
      <c r="C394" s="5" t="inlineStr">
        <is>
          <t>事业单位</t>
        </is>
      </c>
      <c r="D394" s="6" t="inlineStr">
        <is>
          <t>HT20250824</t>
        </is>
      </c>
      <c r="E394" s="6" t="inlineStr">
        <is>
          <t>20260412</t>
        </is>
      </c>
      <c r="F394" s="10" t="n">
        <v>4005.436</v>
      </c>
      <c r="G394" s="8" t="n"/>
      <c r="H394" s="10" t="n">
        <v>2078.084</v>
      </c>
      <c r="I394" s="10" t="n">
        <v>1927.352</v>
      </c>
      <c r="J394" s="10" t="n">
        <v>336.659</v>
      </c>
      <c r="K394" s="10" t="n">
        <v>1590.693</v>
      </c>
      <c r="L394" s="8" t="inlineStr">
        <is>
          <t>一部</t>
        </is>
      </c>
      <c r="M394" s="8" t="inlineStr">
        <is>
          <t>陈静</t>
        </is>
      </c>
      <c r="N394" s="8" t="inlineStr">
        <is>
          <t>2-3年</t>
        </is>
      </c>
      <c r="O394" s="8" t="n"/>
    </row>
    <row r="395">
      <c r="A395" s="5" t="n">
        <v>393</v>
      </c>
      <c r="B395" s="5" t="inlineStr">
        <is>
          <t>华东-江西</t>
        </is>
      </c>
      <c r="C395" s="5" t="inlineStr">
        <is>
          <t>党委机关</t>
        </is>
      </c>
      <c r="D395" s="6" t="inlineStr">
        <is>
          <t>HT20250824</t>
        </is>
      </c>
      <c r="E395" s="6" t="inlineStr">
        <is>
          <t>20260412</t>
        </is>
      </c>
      <c r="F395" s="10" t="n">
        <v>553.837</v>
      </c>
      <c r="G395" s="8" t="n"/>
      <c r="H395" s="10" t="n">
        <v>323.62</v>
      </c>
      <c r="I395" s="10" t="n">
        <v>230.217</v>
      </c>
      <c r="J395" s="10" t="n">
        <v>189.475</v>
      </c>
      <c r="K395" s="10" t="n">
        <v>40.742</v>
      </c>
      <c r="L395" s="8" t="inlineStr">
        <is>
          <t>七部</t>
        </is>
      </c>
      <c r="M395" s="8" t="inlineStr">
        <is>
          <t>许涛</t>
        </is>
      </c>
      <c r="N395" s="8" t="inlineStr">
        <is>
          <t>2-3年</t>
        </is>
      </c>
      <c r="O395" s="8" t="n"/>
    </row>
    <row r="396">
      <c r="A396" s="5" t="n">
        <v>394</v>
      </c>
      <c r="B396" s="5" t="inlineStr">
        <is>
          <t>华东-浙江</t>
        </is>
      </c>
      <c r="C396" s="5" t="inlineStr">
        <is>
          <t>人大政协</t>
        </is>
      </c>
      <c r="D396" s="6" t="inlineStr">
        <is>
          <t>HT20250825</t>
        </is>
      </c>
      <c r="E396" s="6" t="inlineStr">
        <is>
          <t>20260328</t>
        </is>
      </c>
      <c r="F396" s="10" t="n">
        <v>145.586</v>
      </c>
      <c r="G396" s="8" t="n"/>
      <c r="H396" s="10" t="n">
        <v>10.527</v>
      </c>
      <c r="I396" s="10" t="n">
        <v>135.059</v>
      </c>
      <c r="J396" s="10" t="n">
        <v>55.034</v>
      </c>
      <c r="K396" s="10" t="n">
        <v>80.02500000000001</v>
      </c>
      <c r="L396" s="8" t="inlineStr">
        <is>
          <t>一部</t>
        </is>
      </c>
      <c r="M396" s="8" t="inlineStr">
        <is>
          <t>张伟</t>
        </is>
      </c>
      <c r="N396" s="8" t="inlineStr">
        <is>
          <t>1-2年</t>
        </is>
      </c>
      <c r="O396" s="8" t="n"/>
    </row>
    <row r="397">
      <c r="A397" s="5" t="n">
        <v>395</v>
      </c>
      <c r="B397" s="5" t="inlineStr">
        <is>
          <t>华东-上海</t>
        </is>
      </c>
      <c r="C397" s="5" t="inlineStr">
        <is>
          <t>事业单位</t>
        </is>
      </c>
      <c r="D397" s="6" t="inlineStr">
        <is>
          <t>HT20250825</t>
        </is>
      </c>
      <c r="E397" s="6" t="inlineStr">
        <is>
          <t>20260328</t>
        </is>
      </c>
      <c r="F397" s="10" t="n">
        <v>686.901</v>
      </c>
      <c r="G397" s="8" t="n"/>
      <c r="H397" s="10" t="n">
        <v>261.401</v>
      </c>
      <c r="I397" s="10" t="n">
        <v>425.5</v>
      </c>
      <c r="J397" s="10" t="n">
        <v>407.936</v>
      </c>
      <c r="K397" s="10" t="n">
        <v>17.564</v>
      </c>
      <c r="L397" s="8" t="inlineStr">
        <is>
          <t>七部</t>
        </is>
      </c>
      <c r="M397" s="8" t="inlineStr">
        <is>
          <t>许涛</t>
        </is>
      </c>
      <c r="N397" s="8" t="inlineStr">
        <is>
          <t>1年以内</t>
        </is>
      </c>
      <c r="O397" s="8" t="n"/>
    </row>
    <row r="398">
      <c r="A398" s="5" t="n">
        <v>396</v>
      </c>
      <c r="B398" s="5" t="inlineStr">
        <is>
          <t>东北-辽宁</t>
        </is>
      </c>
      <c r="C398" s="5" t="inlineStr">
        <is>
          <t>国有企业</t>
        </is>
      </c>
      <c r="D398" s="6" t="inlineStr">
        <is>
          <t>HT20250825</t>
        </is>
      </c>
      <c r="E398" s="6" t="inlineStr">
        <is>
          <t>20260328</t>
        </is>
      </c>
      <c r="F398" s="10" t="n">
        <v>300.821</v>
      </c>
      <c r="G398" s="8" t="n"/>
      <c r="H398" s="10" t="n">
        <v>187.75</v>
      </c>
      <c r="I398" s="10" t="n">
        <v>113.071</v>
      </c>
      <c r="J398" s="10" t="n">
        <v>3.734</v>
      </c>
      <c r="K398" s="10" t="n">
        <v>109.337</v>
      </c>
      <c r="L398" s="8" t="inlineStr">
        <is>
          <t>三部</t>
        </is>
      </c>
      <c r="M398" s="8" t="inlineStr">
        <is>
          <t>徐涛</t>
        </is>
      </c>
      <c r="N398" s="8" t="inlineStr">
        <is>
          <t>2-3年</t>
        </is>
      </c>
      <c r="O398" s="8" t="n"/>
    </row>
    <row r="399">
      <c r="A399" s="5" t="n">
        <v>397</v>
      </c>
      <c r="B399" s="5" t="inlineStr">
        <is>
          <t>华北-河北</t>
        </is>
      </c>
      <c r="C399" s="5" t="inlineStr">
        <is>
          <t>监察司法机关</t>
        </is>
      </c>
      <c r="D399" s="6" t="inlineStr">
        <is>
          <t>HT20250826</t>
        </is>
      </c>
      <c r="E399" s="6" t="inlineStr">
        <is>
          <t>20260201</t>
        </is>
      </c>
      <c r="F399" s="10" t="n">
        <v>639.7380000000001</v>
      </c>
      <c r="G399" s="8" t="n"/>
      <c r="H399" s="10" t="n">
        <v>201.205</v>
      </c>
      <c r="I399" s="10" t="n">
        <v>438.533</v>
      </c>
      <c r="J399" s="10" t="n">
        <v>113.789</v>
      </c>
      <c r="K399" s="10" t="n">
        <v>324.744</v>
      </c>
      <c r="L399" s="8" t="inlineStr">
        <is>
          <t>一部</t>
        </is>
      </c>
      <c r="M399" s="8" t="inlineStr">
        <is>
          <t>刘洋</t>
        </is>
      </c>
      <c r="N399" s="8" t="inlineStr">
        <is>
          <t>1-2年</t>
        </is>
      </c>
      <c r="O399" s="8" t="n"/>
    </row>
    <row r="400">
      <c r="A400" s="5" t="n">
        <v>398</v>
      </c>
      <c r="B400" s="5" t="inlineStr">
        <is>
          <t>西南-四川</t>
        </is>
      </c>
      <c r="C400" s="5" t="inlineStr">
        <is>
          <t>监察司法机关</t>
        </is>
      </c>
      <c r="D400" s="6" t="inlineStr">
        <is>
          <t>HT20250827</t>
        </is>
      </c>
      <c r="E400" s="6" t="inlineStr">
        <is>
          <t>20260903</t>
        </is>
      </c>
      <c r="F400" s="10" t="n">
        <v>120.616</v>
      </c>
      <c r="G400" s="8" t="n"/>
      <c r="H400" s="10" t="n">
        <v>57.195</v>
      </c>
      <c r="I400" s="10" t="n">
        <v>63.421</v>
      </c>
      <c r="J400" s="10" t="n">
        <v>0.482</v>
      </c>
      <c r="K400" s="10" t="n">
        <v>62.939</v>
      </c>
      <c r="L400" s="8" t="inlineStr">
        <is>
          <t>一部</t>
        </is>
      </c>
      <c r="M400" s="8" t="inlineStr">
        <is>
          <t>张伟</t>
        </is>
      </c>
      <c r="N400" s="8" t="inlineStr">
        <is>
          <t>1-2年</t>
        </is>
      </c>
      <c r="O400" s="8" t="n"/>
    </row>
    <row r="401">
      <c r="A401" s="5" t="n">
        <v>399</v>
      </c>
      <c r="B401" s="5" t="inlineStr">
        <is>
          <t>华东-台湾</t>
        </is>
      </c>
      <c r="C401" s="5" t="inlineStr">
        <is>
          <t>监察司法机关</t>
        </is>
      </c>
      <c r="D401" s="6" t="inlineStr">
        <is>
          <t>HT20250828</t>
        </is>
      </c>
      <c r="E401" s="6" t="inlineStr">
        <is>
          <t>20260611</t>
        </is>
      </c>
      <c r="F401" s="10" t="n">
        <v>57.079</v>
      </c>
      <c r="G401" s="8" t="n"/>
      <c r="H401" s="10" t="n">
        <v>18.872</v>
      </c>
      <c r="I401" s="10" t="n">
        <v>38.207</v>
      </c>
      <c r="J401" s="10" t="n">
        <v>13.607</v>
      </c>
      <c r="K401" s="10" t="n">
        <v>24.6</v>
      </c>
      <c r="L401" s="8" t="inlineStr">
        <is>
          <t>四部</t>
        </is>
      </c>
      <c r="M401" s="8" t="inlineStr">
        <is>
          <t>何萍</t>
        </is>
      </c>
      <c r="N401" s="8" t="inlineStr">
        <is>
          <t>1-2年</t>
        </is>
      </c>
      <c r="O401" s="8" t="n"/>
    </row>
    <row r="402">
      <c r="A402" s="5" t="n">
        <v>400</v>
      </c>
      <c r="B402" s="5" t="inlineStr">
        <is>
          <t>西北-陕西</t>
        </is>
      </c>
      <c r="C402" s="5" t="inlineStr">
        <is>
          <t>国有企业</t>
        </is>
      </c>
      <c r="D402" s="6" t="inlineStr">
        <is>
          <t>HT20250829</t>
        </is>
      </c>
      <c r="E402" s="6" t="inlineStr">
        <is>
          <t>20260220</t>
        </is>
      </c>
      <c r="F402" s="10" t="n">
        <v>681.152</v>
      </c>
      <c r="G402" s="8" t="n"/>
      <c r="H402" s="10" t="n">
        <v>679.096</v>
      </c>
      <c r="I402" s="10" t="n">
        <v>2.056</v>
      </c>
      <c r="J402" s="10" t="n">
        <v>0.511</v>
      </c>
      <c r="K402" s="10" t="n">
        <v>1.545</v>
      </c>
      <c r="L402" s="8" t="inlineStr">
        <is>
          <t>十部</t>
        </is>
      </c>
      <c r="M402" s="8" t="inlineStr">
        <is>
          <t>段勇</t>
        </is>
      </c>
      <c r="N402" s="8" t="inlineStr">
        <is>
          <t>2-3年</t>
        </is>
      </c>
      <c r="O402" s="8" t="n"/>
    </row>
    <row r="403">
      <c r="A403" s="5" t="n">
        <v>401</v>
      </c>
      <c r="B403" s="5" t="inlineStr">
        <is>
          <t>西北-宁夏</t>
        </is>
      </c>
      <c r="C403" s="5" t="inlineStr">
        <is>
          <t>人大政协</t>
        </is>
      </c>
      <c r="D403" s="6" t="inlineStr">
        <is>
          <t>HT20250829</t>
        </is>
      </c>
      <c r="E403" s="6" t="inlineStr">
        <is>
          <t>20260220</t>
        </is>
      </c>
      <c r="F403" s="10" t="n">
        <v>159.613</v>
      </c>
      <c r="G403" s="8" t="n"/>
      <c r="H403" s="10" t="n">
        <v>85.95399999999999</v>
      </c>
      <c r="I403" s="10" t="n">
        <v>73.65900000000001</v>
      </c>
      <c r="J403" s="10" t="n">
        <v>50.54</v>
      </c>
      <c r="K403" s="10" t="n">
        <v>23.119</v>
      </c>
      <c r="L403" s="8" t="inlineStr">
        <is>
          <t>三部</t>
        </is>
      </c>
      <c r="M403" s="8" t="inlineStr">
        <is>
          <t>朱军</t>
        </is>
      </c>
      <c r="N403" s="8" t="inlineStr">
        <is>
          <t>2-3年</t>
        </is>
      </c>
      <c r="O403" s="8" t="n"/>
    </row>
    <row r="404">
      <c r="A404" s="5" t="n">
        <v>402</v>
      </c>
      <c r="B404" s="5" t="inlineStr">
        <is>
          <t>华南-广西</t>
        </is>
      </c>
      <c r="C404" s="5" t="inlineStr">
        <is>
          <t>人大政协</t>
        </is>
      </c>
      <c r="D404" s="6" t="inlineStr">
        <is>
          <t>HT20250829</t>
        </is>
      </c>
      <c r="E404" s="6" t="inlineStr">
        <is>
          <t>20260220</t>
        </is>
      </c>
      <c r="F404" s="10" t="n">
        <v>456.349</v>
      </c>
      <c r="G404" s="8" t="n"/>
      <c r="H404" s="10" t="n">
        <v>322.557</v>
      </c>
      <c r="I404" s="10" t="n">
        <v>133.792</v>
      </c>
      <c r="J404" s="10" t="n">
        <v>101.732</v>
      </c>
      <c r="K404" s="10" t="n">
        <v>32.06</v>
      </c>
      <c r="L404" s="8" t="inlineStr">
        <is>
          <t>五部</t>
        </is>
      </c>
      <c r="M404" s="8" t="inlineStr">
        <is>
          <t>梁雪</t>
        </is>
      </c>
      <c r="N404" s="8" t="inlineStr">
        <is>
          <t>1年以内</t>
        </is>
      </c>
      <c r="O404" s="8" t="n"/>
    </row>
    <row r="405">
      <c r="A405" s="5" t="n">
        <v>403</v>
      </c>
      <c r="B405" s="5" t="inlineStr">
        <is>
          <t>华北-山西</t>
        </is>
      </c>
      <c r="C405" s="5" t="inlineStr">
        <is>
          <t>党委机关</t>
        </is>
      </c>
      <c r="D405" s="6" t="inlineStr">
        <is>
          <t>HT20250830</t>
        </is>
      </c>
      <c r="E405" s="6" t="inlineStr">
        <is>
          <t>20260110</t>
        </is>
      </c>
      <c r="F405" s="10" t="n">
        <v>445.099</v>
      </c>
      <c r="G405" s="8" t="n"/>
      <c r="H405" s="10" t="n">
        <v>176.974</v>
      </c>
      <c r="I405" s="10" t="n">
        <v>268.125</v>
      </c>
      <c r="J405" s="10" t="n">
        <v>5.08</v>
      </c>
      <c r="K405" s="10" t="n">
        <v>263.045</v>
      </c>
      <c r="L405" s="8" t="inlineStr">
        <is>
          <t>三部</t>
        </is>
      </c>
      <c r="M405" s="8" t="inlineStr">
        <is>
          <t>徐涛</t>
        </is>
      </c>
      <c r="N405" s="8" t="inlineStr">
        <is>
          <t>1年以内</t>
        </is>
      </c>
      <c r="O405" s="8" t="n"/>
    </row>
    <row r="406">
      <c r="A406" s="5" t="n">
        <v>404</v>
      </c>
      <c r="B406" s="5" t="inlineStr">
        <is>
          <t>华南-广西</t>
        </is>
      </c>
      <c r="C406" s="5" t="inlineStr">
        <is>
          <t>国有企业</t>
        </is>
      </c>
      <c r="D406" s="6" t="inlineStr">
        <is>
          <t>HT20250830</t>
        </is>
      </c>
      <c r="E406" s="6" t="inlineStr">
        <is>
          <t>20260110</t>
        </is>
      </c>
      <c r="F406" s="10" t="n">
        <v>4011.798</v>
      </c>
      <c r="G406" s="8" t="n"/>
      <c r="H406" s="10" t="n">
        <v>308.653</v>
      </c>
      <c r="I406" s="10" t="n">
        <v>3703.145</v>
      </c>
      <c r="J406" s="10" t="n">
        <v>770.222</v>
      </c>
      <c r="K406" s="10" t="n">
        <v>2932.923</v>
      </c>
      <c r="L406" s="8" t="inlineStr">
        <is>
          <t>六部</t>
        </is>
      </c>
      <c r="M406" s="8" t="inlineStr">
        <is>
          <t>曹阳</t>
        </is>
      </c>
      <c r="N406" s="8" t="inlineStr">
        <is>
          <t>1-2年</t>
        </is>
      </c>
      <c r="O406" s="8" t="n"/>
    </row>
    <row r="407">
      <c r="A407" s="5" t="n">
        <v>405</v>
      </c>
      <c r="B407" s="5" t="inlineStr">
        <is>
          <t>华东-台湾</t>
        </is>
      </c>
      <c r="C407" s="5" t="inlineStr">
        <is>
          <t>人大政协</t>
        </is>
      </c>
      <c r="D407" s="6" t="inlineStr">
        <is>
          <t>HT20250830</t>
        </is>
      </c>
      <c r="E407" s="6" t="inlineStr">
        <is>
          <t>20260110</t>
        </is>
      </c>
      <c r="F407" s="10" t="n">
        <v>272.109</v>
      </c>
      <c r="G407" s="8" t="n"/>
      <c r="H407" s="10" t="n">
        <v>196.413</v>
      </c>
      <c r="I407" s="10" t="n">
        <v>75.696</v>
      </c>
      <c r="J407" s="10" t="n">
        <v>29.996</v>
      </c>
      <c r="K407" s="10" t="n">
        <v>45.7</v>
      </c>
      <c r="L407" s="8" t="inlineStr">
        <is>
          <t>八部</t>
        </is>
      </c>
      <c r="M407" s="8" t="inlineStr">
        <is>
          <t>卢俊</t>
        </is>
      </c>
      <c r="N407" s="8" t="inlineStr">
        <is>
          <t>2-3年</t>
        </is>
      </c>
      <c r="O407" s="8" t="n"/>
    </row>
    <row r="408">
      <c r="A408" s="5" t="n">
        <v>406</v>
      </c>
      <c r="B408" s="5" t="inlineStr">
        <is>
          <t>华南-广西</t>
        </is>
      </c>
      <c r="C408" s="5" t="inlineStr">
        <is>
          <t>监察司法机关</t>
        </is>
      </c>
      <c r="D408" s="6" t="inlineStr">
        <is>
          <t>HT20250831</t>
        </is>
      </c>
      <c r="E408" s="6" t="inlineStr">
        <is>
          <t>20260114</t>
        </is>
      </c>
      <c r="F408" s="10" t="n">
        <v>545.538</v>
      </c>
      <c r="G408" s="8" t="n"/>
      <c r="H408" s="10" t="n">
        <v>258.5</v>
      </c>
      <c r="I408" s="10" t="n">
        <v>287.038</v>
      </c>
      <c r="J408" s="10" t="n">
        <v>144.902</v>
      </c>
      <c r="K408" s="10" t="n">
        <v>142.136</v>
      </c>
      <c r="L408" s="8" t="inlineStr">
        <is>
          <t>一部</t>
        </is>
      </c>
      <c r="M408" s="8" t="inlineStr">
        <is>
          <t>李娜</t>
        </is>
      </c>
      <c r="N408" s="8" t="inlineStr">
        <is>
          <t>2-3年</t>
        </is>
      </c>
      <c r="O408" s="8" t="n"/>
    </row>
    <row r="409">
      <c r="A409" s="5" t="n">
        <v>407</v>
      </c>
      <c r="B409" s="5" t="inlineStr">
        <is>
          <t>华北-天津</t>
        </is>
      </c>
      <c r="C409" s="5" t="inlineStr">
        <is>
          <t>基层自治组织</t>
        </is>
      </c>
      <c r="D409" s="6" t="inlineStr">
        <is>
          <t>HT20250901</t>
        </is>
      </c>
      <c r="E409" s="6" t="inlineStr">
        <is>
          <t>20260120</t>
        </is>
      </c>
      <c r="F409" s="10" t="n">
        <v>5491.303</v>
      </c>
      <c r="G409" s="8" t="n"/>
      <c r="H409" s="10" t="n">
        <v>3019.881</v>
      </c>
      <c r="I409" s="10" t="n">
        <v>2471.422</v>
      </c>
      <c r="J409" s="10" t="n">
        <v>1485.502</v>
      </c>
      <c r="K409" s="10" t="n">
        <v>985.92</v>
      </c>
      <c r="L409" s="8" t="inlineStr">
        <is>
          <t>五部</t>
        </is>
      </c>
      <c r="M409" s="8" t="inlineStr">
        <is>
          <t>宋佳</t>
        </is>
      </c>
      <c r="N409" s="8" t="inlineStr">
        <is>
          <t>1年以内</t>
        </is>
      </c>
      <c r="O409" s="8" t="n"/>
    </row>
    <row r="410">
      <c r="A410" s="5" t="n">
        <v>408</v>
      </c>
      <c r="B410" s="5" t="inlineStr">
        <is>
          <t>华东-安徽</t>
        </is>
      </c>
      <c r="C410" s="5" t="inlineStr">
        <is>
          <t>监察司法机关</t>
        </is>
      </c>
      <c r="D410" s="6" t="inlineStr">
        <is>
          <t>HT20250901</t>
        </is>
      </c>
      <c r="E410" s="6" t="inlineStr">
        <is>
          <t>20260120</t>
        </is>
      </c>
      <c r="F410" s="10" t="n">
        <v>878.567</v>
      </c>
      <c r="G410" s="8" t="n"/>
      <c r="H410" s="10" t="n">
        <v>421.181</v>
      </c>
      <c r="I410" s="10" t="n">
        <v>457.386</v>
      </c>
      <c r="J410" s="10" t="n">
        <v>174.219</v>
      </c>
      <c r="K410" s="10" t="n">
        <v>283.167</v>
      </c>
      <c r="L410" s="8" t="inlineStr">
        <is>
          <t>九部</t>
        </is>
      </c>
      <c r="M410" s="8" t="inlineStr">
        <is>
          <t>蒋涛</t>
        </is>
      </c>
      <c r="N410" s="8" t="inlineStr">
        <is>
          <t>1年以内</t>
        </is>
      </c>
      <c r="O410" s="8" t="n"/>
    </row>
    <row r="411">
      <c r="A411" s="5" t="n">
        <v>409</v>
      </c>
      <c r="B411" s="5" t="inlineStr">
        <is>
          <t>华东-上海</t>
        </is>
      </c>
      <c r="C411" s="5" t="inlineStr">
        <is>
          <t>政府机关</t>
        </is>
      </c>
      <c r="D411" s="6" t="inlineStr">
        <is>
          <t>HT20250903</t>
        </is>
      </c>
      <c r="E411" s="6" t="inlineStr">
        <is>
          <t>20260423</t>
        </is>
      </c>
      <c r="F411" s="10" t="n">
        <v>242.516</v>
      </c>
      <c r="G411" s="8" t="n"/>
      <c r="H411" s="10" t="n">
        <v>66.21299999999999</v>
      </c>
      <c r="I411" s="10" t="n">
        <v>176.303</v>
      </c>
      <c r="J411" s="10" t="n">
        <v>42.914</v>
      </c>
      <c r="K411" s="10" t="n">
        <v>133.389</v>
      </c>
      <c r="L411" s="8" t="inlineStr">
        <is>
          <t>五部</t>
        </is>
      </c>
      <c r="M411" s="8" t="inlineStr">
        <is>
          <t>谢峰</t>
        </is>
      </c>
      <c r="N411" s="8" t="inlineStr">
        <is>
          <t>1年以内</t>
        </is>
      </c>
      <c r="O411" s="8" t="n"/>
    </row>
    <row r="412">
      <c r="A412" s="5" t="n">
        <v>410</v>
      </c>
      <c r="B412" s="5" t="inlineStr">
        <is>
          <t>华东-台湾</t>
        </is>
      </c>
      <c r="C412" s="5" t="inlineStr">
        <is>
          <t>群团组织</t>
        </is>
      </c>
      <c r="D412" s="6" t="inlineStr">
        <is>
          <t>HT20250903</t>
        </is>
      </c>
      <c r="E412" s="6" t="inlineStr">
        <is>
          <t>20260423</t>
        </is>
      </c>
      <c r="F412" s="10" t="n">
        <v>624.575</v>
      </c>
      <c r="G412" s="8" t="n"/>
      <c r="H412" s="10" t="n">
        <v>94.654</v>
      </c>
      <c r="I412" s="10" t="n">
        <v>529.921</v>
      </c>
      <c r="J412" s="10" t="n">
        <v>337.243</v>
      </c>
      <c r="K412" s="10" t="n">
        <v>192.678</v>
      </c>
      <c r="L412" s="8" t="inlineStr">
        <is>
          <t>十部</t>
        </is>
      </c>
      <c r="M412" s="8" t="inlineStr">
        <is>
          <t>薛峰</t>
        </is>
      </c>
      <c r="N412" s="8" t="inlineStr">
        <is>
          <t>2-3年</t>
        </is>
      </c>
      <c r="O412" s="8" t="n"/>
    </row>
    <row r="413">
      <c r="A413" s="5" t="n">
        <v>411</v>
      </c>
      <c r="B413" s="5" t="inlineStr">
        <is>
          <t>华北-北京</t>
        </is>
      </c>
      <c r="C413" s="5" t="inlineStr">
        <is>
          <t>党委机关</t>
        </is>
      </c>
      <c r="D413" s="6" t="inlineStr">
        <is>
          <t>HT20250903</t>
        </is>
      </c>
      <c r="E413" s="6" t="inlineStr">
        <is>
          <t>20260423</t>
        </is>
      </c>
      <c r="F413" s="10" t="n">
        <v>18.781</v>
      </c>
      <c r="G413" s="8" t="n"/>
      <c r="H413" s="10" t="n">
        <v>0.232</v>
      </c>
      <c r="I413" s="10" t="n">
        <v>18.549</v>
      </c>
      <c r="J413" s="10" t="n">
        <v>13.526</v>
      </c>
      <c r="K413" s="10" t="n">
        <v>5.023</v>
      </c>
      <c r="L413" s="8" t="inlineStr">
        <is>
          <t>五部</t>
        </is>
      </c>
      <c r="M413" s="8" t="inlineStr">
        <is>
          <t>梁雪</t>
        </is>
      </c>
      <c r="N413" s="8" t="inlineStr">
        <is>
          <t>1-2年</t>
        </is>
      </c>
      <c r="O413" s="8" t="n"/>
    </row>
    <row r="414">
      <c r="A414" s="5" t="n">
        <v>412</v>
      </c>
      <c r="B414" s="5" t="inlineStr">
        <is>
          <t>华东-上海</t>
        </is>
      </c>
      <c r="C414" s="5" t="inlineStr">
        <is>
          <t>人大政协</t>
        </is>
      </c>
      <c r="D414" s="6" t="inlineStr">
        <is>
          <t>HT20250903</t>
        </is>
      </c>
      <c r="E414" s="6" t="inlineStr">
        <is>
          <t>20260423</t>
        </is>
      </c>
      <c r="F414" s="10" t="n">
        <v>1695.747</v>
      </c>
      <c r="G414" s="8" t="n"/>
      <c r="H414" s="10" t="n">
        <v>567.482</v>
      </c>
      <c r="I414" s="10" t="n">
        <v>1128.265</v>
      </c>
      <c r="J414" s="10" t="n">
        <v>818.395</v>
      </c>
      <c r="K414" s="10" t="n">
        <v>309.87</v>
      </c>
      <c r="L414" s="8" t="inlineStr">
        <is>
          <t>四部</t>
        </is>
      </c>
      <c r="M414" s="8" t="inlineStr">
        <is>
          <t>林燕</t>
        </is>
      </c>
      <c r="N414" s="8" t="inlineStr">
        <is>
          <t>2-3年</t>
        </is>
      </c>
      <c r="O414" s="8" t="n"/>
    </row>
    <row r="415">
      <c r="A415" s="5" t="n">
        <v>413</v>
      </c>
      <c r="B415" s="5" t="inlineStr">
        <is>
          <t>华北-内蒙古</t>
        </is>
      </c>
      <c r="C415" s="5" t="inlineStr">
        <is>
          <t>政府机关</t>
        </is>
      </c>
      <c r="D415" s="6" t="inlineStr">
        <is>
          <t>HT20250903</t>
        </is>
      </c>
      <c r="E415" s="6" t="inlineStr">
        <is>
          <t>20260423</t>
        </is>
      </c>
      <c r="F415" s="10" t="n">
        <v>197.565</v>
      </c>
      <c r="G415" s="8" t="n"/>
      <c r="H415" s="10" t="n">
        <v>153.049</v>
      </c>
      <c r="I415" s="10" t="n">
        <v>44.516</v>
      </c>
      <c r="J415" s="10" t="n">
        <v>13.015</v>
      </c>
      <c r="K415" s="10" t="n">
        <v>31.501</v>
      </c>
      <c r="L415" s="8" t="inlineStr">
        <is>
          <t>九部</t>
        </is>
      </c>
      <c r="M415" s="8" t="inlineStr">
        <is>
          <t>丁磊</t>
        </is>
      </c>
      <c r="N415" s="8" t="inlineStr">
        <is>
          <t>1-2年</t>
        </is>
      </c>
      <c r="O415" s="8" t="n"/>
    </row>
    <row r="416">
      <c r="A416" s="5" t="n">
        <v>414</v>
      </c>
      <c r="B416" s="5" t="inlineStr">
        <is>
          <t>华中-湖北</t>
        </is>
      </c>
      <c r="C416" s="5" t="inlineStr">
        <is>
          <t>党委机关</t>
        </is>
      </c>
      <c r="D416" s="6" t="inlineStr">
        <is>
          <t>HT20250903</t>
        </is>
      </c>
      <c r="E416" s="6" t="inlineStr">
        <is>
          <t>20260423</t>
        </is>
      </c>
      <c r="F416" s="10" t="n">
        <v>138.59</v>
      </c>
      <c r="G416" s="8" t="n"/>
      <c r="H416" s="10" t="n">
        <v>37.838</v>
      </c>
      <c r="I416" s="10" t="n">
        <v>100.752</v>
      </c>
      <c r="J416" s="10" t="n">
        <v>48.896</v>
      </c>
      <c r="K416" s="10" t="n">
        <v>51.856</v>
      </c>
      <c r="L416" s="8" t="inlineStr">
        <is>
          <t>四部</t>
        </is>
      </c>
      <c r="M416" s="8" t="inlineStr">
        <is>
          <t>林燕</t>
        </is>
      </c>
      <c r="N416" s="8" t="inlineStr">
        <is>
          <t>2-3年</t>
        </is>
      </c>
      <c r="O416" s="8" t="n"/>
    </row>
    <row r="417">
      <c r="A417" s="5" t="n">
        <v>415</v>
      </c>
      <c r="B417" s="5" t="inlineStr">
        <is>
          <t>华中-湖南</t>
        </is>
      </c>
      <c r="C417" s="5" t="inlineStr">
        <is>
          <t>人大政协</t>
        </is>
      </c>
      <c r="D417" s="6" t="inlineStr">
        <is>
          <t>HT20250904</t>
        </is>
      </c>
      <c r="E417" s="6" t="inlineStr">
        <is>
          <t>20260326</t>
        </is>
      </c>
      <c r="F417" s="10" t="n">
        <v>1981.784</v>
      </c>
      <c r="G417" s="8" t="n"/>
      <c r="H417" s="10" t="n">
        <v>1538.976</v>
      </c>
      <c r="I417" s="10" t="n">
        <v>442.808</v>
      </c>
      <c r="J417" s="10" t="n">
        <v>364.283</v>
      </c>
      <c r="K417" s="10" t="n">
        <v>78.52500000000001</v>
      </c>
      <c r="L417" s="8" t="inlineStr">
        <is>
          <t>五部</t>
        </is>
      </c>
      <c r="M417" s="8" t="inlineStr">
        <is>
          <t>韩梅</t>
        </is>
      </c>
      <c r="N417" s="8" t="inlineStr">
        <is>
          <t>2-3年</t>
        </is>
      </c>
      <c r="O417" s="8" t="n"/>
    </row>
    <row r="418">
      <c r="A418" s="5" t="n">
        <v>416</v>
      </c>
      <c r="B418" s="5" t="inlineStr">
        <is>
          <t>西南-重庆</t>
        </is>
      </c>
      <c r="C418" s="5" t="inlineStr">
        <is>
          <t>监察司法机关</t>
        </is>
      </c>
      <c r="D418" s="6" t="inlineStr">
        <is>
          <t>HT20250904</t>
        </is>
      </c>
      <c r="E418" s="6" t="inlineStr">
        <is>
          <t>20260326</t>
        </is>
      </c>
      <c r="F418" s="10" t="n">
        <v>966.102</v>
      </c>
      <c r="G418" s="8" t="n"/>
      <c r="H418" s="10" t="n">
        <v>766.2569999999999</v>
      </c>
      <c r="I418" s="10" t="n">
        <v>199.845</v>
      </c>
      <c r="J418" s="10" t="n">
        <v>183.174</v>
      </c>
      <c r="K418" s="10" t="n">
        <v>16.671</v>
      </c>
      <c r="L418" s="8" t="inlineStr">
        <is>
          <t>二部</t>
        </is>
      </c>
      <c r="M418" s="8" t="inlineStr">
        <is>
          <t>赵敏</t>
        </is>
      </c>
      <c r="N418" s="8" t="inlineStr">
        <is>
          <t>1-2年</t>
        </is>
      </c>
      <c r="O418" s="8" t="n"/>
    </row>
    <row r="419">
      <c r="A419" s="5" t="n">
        <v>417</v>
      </c>
      <c r="B419" s="5" t="inlineStr">
        <is>
          <t>东北-辽宁</t>
        </is>
      </c>
      <c r="C419" s="5" t="inlineStr">
        <is>
          <t>基层自治组织</t>
        </is>
      </c>
      <c r="D419" s="6" t="inlineStr">
        <is>
          <t>HT20250904</t>
        </is>
      </c>
      <c r="E419" s="6" t="inlineStr">
        <is>
          <t>20260326</t>
        </is>
      </c>
      <c r="F419" s="10" t="n">
        <v>318.919</v>
      </c>
      <c r="G419" s="8" t="n"/>
      <c r="H419" s="10" t="n">
        <v>283.566</v>
      </c>
      <c r="I419" s="10" t="n">
        <v>35.353</v>
      </c>
      <c r="J419" s="10" t="n">
        <v>20.018</v>
      </c>
      <c r="K419" s="10" t="n">
        <v>15.335</v>
      </c>
      <c r="L419" s="8" t="inlineStr">
        <is>
          <t>八部</t>
        </is>
      </c>
      <c r="M419" s="8" t="inlineStr">
        <is>
          <t>吕强</t>
        </is>
      </c>
      <c r="N419" s="8" t="inlineStr">
        <is>
          <t>1年以内</t>
        </is>
      </c>
      <c r="O419" s="8" t="n"/>
    </row>
    <row r="420">
      <c r="A420" s="5" t="n">
        <v>418</v>
      </c>
      <c r="B420" s="5" t="inlineStr">
        <is>
          <t>东北-黑龙江</t>
        </is>
      </c>
      <c r="C420" s="5" t="inlineStr">
        <is>
          <t>党委机关</t>
        </is>
      </c>
      <c r="D420" s="6" t="inlineStr">
        <is>
          <t>HT20250905</t>
        </is>
      </c>
      <c r="E420" s="6" t="inlineStr">
        <is>
          <t>20260730</t>
        </is>
      </c>
      <c r="F420" s="10" t="n">
        <v>599.2430000000001</v>
      </c>
      <c r="G420" s="8" t="n"/>
      <c r="H420" s="10" t="n">
        <v>83.32599999999999</v>
      </c>
      <c r="I420" s="10" t="n">
        <v>515.917</v>
      </c>
      <c r="J420" s="10" t="n">
        <v>75.235</v>
      </c>
      <c r="K420" s="10" t="n">
        <v>440.682</v>
      </c>
      <c r="L420" s="8" t="inlineStr">
        <is>
          <t>一部</t>
        </is>
      </c>
      <c r="M420" s="8" t="inlineStr">
        <is>
          <t>刘洋</t>
        </is>
      </c>
      <c r="N420" s="8" t="inlineStr">
        <is>
          <t>1-2年</t>
        </is>
      </c>
      <c r="O420" s="8" t="n"/>
    </row>
    <row r="421">
      <c r="A421" s="5" t="n">
        <v>419</v>
      </c>
      <c r="B421" s="5" t="inlineStr">
        <is>
          <t>华东-浙江</t>
        </is>
      </c>
      <c r="C421" s="5" t="inlineStr">
        <is>
          <t>监察司法机关</t>
        </is>
      </c>
      <c r="D421" s="6" t="inlineStr">
        <is>
          <t>HT20250905</t>
        </is>
      </c>
      <c r="E421" s="6" t="inlineStr">
        <is>
          <t>20260730</t>
        </is>
      </c>
      <c r="F421" s="10" t="n">
        <v>5569.389</v>
      </c>
      <c r="G421" s="8" t="n"/>
      <c r="H421" s="10" t="n">
        <v>2881.623</v>
      </c>
      <c r="I421" s="10" t="n">
        <v>2687.766</v>
      </c>
      <c r="J421" s="10" t="n">
        <v>540.571</v>
      </c>
      <c r="K421" s="10" t="n">
        <v>2147.195</v>
      </c>
      <c r="L421" s="8" t="inlineStr">
        <is>
          <t>三部</t>
        </is>
      </c>
      <c r="M421" s="8" t="inlineStr">
        <is>
          <t>马超</t>
        </is>
      </c>
      <c r="N421" s="8" t="inlineStr">
        <is>
          <t>1-2年</t>
        </is>
      </c>
      <c r="O421" s="8" t="n"/>
    </row>
    <row r="422">
      <c r="A422" s="5" t="n">
        <v>420</v>
      </c>
      <c r="B422" s="5" t="inlineStr">
        <is>
          <t>东北-吉林</t>
        </is>
      </c>
      <c r="C422" s="5" t="inlineStr">
        <is>
          <t>事业单位</t>
        </is>
      </c>
      <c r="D422" s="6" t="inlineStr">
        <is>
          <t>HT20250906</t>
        </is>
      </c>
      <c r="E422" s="6" t="inlineStr">
        <is>
          <t>20260304</t>
        </is>
      </c>
      <c r="F422" s="10" t="n">
        <v>65.342</v>
      </c>
      <c r="G422" s="8" t="n"/>
      <c r="H422" s="10" t="n">
        <v>50.356</v>
      </c>
      <c r="I422" s="10" t="n">
        <v>14.986</v>
      </c>
      <c r="J422" s="10" t="n">
        <v>11.773</v>
      </c>
      <c r="K422" s="10" t="n">
        <v>3.213</v>
      </c>
      <c r="L422" s="8" t="inlineStr">
        <is>
          <t>五部</t>
        </is>
      </c>
      <c r="M422" s="8" t="inlineStr">
        <is>
          <t>宋佳</t>
        </is>
      </c>
      <c r="N422" s="8" t="inlineStr">
        <is>
          <t>2-3年</t>
        </is>
      </c>
      <c r="O422" s="8" t="n"/>
    </row>
    <row r="423">
      <c r="A423" s="5" t="n">
        <v>421</v>
      </c>
      <c r="B423" s="5" t="inlineStr">
        <is>
          <t>西北-新疆</t>
        </is>
      </c>
      <c r="C423" s="5" t="inlineStr">
        <is>
          <t>国有企业</t>
        </is>
      </c>
      <c r="D423" s="6" t="inlineStr">
        <is>
          <t>HT20250907</t>
        </is>
      </c>
      <c r="E423" s="6" t="inlineStr">
        <is>
          <t>20260203</t>
        </is>
      </c>
      <c r="F423" s="10" t="n">
        <v>101.523</v>
      </c>
      <c r="G423" s="8" t="n"/>
      <c r="H423" s="10" t="n">
        <v>32.787</v>
      </c>
      <c r="I423" s="10" t="n">
        <v>68.736</v>
      </c>
      <c r="J423" s="10" t="n">
        <v>0.707</v>
      </c>
      <c r="K423" s="10" t="n">
        <v>68.029</v>
      </c>
      <c r="L423" s="8" t="inlineStr">
        <is>
          <t>六部</t>
        </is>
      </c>
      <c r="M423" s="8" t="inlineStr">
        <is>
          <t>董辉</t>
        </is>
      </c>
      <c r="N423" s="8" t="inlineStr">
        <is>
          <t>2-3年</t>
        </is>
      </c>
      <c r="O423" s="8" t="n"/>
    </row>
    <row r="424">
      <c r="A424" s="5" t="n">
        <v>422</v>
      </c>
      <c r="B424" s="5" t="inlineStr">
        <is>
          <t>华南-广东</t>
        </is>
      </c>
      <c r="C424" s="5" t="inlineStr">
        <is>
          <t>事业单位</t>
        </is>
      </c>
      <c r="D424" s="6" t="inlineStr">
        <is>
          <t>HT20250907</t>
        </is>
      </c>
      <c r="E424" s="6" t="inlineStr">
        <is>
          <t>20260203</t>
        </is>
      </c>
      <c r="F424" s="10" t="n">
        <v>879.921</v>
      </c>
      <c r="G424" s="8" t="n"/>
      <c r="H424" s="10" t="n">
        <v>133.666</v>
      </c>
      <c r="I424" s="10" t="n">
        <v>746.255</v>
      </c>
      <c r="J424" s="10" t="n">
        <v>51.035</v>
      </c>
      <c r="K424" s="10" t="n">
        <v>695.22</v>
      </c>
      <c r="L424" s="8" t="inlineStr">
        <is>
          <t>六部</t>
        </is>
      </c>
      <c r="M424" s="8" t="inlineStr">
        <is>
          <t>曹阳</t>
        </is>
      </c>
      <c r="N424" s="8" t="inlineStr">
        <is>
          <t>1年以内</t>
        </is>
      </c>
      <c r="O424" s="8" t="n"/>
    </row>
    <row r="425">
      <c r="A425" s="5" t="n">
        <v>423</v>
      </c>
      <c r="B425" s="5" t="inlineStr">
        <is>
          <t>西北-新疆</t>
        </is>
      </c>
      <c r="C425" s="5" t="inlineStr">
        <is>
          <t>人大政协</t>
        </is>
      </c>
      <c r="D425" s="6" t="inlineStr">
        <is>
          <t>HT20250908</t>
        </is>
      </c>
      <c r="E425" s="6" t="inlineStr">
        <is>
          <t>20260829</t>
        </is>
      </c>
      <c r="F425" s="10" t="n">
        <v>579.481</v>
      </c>
      <c r="G425" s="8" t="n"/>
      <c r="H425" s="10" t="n">
        <v>167.068</v>
      </c>
      <c r="I425" s="10" t="n">
        <v>412.413</v>
      </c>
      <c r="J425" s="10" t="n">
        <v>76.27800000000001</v>
      </c>
      <c r="K425" s="10" t="n">
        <v>336.135</v>
      </c>
      <c r="L425" s="8" t="inlineStr">
        <is>
          <t>八部</t>
        </is>
      </c>
      <c r="M425" s="8" t="inlineStr">
        <is>
          <t>曾辉</t>
        </is>
      </c>
      <c r="N425" s="8" t="inlineStr">
        <is>
          <t>1-2年</t>
        </is>
      </c>
      <c r="O425" s="8" t="n"/>
    </row>
    <row r="426">
      <c r="A426" s="5" t="n">
        <v>424</v>
      </c>
      <c r="B426" s="5" t="inlineStr">
        <is>
          <t>西南-贵州</t>
        </is>
      </c>
      <c r="C426" s="5" t="inlineStr">
        <is>
          <t>国有企业</t>
        </is>
      </c>
      <c r="D426" s="6" t="inlineStr">
        <is>
          <t>HT20250910</t>
        </is>
      </c>
      <c r="E426" s="6" t="inlineStr">
        <is>
          <t>20260424</t>
        </is>
      </c>
      <c r="F426" s="10" t="n">
        <v>443.757</v>
      </c>
      <c r="G426" s="8" t="n"/>
      <c r="H426" s="10" t="n">
        <v>131.282</v>
      </c>
      <c r="I426" s="10" t="n">
        <v>312.475</v>
      </c>
      <c r="J426" s="10" t="n">
        <v>230.665</v>
      </c>
      <c r="K426" s="10" t="n">
        <v>81.81</v>
      </c>
      <c r="L426" s="8" t="inlineStr">
        <is>
          <t>十部</t>
        </is>
      </c>
      <c r="M426" s="8" t="inlineStr">
        <is>
          <t>阎莉</t>
        </is>
      </c>
      <c r="N426" s="8" t="inlineStr">
        <is>
          <t>2-3年</t>
        </is>
      </c>
      <c r="O426" s="8" t="n"/>
    </row>
    <row r="427">
      <c r="A427" s="5" t="n">
        <v>425</v>
      </c>
      <c r="B427" s="5" t="inlineStr">
        <is>
          <t>华东-台湾</t>
        </is>
      </c>
      <c r="C427" s="5" t="inlineStr">
        <is>
          <t>国有企业</t>
        </is>
      </c>
      <c r="D427" s="6" t="inlineStr">
        <is>
          <t>HT20250911</t>
        </is>
      </c>
      <c r="E427" s="6" t="inlineStr">
        <is>
          <t>20260509</t>
        </is>
      </c>
      <c r="F427" s="10" t="n">
        <v>666.913</v>
      </c>
      <c r="G427" s="8" t="n"/>
      <c r="H427" s="10" t="n">
        <v>617.899</v>
      </c>
      <c r="I427" s="10" t="n">
        <v>49.014</v>
      </c>
      <c r="J427" s="10" t="n">
        <v>47.808</v>
      </c>
      <c r="K427" s="10" t="n">
        <v>1.206</v>
      </c>
      <c r="L427" s="8" t="inlineStr">
        <is>
          <t>七部</t>
        </is>
      </c>
      <c r="M427" s="8" t="inlineStr">
        <is>
          <t>邓丽</t>
        </is>
      </c>
      <c r="N427" s="8" t="inlineStr">
        <is>
          <t>1-2年</t>
        </is>
      </c>
      <c r="O427" s="8" t="n"/>
    </row>
    <row r="428">
      <c r="A428" s="5" t="n">
        <v>426</v>
      </c>
      <c r="B428" s="5" t="inlineStr">
        <is>
          <t>华东-山东</t>
        </is>
      </c>
      <c r="C428" s="5" t="inlineStr">
        <is>
          <t>政府机关</t>
        </is>
      </c>
      <c r="D428" s="6" t="inlineStr">
        <is>
          <t>HT20250911</t>
        </is>
      </c>
      <c r="E428" s="6" t="inlineStr">
        <is>
          <t>20260509</t>
        </is>
      </c>
      <c r="F428" s="10" t="n">
        <v>498.371</v>
      </c>
      <c r="G428" s="8" t="n"/>
      <c r="H428" s="10" t="n">
        <v>385.438</v>
      </c>
      <c r="I428" s="10" t="n">
        <v>112.933</v>
      </c>
      <c r="J428" s="10" t="n">
        <v>100.085</v>
      </c>
      <c r="K428" s="10" t="n">
        <v>12.848</v>
      </c>
      <c r="L428" s="8" t="inlineStr">
        <is>
          <t>四部</t>
        </is>
      </c>
      <c r="M428" s="8" t="inlineStr">
        <is>
          <t>郭鹏</t>
        </is>
      </c>
      <c r="N428" s="8" t="inlineStr">
        <is>
          <t>1-2年</t>
        </is>
      </c>
      <c r="O428" s="8" t="n"/>
    </row>
    <row r="429">
      <c r="A429" s="5" t="n">
        <v>427</v>
      </c>
      <c r="B429" s="5" t="inlineStr">
        <is>
          <t>华中-湖南</t>
        </is>
      </c>
      <c r="C429" s="5" t="inlineStr">
        <is>
          <t>群团组织</t>
        </is>
      </c>
      <c r="D429" s="6" t="inlineStr">
        <is>
          <t>HT20250913</t>
        </is>
      </c>
      <c r="E429" s="6" t="inlineStr">
        <is>
          <t>20260820</t>
        </is>
      </c>
      <c r="F429" s="10" t="n">
        <v>199.95</v>
      </c>
      <c r="G429" s="8" t="n"/>
      <c r="H429" s="10" t="n">
        <v>2.76</v>
      </c>
      <c r="I429" s="10" t="n">
        <v>197.19</v>
      </c>
      <c r="J429" s="10" t="n">
        <v>43.602</v>
      </c>
      <c r="K429" s="10" t="n">
        <v>153.588</v>
      </c>
      <c r="L429" s="8" t="inlineStr">
        <is>
          <t>四部</t>
        </is>
      </c>
      <c r="M429" s="8" t="inlineStr">
        <is>
          <t>林燕</t>
        </is>
      </c>
      <c r="N429" s="8" t="inlineStr">
        <is>
          <t>2-3年</t>
        </is>
      </c>
      <c r="O429" s="8" t="n"/>
    </row>
    <row r="430">
      <c r="A430" s="5" t="n">
        <v>428</v>
      </c>
      <c r="B430" s="5" t="inlineStr">
        <is>
          <t>华北-天津</t>
        </is>
      </c>
      <c r="C430" s="5" t="inlineStr">
        <is>
          <t>政府机关</t>
        </is>
      </c>
      <c r="D430" s="6" t="inlineStr">
        <is>
          <t>HT20250915</t>
        </is>
      </c>
      <c r="E430" s="6" t="inlineStr">
        <is>
          <t>20260402</t>
        </is>
      </c>
      <c r="F430" s="10" t="n">
        <v>476.559</v>
      </c>
      <c r="G430" s="8" t="n"/>
      <c r="H430" s="10" t="n">
        <v>56.878</v>
      </c>
      <c r="I430" s="10" t="n">
        <v>419.681</v>
      </c>
      <c r="J430" s="10" t="n">
        <v>410.795</v>
      </c>
      <c r="K430" s="10" t="n">
        <v>8.885999999999999</v>
      </c>
      <c r="L430" s="8" t="inlineStr">
        <is>
          <t>四部</t>
        </is>
      </c>
      <c r="M430" s="8" t="inlineStr">
        <is>
          <t>林燕</t>
        </is>
      </c>
      <c r="N430" s="8" t="inlineStr">
        <is>
          <t>2-3年</t>
        </is>
      </c>
      <c r="O430" s="8" t="n"/>
    </row>
    <row r="431">
      <c r="A431" s="5" t="n">
        <v>429</v>
      </c>
      <c r="B431" s="5" t="inlineStr">
        <is>
          <t>华北-山西</t>
        </is>
      </c>
      <c r="C431" s="5" t="inlineStr">
        <is>
          <t>监察司法机关</t>
        </is>
      </c>
      <c r="D431" s="6" t="inlineStr">
        <is>
          <t>HT20250915</t>
        </is>
      </c>
      <c r="E431" s="6" t="inlineStr">
        <is>
          <t>20260402</t>
        </is>
      </c>
      <c r="F431" s="10" t="n">
        <v>738.4400000000001</v>
      </c>
      <c r="G431" s="8" t="n"/>
      <c r="H431" s="10" t="n">
        <v>24.852</v>
      </c>
      <c r="I431" s="10" t="n">
        <v>713.588</v>
      </c>
      <c r="J431" s="10" t="n">
        <v>307.684</v>
      </c>
      <c r="K431" s="10" t="n">
        <v>405.904</v>
      </c>
      <c r="L431" s="8" t="inlineStr">
        <is>
          <t>七部</t>
        </is>
      </c>
      <c r="M431" s="8" t="inlineStr">
        <is>
          <t>邓丽</t>
        </is>
      </c>
      <c r="N431" s="8" t="inlineStr">
        <is>
          <t>1-2年</t>
        </is>
      </c>
      <c r="O431" s="8" t="n"/>
    </row>
    <row r="432">
      <c r="A432" s="5" t="n">
        <v>430</v>
      </c>
      <c r="B432" s="5" t="inlineStr">
        <is>
          <t>华东-福建</t>
        </is>
      </c>
      <c r="C432" s="5" t="inlineStr">
        <is>
          <t>基层自治组织</t>
        </is>
      </c>
      <c r="D432" s="6" t="inlineStr">
        <is>
          <t>HT20250917</t>
        </is>
      </c>
      <c r="E432" s="6" t="inlineStr">
        <is>
          <t>20260128</t>
        </is>
      </c>
      <c r="F432" s="10" t="n">
        <v>679.304</v>
      </c>
      <c r="G432" s="8" t="n"/>
      <c r="H432" s="10" t="n">
        <v>194.942</v>
      </c>
      <c r="I432" s="10" t="n">
        <v>484.362</v>
      </c>
      <c r="J432" s="10" t="n">
        <v>448.089</v>
      </c>
      <c r="K432" s="10" t="n">
        <v>36.273</v>
      </c>
      <c r="L432" s="8" t="inlineStr">
        <is>
          <t>七部</t>
        </is>
      </c>
      <c r="M432" s="8" t="inlineStr">
        <is>
          <t>邓丽</t>
        </is>
      </c>
      <c r="N432" s="8" t="inlineStr">
        <is>
          <t>1-2年</t>
        </is>
      </c>
      <c r="O432" s="8" t="n"/>
    </row>
    <row r="433">
      <c r="A433" s="5" t="n">
        <v>431</v>
      </c>
      <c r="B433" s="5" t="inlineStr">
        <is>
          <t>华东-上海</t>
        </is>
      </c>
      <c r="C433" s="5" t="inlineStr">
        <is>
          <t>基层自治组织</t>
        </is>
      </c>
      <c r="D433" s="6" t="inlineStr">
        <is>
          <t>HT20250917</t>
        </is>
      </c>
      <c r="E433" s="6" t="inlineStr">
        <is>
          <t>20260128</t>
        </is>
      </c>
      <c r="F433" s="10" t="n">
        <v>501.223</v>
      </c>
      <c r="G433" s="8" t="n"/>
      <c r="H433" s="10" t="n">
        <v>462.192</v>
      </c>
      <c r="I433" s="10" t="n">
        <v>39.031</v>
      </c>
      <c r="J433" s="10" t="n">
        <v>13.915</v>
      </c>
      <c r="K433" s="10" t="n">
        <v>25.116</v>
      </c>
      <c r="L433" s="8" t="inlineStr">
        <is>
          <t>七部</t>
        </is>
      </c>
      <c r="M433" s="8" t="inlineStr">
        <is>
          <t>沈刚</t>
        </is>
      </c>
      <c r="N433" s="8" t="inlineStr">
        <is>
          <t>1-2年</t>
        </is>
      </c>
      <c r="O433" s="8" t="n"/>
    </row>
    <row r="434">
      <c r="A434" s="5" t="n">
        <v>432</v>
      </c>
      <c r="B434" s="5" t="inlineStr">
        <is>
          <t>华北-山西</t>
        </is>
      </c>
      <c r="C434" s="5" t="inlineStr">
        <is>
          <t>政府机关</t>
        </is>
      </c>
      <c r="D434" s="6" t="inlineStr">
        <is>
          <t>HT20250918</t>
        </is>
      </c>
      <c r="E434" s="6" t="inlineStr">
        <is>
          <t>20260309</t>
        </is>
      </c>
      <c r="F434" s="10" t="n">
        <v>8091.341</v>
      </c>
      <c r="G434" s="8" t="n"/>
      <c r="H434" s="10" t="n">
        <v>3857.888</v>
      </c>
      <c r="I434" s="10" t="n">
        <v>4233.453</v>
      </c>
      <c r="J434" s="10" t="n">
        <v>2667.99</v>
      </c>
      <c r="K434" s="10" t="n">
        <v>1565.463</v>
      </c>
      <c r="L434" s="8" t="inlineStr">
        <is>
          <t>六部</t>
        </is>
      </c>
      <c r="M434" s="8" t="inlineStr">
        <is>
          <t>曹阳</t>
        </is>
      </c>
      <c r="N434" s="8" t="inlineStr">
        <is>
          <t>1-2年</t>
        </is>
      </c>
      <c r="O434" s="8" t="n"/>
    </row>
    <row r="435">
      <c r="A435" s="5" t="n">
        <v>433</v>
      </c>
      <c r="B435" s="5" t="inlineStr">
        <is>
          <t>华北-天津</t>
        </is>
      </c>
      <c r="C435" s="5" t="inlineStr">
        <is>
          <t>政府机关</t>
        </is>
      </c>
      <c r="D435" s="6" t="inlineStr">
        <is>
          <t>HT20250918</t>
        </is>
      </c>
      <c r="E435" s="6" t="inlineStr">
        <is>
          <t>20260309</t>
        </is>
      </c>
      <c r="F435" s="10" t="n">
        <v>682.249</v>
      </c>
      <c r="G435" s="8" t="n"/>
      <c r="H435" s="10" t="n">
        <v>313.979</v>
      </c>
      <c r="I435" s="10" t="n">
        <v>368.27</v>
      </c>
      <c r="J435" s="10" t="n">
        <v>123.33</v>
      </c>
      <c r="K435" s="10" t="n">
        <v>244.94</v>
      </c>
      <c r="L435" s="8" t="inlineStr">
        <is>
          <t>一部</t>
        </is>
      </c>
      <c r="M435" s="8" t="inlineStr">
        <is>
          <t>刘洋</t>
        </is>
      </c>
      <c r="N435" s="8" t="inlineStr">
        <is>
          <t>2-3年</t>
        </is>
      </c>
      <c r="O435" s="8" t="n"/>
    </row>
    <row r="436">
      <c r="A436" s="5" t="n">
        <v>434</v>
      </c>
      <c r="B436" s="5" t="inlineStr">
        <is>
          <t>华东-安徽</t>
        </is>
      </c>
      <c r="C436" s="5" t="inlineStr">
        <is>
          <t>基层自治组织</t>
        </is>
      </c>
      <c r="D436" s="6" t="inlineStr">
        <is>
          <t>HT20250919</t>
        </is>
      </c>
      <c r="E436" s="6" t="inlineStr">
        <is>
          <t>20260211</t>
        </is>
      </c>
      <c r="F436" s="10" t="n">
        <v>882.422</v>
      </c>
      <c r="G436" s="8" t="n"/>
      <c r="H436" s="10" t="n">
        <v>651.909</v>
      </c>
      <c r="I436" s="10" t="n">
        <v>230.513</v>
      </c>
      <c r="J436" s="10" t="n">
        <v>139.91</v>
      </c>
      <c r="K436" s="10" t="n">
        <v>90.60299999999999</v>
      </c>
      <c r="L436" s="8" t="inlineStr">
        <is>
          <t>五部</t>
        </is>
      </c>
      <c r="M436" s="8" t="inlineStr">
        <is>
          <t>韩梅</t>
        </is>
      </c>
      <c r="N436" s="8" t="inlineStr">
        <is>
          <t>2-3年</t>
        </is>
      </c>
      <c r="O436" s="8" t="n"/>
    </row>
    <row r="437">
      <c r="A437" s="5" t="n">
        <v>435</v>
      </c>
      <c r="B437" s="5" t="inlineStr">
        <is>
          <t>西北-陕西</t>
        </is>
      </c>
      <c r="C437" s="5" t="inlineStr">
        <is>
          <t>国有企业</t>
        </is>
      </c>
      <c r="D437" s="6" t="inlineStr">
        <is>
          <t>HT20250923</t>
        </is>
      </c>
      <c r="E437" s="6" t="inlineStr">
        <is>
          <t>20260703</t>
        </is>
      </c>
      <c r="F437" s="10" t="n">
        <v>654.9059999999999</v>
      </c>
      <c r="G437" s="8" t="n"/>
      <c r="H437" s="10" t="n">
        <v>229.398</v>
      </c>
      <c r="I437" s="10" t="n">
        <v>425.508</v>
      </c>
      <c r="J437" s="10" t="n">
        <v>115.249</v>
      </c>
      <c r="K437" s="10" t="n">
        <v>310.259</v>
      </c>
      <c r="L437" s="8" t="inlineStr">
        <is>
          <t>五部</t>
        </is>
      </c>
      <c r="M437" s="8" t="inlineStr">
        <is>
          <t>韩梅</t>
        </is>
      </c>
      <c r="N437" s="8" t="inlineStr">
        <is>
          <t>1年以内</t>
        </is>
      </c>
      <c r="O437" s="8" t="n"/>
    </row>
    <row r="438">
      <c r="A438" s="5" t="n">
        <v>436</v>
      </c>
      <c r="B438" s="5" t="inlineStr">
        <is>
          <t>华东-浙江</t>
        </is>
      </c>
      <c r="C438" s="5" t="inlineStr">
        <is>
          <t>党委机关</t>
        </is>
      </c>
      <c r="D438" s="6" t="inlineStr">
        <is>
          <t>HT20250923</t>
        </is>
      </c>
      <c r="E438" s="6" t="inlineStr">
        <is>
          <t>20260703</t>
        </is>
      </c>
      <c r="F438" s="10" t="n">
        <v>265.829</v>
      </c>
      <c r="G438" s="8" t="n"/>
      <c r="H438" s="10" t="n">
        <v>261.71</v>
      </c>
      <c r="I438" s="10" t="n">
        <v>4.119</v>
      </c>
      <c r="J438" s="10" t="n">
        <v>2.197</v>
      </c>
      <c r="K438" s="10" t="n">
        <v>1.922</v>
      </c>
      <c r="L438" s="8" t="inlineStr">
        <is>
          <t>五部</t>
        </is>
      </c>
      <c r="M438" s="8" t="inlineStr">
        <is>
          <t>韩梅</t>
        </is>
      </c>
      <c r="N438" s="8" t="inlineStr">
        <is>
          <t>1年以内</t>
        </is>
      </c>
      <c r="O438" s="8" t="n"/>
    </row>
    <row r="439">
      <c r="A439" s="5" t="n">
        <v>437</v>
      </c>
      <c r="B439" s="5" t="inlineStr">
        <is>
          <t>东北-黑龙江</t>
        </is>
      </c>
      <c r="C439" s="5" t="inlineStr">
        <is>
          <t>党委机关</t>
        </is>
      </c>
      <c r="D439" s="6" t="inlineStr">
        <is>
          <t>HT20250924</t>
        </is>
      </c>
      <c r="E439" s="6" t="inlineStr">
        <is>
          <t>20260305</t>
        </is>
      </c>
      <c r="F439" s="10" t="n">
        <v>6376.771</v>
      </c>
      <c r="G439" s="8" t="n"/>
      <c r="H439" s="10" t="n">
        <v>3177.223</v>
      </c>
      <c r="I439" s="10" t="n">
        <v>3199.548</v>
      </c>
      <c r="J439" s="10" t="n">
        <v>2930.195</v>
      </c>
      <c r="K439" s="10" t="n">
        <v>269.353</v>
      </c>
      <c r="L439" s="8" t="inlineStr">
        <is>
          <t>一部</t>
        </is>
      </c>
      <c r="M439" s="8" t="inlineStr">
        <is>
          <t>张伟</t>
        </is>
      </c>
      <c r="N439" s="8" t="inlineStr">
        <is>
          <t>1年以内</t>
        </is>
      </c>
      <c r="O439" s="8" t="n"/>
    </row>
    <row r="440">
      <c r="A440" s="5" t="n">
        <v>438</v>
      </c>
      <c r="B440" s="5" t="inlineStr">
        <is>
          <t>华南-香港</t>
        </is>
      </c>
      <c r="C440" s="5" t="inlineStr">
        <is>
          <t>事业单位</t>
        </is>
      </c>
      <c r="D440" s="6" t="inlineStr">
        <is>
          <t>HT20250924</t>
        </is>
      </c>
      <c r="E440" s="6" t="inlineStr">
        <is>
          <t>20260305</t>
        </is>
      </c>
      <c r="F440" s="10" t="n">
        <v>101.006</v>
      </c>
      <c r="G440" s="8" t="n"/>
      <c r="H440" s="10" t="n">
        <v>91.804</v>
      </c>
      <c r="I440" s="10" t="n">
        <v>9.202</v>
      </c>
      <c r="J440" s="10" t="n">
        <v>3.607</v>
      </c>
      <c r="K440" s="10" t="n">
        <v>5.595</v>
      </c>
      <c r="L440" s="8" t="inlineStr">
        <is>
          <t>七部</t>
        </is>
      </c>
      <c r="M440" s="8" t="inlineStr">
        <is>
          <t>许涛</t>
        </is>
      </c>
      <c r="N440" s="8" t="inlineStr">
        <is>
          <t>1年以内</t>
        </is>
      </c>
      <c r="O440" s="8" t="n"/>
    </row>
    <row r="441">
      <c r="A441" s="5" t="n">
        <v>439</v>
      </c>
      <c r="B441" s="5" t="inlineStr">
        <is>
          <t>华东-安徽</t>
        </is>
      </c>
      <c r="C441" s="5" t="inlineStr">
        <is>
          <t>党委机关</t>
        </is>
      </c>
      <c r="D441" s="6" t="inlineStr">
        <is>
          <t>HT20250925</t>
        </is>
      </c>
      <c r="E441" s="6" t="inlineStr">
        <is>
          <t>20260723</t>
        </is>
      </c>
      <c r="F441" s="10" t="n">
        <v>390.866</v>
      </c>
      <c r="G441" s="8" t="n"/>
      <c r="H441" s="10" t="n">
        <v>96.876</v>
      </c>
      <c r="I441" s="10" t="n">
        <v>293.99</v>
      </c>
      <c r="J441" s="10" t="n">
        <v>7.931</v>
      </c>
      <c r="K441" s="10" t="n">
        <v>286.059</v>
      </c>
      <c r="L441" s="8" t="inlineStr">
        <is>
          <t>八部</t>
        </is>
      </c>
      <c r="M441" s="8" t="inlineStr">
        <is>
          <t>曾辉</t>
        </is>
      </c>
      <c r="N441" s="8" t="inlineStr">
        <is>
          <t>1年以内</t>
        </is>
      </c>
      <c r="O441" s="8" t="n"/>
    </row>
    <row r="442">
      <c r="A442" s="5" t="n">
        <v>440</v>
      </c>
      <c r="B442" s="5" t="inlineStr">
        <is>
          <t>西南-云南</t>
        </is>
      </c>
      <c r="C442" s="5" t="inlineStr">
        <is>
          <t>人大政协</t>
        </is>
      </c>
      <c r="D442" s="6" t="inlineStr">
        <is>
          <t>HT20250925</t>
        </is>
      </c>
      <c r="E442" s="6" t="inlineStr">
        <is>
          <t>20260723</t>
        </is>
      </c>
      <c r="F442" s="10" t="n">
        <v>297.08</v>
      </c>
      <c r="G442" s="8" t="n"/>
      <c r="H442" s="10" t="n">
        <v>276.834</v>
      </c>
      <c r="I442" s="10" t="n">
        <v>20.246</v>
      </c>
      <c r="J442" s="10" t="n">
        <v>6.688</v>
      </c>
      <c r="K442" s="10" t="n">
        <v>13.558</v>
      </c>
      <c r="L442" s="8" t="inlineStr">
        <is>
          <t>七部</t>
        </is>
      </c>
      <c r="M442" s="8" t="inlineStr">
        <is>
          <t>沈刚</t>
        </is>
      </c>
      <c r="N442" s="8" t="inlineStr">
        <is>
          <t>1年以内</t>
        </is>
      </c>
      <c r="O442" s="8" t="n"/>
    </row>
    <row r="443">
      <c r="A443" s="5" t="n">
        <v>441</v>
      </c>
      <c r="B443" s="5" t="inlineStr">
        <is>
          <t>西北-甘肃</t>
        </is>
      </c>
      <c r="C443" s="5" t="inlineStr">
        <is>
          <t>监察司法机关</t>
        </is>
      </c>
      <c r="D443" s="6" t="inlineStr">
        <is>
          <t>HT20250926</t>
        </is>
      </c>
      <c r="E443" s="6" t="inlineStr">
        <is>
          <t>20260305</t>
        </is>
      </c>
      <c r="F443" s="10" t="n">
        <v>3532.019</v>
      </c>
      <c r="G443" s="8" t="n"/>
      <c r="H443" s="10" t="n">
        <v>1562.267</v>
      </c>
      <c r="I443" s="10" t="n">
        <v>1969.752</v>
      </c>
      <c r="J443" s="10" t="n">
        <v>1132.543</v>
      </c>
      <c r="K443" s="10" t="n">
        <v>837.2089999999999</v>
      </c>
      <c r="L443" s="8" t="inlineStr">
        <is>
          <t>五部</t>
        </is>
      </c>
      <c r="M443" s="8" t="inlineStr">
        <is>
          <t>谢峰</t>
        </is>
      </c>
      <c r="N443" s="8" t="inlineStr">
        <is>
          <t>1年以内</t>
        </is>
      </c>
      <c r="O443" s="8" t="n"/>
    </row>
    <row r="444">
      <c r="A444" s="5" t="n">
        <v>442</v>
      </c>
      <c r="B444" s="5" t="inlineStr">
        <is>
          <t>西南-重庆</t>
        </is>
      </c>
      <c r="C444" s="5" t="inlineStr">
        <is>
          <t>人大政协</t>
        </is>
      </c>
      <c r="D444" s="6" t="inlineStr">
        <is>
          <t>HT20250928</t>
        </is>
      </c>
      <c r="E444" s="6" t="inlineStr">
        <is>
          <t>20260217</t>
        </is>
      </c>
      <c r="F444" s="10" t="n">
        <v>800.151</v>
      </c>
      <c r="G444" s="8" t="n"/>
      <c r="H444" s="10" t="n">
        <v>660.037</v>
      </c>
      <c r="I444" s="10" t="n">
        <v>140.114</v>
      </c>
      <c r="J444" s="10" t="n">
        <v>19.676</v>
      </c>
      <c r="K444" s="10" t="n">
        <v>120.438</v>
      </c>
      <c r="L444" s="8" t="inlineStr">
        <is>
          <t>六部</t>
        </is>
      </c>
      <c r="M444" s="8" t="inlineStr">
        <is>
          <t>程琳</t>
        </is>
      </c>
      <c r="N444" s="8" t="inlineStr">
        <is>
          <t>1年以内</t>
        </is>
      </c>
      <c r="O444" s="8" t="n"/>
    </row>
    <row r="445">
      <c r="A445" s="5" t="n">
        <v>443</v>
      </c>
      <c r="B445" s="5" t="inlineStr">
        <is>
          <t>西北-青海</t>
        </is>
      </c>
      <c r="C445" s="5" t="inlineStr">
        <is>
          <t>党委机关</t>
        </is>
      </c>
      <c r="D445" s="6" t="inlineStr">
        <is>
          <t>HT20250929</t>
        </is>
      </c>
      <c r="E445" s="6" t="inlineStr">
        <is>
          <t>20260712</t>
        </is>
      </c>
      <c r="F445" s="10" t="n">
        <v>131.783</v>
      </c>
      <c r="G445" s="8" t="n"/>
      <c r="H445" s="10" t="n">
        <v>85.813</v>
      </c>
      <c r="I445" s="10" t="n">
        <v>45.97</v>
      </c>
      <c r="J445" s="10" t="n">
        <v>30.434</v>
      </c>
      <c r="K445" s="10" t="n">
        <v>15.536</v>
      </c>
      <c r="L445" s="8" t="inlineStr">
        <is>
          <t>四部</t>
        </is>
      </c>
      <c r="M445" s="8" t="inlineStr">
        <is>
          <t>林燕</t>
        </is>
      </c>
      <c r="N445" s="8" t="inlineStr">
        <is>
          <t>1年以内</t>
        </is>
      </c>
      <c r="O445" s="8" t="n"/>
    </row>
    <row r="446">
      <c r="A446" s="5" t="n">
        <v>444</v>
      </c>
      <c r="B446" s="5" t="inlineStr">
        <is>
          <t>华东-上海</t>
        </is>
      </c>
      <c r="C446" s="5" t="inlineStr">
        <is>
          <t>监察司法机关</t>
        </is>
      </c>
      <c r="D446" s="6" t="inlineStr">
        <is>
          <t>HT20250930</t>
        </is>
      </c>
      <c r="E446" s="6" t="inlineStr">
        <is>
          <t>20260712</t>
        </is>
      </c>
      <c r="F446" s="10" t="n">
        <v>954.184</v>
      </c>
      <c r="G446" s="8" t="n"/>
      <c r="H446" s="10" t="n">
        <v>200.482</v>
      </c>
      <c r="I446" s="10" t="n">
        <v>753.702</v>
      </c>
      <c r="J446" s="10" t="n">
        <v>454.786</v>
      </c>
      <c r="K446" s="10" t="n">
        <v>298.916</v>
      </c>
      <c r="L446" s="8" t="inlineStr">
        <is>
          <t>五部</t>
        </is>
      </c>
      <c r="M446" s="8" t="inlineStr">
        <is>
          <t>宋佳</t>
        </is>
      </c>
      <c r="N446" s="8" t="inlineStr">
        <is>
          <t>2-3年</t>
        </is>
      </c>
      <c r="O446" s="8" t="n"/>
    </row>
    <row r="447">
      <c r="A447" s="5" t="n">
        <v>445</v>
      </c>
      <c r="B447" s="5" t="inlineStr">
        <is>
          <t>西北-甘肃</t>
        </is>
      </c>
      <c r="C447" s="5" t="inlineStr">
        <is>
          <t>党委机关</t>
        </is>
      </c>
      <c r="D447" s="6" t="inlineStr">
        <is>
          <t>HT20250930</t>
        </is>
      </c>
      <c r="E447" s="6" t="inlineStr">
        <is>
          <t>20260712</t>
        </is>
      </c>
      <c r="F447" s="10" t="n">
        <v>882.938</v>
      </c>
      <c r="G447" s="8" t="n"/>
      <c r="H447" s="10" t="n">
        <v>301.933</v>
      </c>
      <c r="I447" s="10" t="n">
        <v>581.005</v>
      </c>
      <c r="J447" s="10" t="n">
        <v>555.251</v>
      </c>
      <c r="K447" s="10" t="n">
        <v>25.754</v>
      </c>
      <c r="L447" s="8" t="inlineStr">
        <is>
          <t>一部</t>
        </is>
      </c>
      <c r="M447" s="8" t="inlineStr">
        <is>
          <t>刘洋</t>
        </is>
      </c>
      <c r="N447" s="8" t="inlineStr">
        <is>
          <t>1-2年</t>
        </is>
      </c>
      <c r="O447" s="8" t="n"/>
    </row>
    <row r="448">
      <c r="A448" s="5" t="n">
        <v>446</v>
      </c>
      <c r="B448" s="5" t="inlineStr">
        <is>
          <t>华东-江西</t>
        </is>
      </c>
      <c r="C448" s="5" t="inlineStr">
        <is>
          <t>政府机关</t>
        </is>
      </c>
      <c r="D448" s="6" t="inlineStr">
        <is>
          <t>HT20250930</t>
        </is>
      </c>
      <c r="E448" s="6" t="inlineStr">
        <is>
          <t>20260712</t>
        </is>
      </c>
      <c r="F448" s="10" t="n">
        <v>125.968</v>
      </c>
      <c r="G448" s="8" t="n"/>
      <c r="H448" s="10" t="n">
        <v>92.03400000000001</v>
      </c>
      <c r="I448" s="10" t="n">
        <v>33.934</v>
      </c>
      <c r="J448" s="10" t="n">
        <v>23.501</v>
      </c>
      <c r="K448" s="10" t="n">
        <v>10.433</v>
      </c>
      <c r="L448" s="8" t="inlineStr">
        <is>
          <t>六部</t>
        </is>
      </c>
      <c r="M448" s="8" t="inlineStr">
        <is>
          <t>唐亮</t>
        </is>
      </c>
      <c r="N448" s="8" t="inlineStr">
        <is>
          <t>1-2年</t>
        </is>
      </c>
      <c r="O448" s="8" t="n"/>
    </row>
    <row r="449">
      <c r="A449" s="5" t="n">
        <v>447</v>
      </c>
      <c r="B449" s="5" t="inlineStr">
        <is>
          <t>西北-甘肃</t>
        </is>
      </c>
      <c r="C449" s="5" t="inlineStr">
        <is>
          <t>国有企业</t>
        </is>
      </c>
      <c r="D449" s="6" t="inlineStr">
        <is>
          <t>HT20251001</t>
        </is>
      </c>
      <c r="E449" s="6" t="inlineStr">
        <is>
          <t>20260811</t>
        </is>
      </c>
      <c r="F449" s="10" t="n">
        <v>6933.298</v>
      </c>
      <c r="G449" s="8" t="n"/>
      <c r="H449" s="10" t="n">
        <v>5398.621</v>
      </c>
      <c r="I449" s="10" t="n">
        <v>1534.677</v>
      </c>
      <c r="J449" s="10" t="n">
        <v>800.865</v>
      </c>
      <c r="K449" s="10" t="n">
        <v>733.812</v>
      </c>
      <c r="L449" s="8" t="inlineStr">
        <is>
          <t>五部</t>
        </is>
      </c>
      <c r="M449" s="8" t="inlineStr">
        <is>
          <t>韩梅</t>
        </is>
      </c>
      <c r="N449" s="8" t="inlineStr">
        <is>
          <t>1-2年</t>
        </is>
      </c>
      <c r="O449" s="8" t="n"/>
    </row>
    <row r="450">
      <c r="A450" s="5" t="n">
        <v>448</v>
      </c>
      <c r="B450" s="5" t="inlineStr">
        <is>
          <t>华中-河南</t>
        </is>
      </c>
      <c r="C450" s="5" t="inlineStr">
        <is>
          <t>监察司法机关</t>
        </is>
      </c>
      <c r="D450" s="6" t="inlineStr">
        <is>
          <t>HT20251002</t>
        </is>
      </c>
      <c r="E450" s="6" t="inlineStr">
        <is>
          <t>20260228</t>
        </is>
      </c>
      <c r="F450" s="10" t="n">
        <v>7740.777</v>
      </c>
      <c r="G450" s="8" t="n"/>
      <c r="H450" s="10" t="n">
        <v>7094.526</v>
      </c>
      <c r="I450" s="10" t="n">
        <v>646.251</v>
      </c>
      <c r="J450" s="10" t="n">
        <v>105.004</v>
      </c>
      <c r="K450" s="10" t="n">
        <v>541.247</v>
      </c>
      <c r="L450" s="8" t="inlineStr">
        <is>
          <t>二部</t>
        </is>
      </c>
      <c r="M450" s="8" t="inlineStr">
        <is>
          <t>赵敏</t>
        </is>
      </c>
      <c r="N450" s="8" t="inlineStr">
        <is>
          <t>2-3年</t>
        </is>
      </c>
      <c r="O450" s="8" t="n"/>
    </row>
    <row r="451">
      <c r="A451" s="5" t="n">
        <v>449</v>
      </c>
      <c r="B451" s="5" t="inlineStr">
        <is>
          <t>西南-西藏</t>
        </is>
      </c>
      <c r="C451" s="5" t="inlineStr">
        <is>
          <t>政府机关</t>
        </is>
      </c>
      <c r="D451" s="6" t="inlineStr">
        <is>
          <t>HT20251003</t>
        </is>
      </c>
      <c r="E451" s="6" t="inlineStr">
        <is>
          <t>20260529</t>
        </is>
      </c>
      <c r="F451" s="10" t="n">
        <v>4630.373</v>
      </c>
      <c r="G451" s="8" t="n"/>
      <c r="H451" s="10" t="n">
        <v>1990.274</v>
      </c>
      <c r="I451" s="10" t="n">
        <v>2640.099</v>
      </c>
      <c r="J451" s="10" t="n">
        <v>318.671</v>
      </c>
      <c r="K451" s="10" t="n">
        <v>2321.428</v>
      </c>
      <c r="L451" s="8" t="inlineStr">
        <is>
          <t>一部</t>
        </is>
      </c>
      <c r="M451" s="8" t="inlineStr">
        <is>
          <t>李娜</t>
        </is>
      </c>
      <c r="N451" s="8" t="inlineStr">
        <is>
          <t>1年以内</t>
        </is>
      </c>
      <c r="O451" s="8" t="n"/>
    </row>
    <row r="452">
      <c r="A452" s="5" t="n">
        <v>450</v>
      </c>
      <c r="B452" s="5" t="inlineStr">
        <is>
          <t>华南-香港</t>
        </is>
      </c>
      <c r="C452" s="5" t="inlineStr">
        <is>
          <t>基层自治组织</t>
        </is>
      </c>
      <c r="D452" s="6" t="inlineStr">
        <is>
          <t>HT20251004</t>
        </is>
      </c>
      <c r="E452" s="6" t="inlineStr">
        <is>
          <t>20260618</t>
        </is>
      </c>
      <c r="F452" s="10" t="n">
        <v>207.572</v>
      </c>
      <c r="G452" s="8" t="n"/>
      <c r="H452" s="10" t="n">
        <v>51.797</v>
      </c>
      <c r="I452" s="10" t="n">
        <v>155.775</v>
      </c>
      <c r="J452" s="10" t="n">
        <v>73.152</v>
      </c>
      <c r="K452" s="10" t="n">
        <v>82.623</v>
      </c>
      <c r="L452" s="8" t="inlineStr">
        <is>
          <t>五部</t>
        </is>
      </c>
      <c r="M452" s="8" t="inlineStr">
        <is>
          <t>韩梅</t>
        </is>
      </c>
      <c r="N452" s="8" t="inlineStr">
        <is>
          <t>1-2年</t>
        </is>
      </c>
      <c r="O452" s="8" t="n"/>
    </row>
    <row r="453">
      <c r="A453" s="5" t="n">
        <v>451</v>
      </c>
      <c r="B453" s="5" t="inlineStr">
        <is>
          <t>华南-广西</t>
        </is>
      </c>
      <c r="C453" s="5" t="inlineStr">
        <is>
          <t>国有企业</t>
        </is>
      </c>
      <c r="D453" s="6" t="inlineStr">
        <is>
          <t>HT20251005</t>
        </is>
      </c>
      <c r="E453" s="6" t="inlineStr">
        <is>
          <t>20260214</t>
        </is>
      </c>
      <c r="F453" s="10" t="n">
        <v>174.091</v>
      </c>
      <c r="G453" s="8" t="n"/>
      <c r="H453" s="10" t="n">
        <v>88.989</v>
      </c>
      <c r="I453" s="10" t="n">
        <v>85.102</v>
      </c>
      <c r="J453" s="10" t="n">
        <v>1.165</v>
      </c>
      <c r="K453" s="10" t="n">
        <v>83.937</v>
      </c>
      <c r="L453" s="8" t="inlineStr">
        <is>
          <t>九部</t>
        </is>
      </c>
      <c r="M453" s="8" t="inlineStr">
        <is>
          <t>蒋涛</t>
        </is>
      </c>
      <c r="N453" s="8" t="inlineStr">
        <is>
          <t>1-2年</t>
        </is>
      </c>
      <c r="O453" s="8" t="n"/>
    </row>
    <row r="454">
      <c r="A454" s="5" t="n">
        <v>452</v>
      </c>
      <c r="B454" s="5" t="inlineStr">
        <is>
          <t>西南-贵州</t>
        </is>
      </c>
      <c r="C454" s="5" t="inlineStr">
        <is>
          <t>监察司法机关</t>
        </is>
      </c>
      <c r="D454" s="6" t="inlineStr">
        <is>
          <t>HT20251006</t>
        </is>
      </c>
      <c r="E454" s="6" t="inlineStr">
        <is>
          <t>20260126</t>
        </is>
      </c>
      <c r="F454" s="10" t="n">
        <v>42.335</v>
      </c>
      <c r="G454" s="8" t="n"/>
      <c r="H454" s="10" t="n">
        <v>35.012</v>
      </c>
      <c r="I454" s="10" t="n">
        <v>7.323</v>
      </c>
      <c r="J454" s="10" t="n">
        <v>1.902</v>
      </c>
      <c r="K454" s="10" t="n">
        <v>5.421</v>
      </c>
      <c r="L454" s="8" t="inlineStr">
        <is>
          <t>四部</t>
        </is>
      </c>
      <c r="M454" s="8" t="inlineStr">
        <is>
          <t>何萍</t>
        </is>
      </c>
      <c r="N454" s="8" t="inlineStr">
        <is>
          <t>2-3年</t>
        </is>
      </c>
      <c r="O454" s="8" t="n"/>
    </row>
    <row r="455">
      <c r="A455" s="5" t="n">
        <v>453</v>
      </c>
      <c r="B455" s="5" t="inlineStr">
        <is>
          <t>华东-江西</t>
        </is>
      </c>
      <c r="C455" s="5" t="inlineStr">
        <is>
          <t>群团组织</t>
        </is>
      </c>
      <c r="D455" s="6" t="inlineStr">
        <is>
          <t>HT20251007</t>
        </is>
      </c>
      <c r="E455" s="6" t="inlineStr">
        <is>
          <t>20260515</t>
        </is>
      </c>
      <c r="F455" s="10" t="n">
        <v>574.4059999999999</v>
      </c>
      <c r="G455" s="8" t="n"/>
      <c r="H455" s="10" t="n">
        <v>44.76</v>
      </c>
      <c r="I455" s="10" t="n">
        <v>529.646</v>
      </c>
      <c r="J455" s="10" t="n">
        <v>76.295</v>
      </c>
      <c r="K455" s="10" t="n">
        <v>453.351</v>
      </c>
      <c r="L455" s="8" t="inlineStr">
        <is>
          <t>一部</t>
        </is>
      </c>
      <c r="M455" s="8" t="inlineStr">
        <is>
          <t>李娜</t>
        </is>
      </c>
      <c r="N455" s="8" t="inlineStr">
        <is>
          <t>1-2年</t>
        </is>
      </c>
      <c r="O455" s="8" t="n"/>
    </row>
    <row r="456">
      <c r="A456" s="5" t="n">
        <v>454</v>
      </c>
      <c r="B456" s="5" t="inlineStr">
        <is>
          <t>西北-陕西</t>
        </is>
      </c>
      <c r="C456" s="5" t="inlineStr">
        <is>
          <t>监察司法机关</t>
        </is>
      </c>
      <c r="D456" s="6" t="inlineStr">
        <is>
          <t>HT20251008</t>
        </is>
      </c>
      <c r="E456" s="6" t="inlineStr">
        <is>
          <t>20260517</t>
        </is>
      </c>
      <c r="F456" s="10" t="n">
        <v>95.083</v>
      </c>
      <c r="G456" s="8" t="n"/>
      <c r="H456" s="10" t="n">
        <v>66.68300000000001</v>
      </c>
      <c r="I456" s="10" t="n">
        <v>28.4</v>
      </c>
      <c r="J456" s="10" t="n">
        <v>2.881</v>
      </c>
      <c r="K456" s="10" t="n">
        <v>25.519</v>
      </c>
      <c r="L456" s="8" t="inlineStr">
        <is>
          <t>十部</t>
        </is>
      </c>
      <c r="M456" s="8" t="inlineStr">
        <is>
          <t>薛峰</t>
        </is>
      </c>
      <c r="N456" s="8" t="inlineStr">
        <is>
          <t>2-3年</t>
        </is>
      </c>
      <c r="O456" s="8" t="n"/>
    </row>
    <row r="457">
      <c r="A457" s="5" t="n">
        <v>455</v>
      </c>
      <c r="B457" s="5" t="inlineStr">
        <is>
          <t>华中-湖南</t>
        </is>
      </c>
      <c r="C457" s="5" t="inlineStr">
        <is>
          <t>党委机关</t>
        </is>
      </c>
      <c r="D457" s="6" t="inlineStr">
        <is>
          <t>HT20251008</t>
        </is>
      </c>
      <c r="E457" s="6" t="inlineStr">
        <is>
          <t>20260517</t>
        </is>
      </c>
      <c r="F457" s="10" t="n">
        <v>368.457</v>
      </c>
      <c r="G457" s="8" t="n"/>
      <c r="H457" s="10" t="n">
        <v>167.602</v>
      </c>
      <c r="I457" s="10" t="n">
        <v>200.855</v>
      </c>
      <c r="J457" s="10" t="n">
        <v>133.147</v>
      </c>
      <c r="K457" s="10" t="n">
        <v>67.708</v>
      </c>
      <c r="L457" s="8" t="inlineStr">
        <is>
          <t>一部</t>
        </is>
      </c>
      <c r="M457" s="8" t="inlineStr">
        <is>
          <t>王芳</t>
        </is>
      </c>
      <c r="N457" s="8" t="inlineStr">
        <is>
          <t>1-2年</t>
        </is>
      </c>
      <c r="O457" s="8" t="n"/>
    </row>
    <row r="458">
      <c r="A458" s="5" t="n">
        <v>456</v>
      </c>
      <c r="B458" s="5" t="inlineStr">
        <is>
          <t>西北-宁夏</t>
        </is>
      </c>
      <c r="C458" s="5" t="inlineStr">
        <is>
          <t>政府机关</t>
        </is>
      </c>
      <c r="D458" s="6" t="inlineStr">
        <is>
          <t>HT20251009</t>
        </is>
      </c>
      <c r="E458" s="6" t="inlineStr">
        <is>
          <t>20260610</t>
        </is>
      </c>
      <c r="F458" s="10" t="n">
        <v>430.977</v>
      </c>
      <c r="G458" s="8" t="n"/>
      <c r="H458" s="10" t="n">
        <v>74.949</v>
      </c>
      <c r="I458" s="10" t="n">
        <v>356.028</v>
      </c>
      <c r="J458" s="10" t="n">
        <v>254.827</v>
      </c>
      <c r="K458" s="10" t="n">
        <v>101.201</v>
      </c>
      <c r="L458" s="8" t="inlineStr">
        <is>
          <t>四部</t>
        </is>
      </c>
      <c r="M458" s="8" t="inlineStr">
        <is>
          <t>何萍</t>
        </is>
      </c>
      <c r="N458" s="8" t="inlineStr">
        <is>
          <t>1年以内</t>
        </is>
      </c>
      <c r="O458" s="8" t="n"/>
    </row>
    <row r="459">
      <c r="A459" s="5" t="n">
        <v>457</v>
      </c>
      <c r="B459" s="5" t="inlineStr">
        <is>
          <t>西南-四川</t>
        </is>
      </c>
      <c r="C459" s="5" t="inlineStr">
        <is>
          <t>监察司法机关</t>
        </is>
      </c>
      <c r="D459" s="6" t="inlineStr">
        <is>
          <t>HT20251010</t>
        </is>
      </c>
      <c r="E459" s="6" t="inlineStr">
        <is>
          <t>20260107</t>
        </is>
      </c>
      <c r="F459" s="10" t="n">
        <v>263.995</v>
      </c>
      <c r="G459" s="8" t="n"/>
      <c r="H459" s="10" t="n">
        <v>11.655</v>
      </c>
      <c r="I459" s="10" t="n">
        <v>252.34</v>
      </c>
      <c r="J459" s="10" t="n">
        <v>7.86</v>
      </c>
      <c r="K459" s="10" t="n">
        <v>244.48</v>
      </c>
      <c r="L459" s="8" t="inlineStr">
        <is>
          <t>七部</t>
        </is>
      </c>
      <c r="M459" s="8" t="inlineStr">
        <is>
          <t>许涛</t>
        </is>
      </c>
      <c r="N459" s="8" t="inlineStr">
        <is>
          <t>1年以内</t>
        </is>
      </c>
      <c r="O459" s="8" t="n"/>
    </row>
    <row r="460">
      <c r="A460" s="5" t="n">
        <v>458</v>
      </c>
      <c r="B460" s="5" t="inlineStr">
        <is>
          <t>西北-新疆</t>
        </is>
      </c>
      <c r="C460" s="5" t="inlineStr">
        <is>
          <t>国有企业</t>
        </is>
      </c>
      <c r="D460" s="6" t="inlineStr">
        <is>
          <t>HT20251012</t>
        </is>
      </c>
      <c r="E460" s="6" t="inlineStr">
        <is>
          <t>20260616</t>
        </is>
      </c>
      <c r="F460" s="10" t="n">
        <v>6531.861</v>
      </c>
      <c r="G460" s="8" t="n"/>
      <c r="H460" s="10" t="n">
        <v>5979.114</v>
      </c>
      <c r="I460" s="10" t="n">
        <v>552.747</v>
      </c>
      <c r="J460" s="10" t="n">
        <v>371.464</v>
      </c>
      <c r="K460" s="10" t="n">
        <v>181.283</v>
      </c>
      <c r="L460" s="8" t="inlineStr">
        <is>
          <t>二部</t>
        </is>
      </c>
      <c r="M460" s="8" t="inlineStr">
        <is>
          <t>赵敏</t>
        </is>
      </c>
      <c r="N460" s="8" t="inlineStr">
        <is>
          <t>2-3年</t>
        </is>
      </c>
      <c r="O460" s="8" t="n"/>
    </row>
    <row r="461">
      <c r="A461" s="5" t="n">
        <v>459</v>
      </c>
      <c r="B461" s="5" t="inlineStr">
        <is>
          <t>西北-新疆</t>
        </is>
      </c>
      <c r="C461" s="5" t="inlineStr">
        <is>
          <t>监察司法机关</t>
        </is>
      </c>
      <c r="D461" s="6" t="inlineStr">
        <is>
          <t>HT20251013</t>
        </is>
      </c>
      <c r="E461" s="6" t="inlineStr">
        <is>
          <t>20260424</t>
        </is>
      </c>
      <c r="F461" s="10" t="n">
        <v>764.889</v>
      </c>
      <c r="G461" s="8" t="n"/>
      <c r="H461" s="10" t="n">
        <v>155.609</v>
      </c>
      <c r="I461" s="10" t="n">
        <v>609.28</v>
      </c>
      <c r="J461" s="10" t="n">
        <v>606.121</v>
      </c>
      <c r="K461" s="10" t="n">
        <v>3.159</v>
      </c>
      <c r="L461" s="8" t="inlineStr">
        <is>
          <t>九部</t>
        </is>
      </c>
      <c r="M461" s="8" t="inlineStr">
        <is>
          <t>魏红</t>
        </is>
      </c>
      <c r="N461" s="8" t="inlineStr">
        <is>
          <t>1年以内</t>
        </is>
      </c>
      <c r="O461" s="8" t="n"/>
    </row>
    <row r="462">
      <c r="A462" s="5" t="n">
        <v>460</v>
      </c>
      <c r="B462" s="5" t="inlineStr">
        <is>
          <t>西南-西藏</t>
        </is>
      </c>
      <c r="C462" s="5" t="inlineStr">
        <is>
          <t>党委机关</t>
        </is>
      </c>
      <c r="D462" s="6" t="inlineStr">
        <is>
          <t>HT20251013</t>
        </is>
      </c>
      <c r="E462" s="6" t="inlineStr">
        <is>
          <t>20260424</t>
        </is>
      </c>
      <c r="F462" s="10" t="n">
        <v>7427.065</v>
      </c>
      <c r="G462" s="8" t="n"/>
      <c r="H462" s="10" t="n">
        <v>6591.484</v>
      </c>
      <c r="I462" s="10" t="n">
        <v>835.581</v>
      </c>
      <c r="J462" s="10" t="n">
        <v>93.798</v>
      </c>
      <c r="K462" s="10" t="n">
        <v>741.783</v>
      </c>
      <c r="L462" s="8" t="inlineStr">
        <is>
          <t>八部</t>
        </is>
      </c>
      <c r="M462" s="8" t="inlineStr">
        <is>
          <t>苏珊</t>
        </is>
      </c>
      <c r="N462" s="8" t="inlineStr">
        <is>
          <t>1年以内</t>
        </is>
      </c>
      <c r="O462" s="8" t="n"/>
    </row>
    <row r="463">
      <c r="A463" s="5" t="n">
        <v>461</v>
      </c>
      <c r="B463" s="5" t="inlineStr">
        <is>
          <t>华北-北京</t>
        </is>
      </c>
      <c r="C463" s="5" t="inlineStr">
        <is>
          <t>党委机关</t>
        </is>
      </c>
      <c r="D463" s="6" t="inlineStr">
        <is>
          <t>HT20251014</t>
        </is>
      </c>
      <c r="E463" s="6" t="inlineStr">
        <is>
          <t>20260307</t>
        </is>
      </c>
      <c r="F463" s="10" t="n">
        <v>213.03</v>
      </c>
      <c r="G463" s="8" t="n"/>
      <c r="H463" s="10" t="n">
        <v>200.092</v>
      </c>
      <c r="I463" s="10" t="n">
        <v>12.938</v>
      </c>
      <c r="J463" s="10" t="n">
        <v>8.946999999999999</v>
      </c>
      <c r="K463" s="10" t="n">
        <v>3.991</v>
      </c>
      <c r="L463" s="8" t="inlineStr">
        <is>
          <t>九部</t>
        </is>
      </c>
      <c r="M463" s="8" t="inlineStr">
        <is>
          <t>丁磊</t>
        </is>
      </c>
      <c r="N463" s="8" t="inlineStr">
        <is>
          <t>2-3年</t>
        </is>
      </c>
      <c r="O463" s="8" t="n"/>
    </row>
    <row r="464">
      <c r="A464" s="5" t="n">
        <v>462</v>
      </c>
      <c r="B464" s="5" t="inlineStr">
        <is>
          <t>华东-福建</t>
        </is>
      </c>
      <c r="C464" s="5" t="inlineStr">
        <is>
          <t>监察司法机关</t>
        </is>
      </c>
      <c r="D464" s="6" t="inlineStr">
        <is>
          <t>HT20251014</t>
        </is>
      </c>
      <c r="E464" s="6" t="inlineStr">
        <is>
          <t>20260307</t>
        </is>
      </c>
      <c r="F464" s="10" t="n">
        <v>3496.418</v>
      </c>
      <c r="G464" s="8" t="n"/>
      <c r="H464" s="10" t="n">
        <v>1305.557</v>
      </c>
      <c r="I464" s="10" t="n">
        <v>2190.861</v>
      </c>
      <c r="J464" s="10" t="n">
        <v>1358.399</v>
      </c>
      <c r="K464" s="10" t="n">
        <v>832.462</v>
      </c>
      <c r="L464" s="8" t="inlineStr">
        <is>
          <t>七部</t>
        </is>
      </c>
      <c r="M464" s="8" t="inlineStr">
        <is>
          <t>傅蓉</t>
        </is>
      </c>
      <c r="N464" s="8" t="inlineStr">
        <is>
          <t>1年以内</t>
        </is>
      </c>
      <c r="O464" s="8" t="n"/>
    </row>
    <row r="465">
      <c r="A465" s="5" t="n">
        <v>463</v>
      </c>
      <c r="B465" s="5" t="inlineStr">
        <is>
          <t>华东-浙江</t>
        </is>
      </c>
      <c r="C465" s="5" t="inlineStr">
        <is>
          <t>群团组织</t>
        </is>
      </c>
      <c r="D465" s="6" t="inlineStr">
        <is>
          <t>HT20251014</t>
        </is>
      </c>
      <c r="E465" s="6" t="inlineStr">
        <is>
          <t>20260307</t>
        </is>
      </c>
      <c r="F465" s="10" t="n">
        <v>860.727</v>
      </c>
      <c r="G465" s="8" t="n"/>
      <c r="H465" s="10" t="n">
        <v>447.733</v>
      </c>
      <c r="I465" s="10" t="n">
        <v>412.994</v>
      </c>
      <c r="J465" s="10" t="n">
        <v>97.592</v>
      </c>
      <c r="K465" s="10" t="n">
        <v>315.402</v>
      </c>
      <c r="L465" s="8" t="inlineStr">
        <is>
          <t>三部</t>
        </is>
      </c>
      <c r="M465" s="8" t="inlineStr">
        <is>
          <t>朱军</t>
        </is>
      </c>
      <c r="N465" s="8" t="inlineStr">
        <is>
          <t>1年以内</t>
        </is>
      </c>
      <c r="O465" s="8" t="n"/>
    </row>
    <row r="466">
      <c r="A466" s="5" t="n">
        <v>464</v>
      </c>
      <c r="B466" s="5" t="inlineStr">
        <is>
          <t>东北-黑龙江</t>
        </is>
      </c>
      <c r="C466" s="5" t="inlineStr">
        <is>
          <t>群团组织</t>
        </is>
      </c>
      <c r="D466" s="6" t="inlineStr">
        <is>
          <t>HT20251017</t>
        </is>
      </c>
      <c r="E466" s="6" t="inlineStr">
        <is>
          <t>20260814</t>
        </is>
      </c>
      <c r="F466" s="10" t="n">
        <v>103.725</v>
      </c>
      <c r="G466" s="8" t="n"/>
      <c r="H466" s="10" t="n">
        <v>15.705</v>
      </c>
      <c r="I466" s="10" t="n">
        <v>88.02</v>
      </c>
      <c r="J466" s="10" t="n">
        <v>29.655</v>
      </c>
      <c r="K466" s="10" t="n">
        <v>58.365</v>
      </c>
      <c r="L466" s="8" t="inlineStr">
        <is>
          <t>二部</t>
        </is>
      </c>
      <c r="M466" s="8" t="inlineStr">
        <is>
          <t>杨磊</t>
        </is>
      </c>
      <c r="N466" s="8" t="inlineStr">
        <is>
          <t>1-2年</t>
        </is>
      </c>
      <c r="O466" s="8" t="n"/>
    </row>
    <row r="467">
      <c r="A467" s="5" t="n">
        <v>465</v>
      </c>
      <c r="B467" s="5" t="inlineStr">
        <is>
          <t>西南-贵州</t>
        </is>
      </c>
      <c r="C467" s="5" t="inlineStr">
        <is>
          <t>党委机关</t>
        </is>
      </c>
      <c r="D467" s="6" t="inlineStr">
        <is>
          <t>HT20251017</t>
        </is>
      </c>
      <c r="E467" s="6" t="inlineStr">
        <is>
          <t>20260814</t>
        </is>
      </c>
      <c r="F467" s="10" t="n">
        <v>317.225</v>
      </c>
      <c r="G467" s="8" t="n"/>
      <c r="H467" s="10" t="n">
        <v>63.557</v>
      </c>
      <c r="I467" s="10" t="n">
        <v>253.668</v>
      </c>
      <c r="J467" s="10" t="n">
        <v>112.442</v>
      </c>
      <c r="K467" s="10" t="n">
        <v>141.226</v>
      </c>
      <c r="L467" s="8" t="inlineStr">
        <is>
          <t>四部</t>
        </is>
      </c>
      <c r="M467" s="8" t="inlineStr">
        <is>
          <t>何萍</t>
        </is>
      </c>
      <c r="N467" s="8" t="inlineStr">
        <is>
          <t>1年以内</t>
        </is>
      </c>
      <c r="O467" s="8" t="n"/>
    </row>
    <row r="468">
      <c r="A468" s="5" t="n">
        <v>466</v>
      </c>
      <c r="B468" s="5" t="inlineStr">
        <is>
          <t>西北-青海</t>
        </is>
      </c>
      <c r="C468" s="5" t="inlineStr">
        <is>
          <t>人大政协</t>
        </is>
      </c>
      <c r="D468" s="6" t="inlineStr">
        <is>
          <t>HT20251018</t>
        </is>
      </c>
      <c r="E468" s="6" t="inlineStr">
        <is>
          <t>20260112</t>
        </is>
      </c>
      <c r="F468" s="10" t="n">
        <v>809.429</v>
      </c>
      <c r="G468" s="8" t="n"/>
      <c r="H468" s="10" t="n">
        <v>107.486</v>
      </c>
      <c r="I468" s="10" t="n">
        <v>701.943</v>
      </c>
      <c r="J468" s="10" t="n">
        <v>541.193</v>
      </c>
      <c r="K468" s="10" t="n">
        <v>160.75</v>
      </c>
      <c r="L468" s="8" t="inlineStr">
        <is>
          <t>一部</t>
        </is>
      </c>
      <c r="M468" s="8" t="inlineStr">
        <is>
          <t>陈静</t>
        </is>
      </c>
      <c r="N468" s="8" t="inlineStr">
        <is>
          <t>1-2年</t>
        </is>
      </c>
      <c r="O468" s="8" t="n"/>
    </row>
    <row r="469">
      <c r="A469" s="5" t="n">
        <v>467</v>
      </c>
      <c r="B469" s="5" t="inlineStr">
        <is>
          <t>华南-广西</t>
        </is>
      </c>
      <c r="C469" s="5" t="inlineStr">
        <is>
          <t>基层自治组织</t>
        </is>
      </c>
      <c r="D469" s="6" t="inlineStr">
        <is>
          <t>HT20251018</t>
        </is>
      </c>
      <c r="E469" s="6" t="inlineStr">
        <is>
          <t>20260112</t>
        </is>
      </c>
      <c r="F469" s="10" t="n">
        <v>202.451</v>
      </c>
      <c r="G469" s="8" t="n"/>
      <c r="H469" s="10" t="n">
        <v>12.025</v>
      </c>
      <c r="I469" s="10" t="n">
        <v>190.426</v>
      </c>
      <c r="J469" s="10" t="n">
        <v>119.398</v>
      </c>
      <c r="K469" s="10" t="n">
        <v>71.02800000000001</v>
      </c>
      <c r="L469" s="8" t="inlineStr">
        <is>
          <t>一部</t>
        </is>
      </c>
      <c r="M469" s="8" t="inlineStr">
        <is>
          <t>刘洋</t>
        </is>
      </c>
      <c r="N469" s="8" t="inlineStr">
        <is>
          <t>1-2年</t>
        </is>
      </c>
      <c r="O469" s="8" t="n"/>
    </row>
    <row r="470">
      <c r="A470" s="5" t="n">
        <v>468</v>
      </c>
      <c r="B470" s="5" t="inlineStr">
        <is>
          <t>华东-山东</t>
        </is>
      </c>
      <c r="C470" s="5" t="inlineStr">
        <is>
          <t>基层自治组织</t>
        </is>
      </c>
      <c r="D470" s="6" t="inlineStr">
        <is>
          <t>HT20251021</t>
        </is>
      </c>
      <c r="E470" s="6" t="inlineStr">
        <is>
          <t>20260309</t>
        </is>
      </c>
      <c r="F470" s="10" t="n">
        <v>341.598</v>
      </c>
      <c r="G470" s="8" t="n"/>
      <c r="H470" s="10" t="n">
        <v>222.996</v>
      </c>
      <c r="I470" s="10" t="n">
        <v>118.602</v>
      </c>
      <c r="J470" s="10" t="n">
        <v>101.407</v>
      </c>
      <c r="K470" s="10" t="n">
        <v>17.195</v>
      </c>
      <c r="L470" s="8" t="inlineStr">
        <is>
          <t>五部</t>
        </is>
      </c>
      <c r="M470" s="8" t="inlineStr">
        <is>
          <t>宋佳</t>
        </is>
      </c>
      <c r="N470" s="8" t="inlineStr">
        <is>
          <t>2-3年</t>
        </is>
      </c>
      <c r="O470" s="8" t="n"/>
    </row>
    <row r="471">
      <c r="A471" s="5" t="n">
        <v>469</v>
      </c>
      <c r="B471" s="5" t="inlineStr">
        <is>
          <t>西北-青海</t>
        </is>
      </c>
      <c r="C471" s="5" t="inlineStr">
        <is>
          <t>监察司法机关</t>
        </is>
      </c>
      <c r="D471" s="6" t="inlineStr">
        <is>
          <t>HT20251021</t>
        </is>
      </c>
      <c r="E471" s="6" t="inlineStr">
        <is>
          <t>20260309</t>
        </is>
      </c>
      <c r="F471" s="10" t="n">
        <v>982.544</v>
      </c>
      <c r="G471" s="8" t="n"/>
      <c r="H471" s="10" t="n">
        <v>363.956</v>
      </c>
      <c r="I471" s="10" t="n">
        <v>618.588</v>
      </c>
      <c r="J471" s="10" t="n">
        <v>542.383</v>
      </c>
      <c r="K471" s="10" t="n">
        <v>76.205</v>
      </c>
      <c r="L471" s="8" t="inlineStr">
        <is>
          <t>六部</t>
        </is>
      </c>
      <c r="M471" s="8" t="inlineStr">
        <is>
          <t>曹阳</t>
        </is>
      </c>
      <c r="N471" s="8" t="inlineStr">
        <is>
          <t>1年以内</t>
        </is>
      </c>
      <c r="O471" s="8" t="n"/>
    </row>
    <row r="472">
      <c r="A472" s="5" t="n">
        <v>470</v>
      </c>
      <c r="B472" s="5" t="inlineStr">
        <is>
          <t>华南-广东</t>
        </is>
      </c>
      <c r="C472" s="5" t="inlineStr">
        <is>
          <t>基层自治组织</t>
        </is>
      </c>
      <c r="D472" s="6" t="inlineStr">
        <is>
          <t>HT20251021</t>
        </is>
      </c>
      <c r="E472" s="6" t="inlineStr">
        <is>
          <t>20260309</t>
        </is>
      </c>
      <c r="F472" s="10" t="n">
        <v>629.778</v>
      </c>
      <c r="G472" s="8" t="n"/>
      <c r="H472" s="10" t="n">
        <v>605.173</v>
      </c>
      <c r="I472" s="10" t="n">
        <v>24.605</v>
      </c>
      <c r="J472" s="10" t="n">
        <v>13.249</v>
      </c>
      <c r="K472" s="10" t="n">
        <v>11.356</v>
      </c>
      <c r="L472" s="8" t="inlineStr">
        <is>
          <t>二部</t>
        </is>
      </c>
      <c r="M472" s="8" t="inlineStr">
        <is>
          <t>吴丽</t>
        </is>
      </c>
      <c r="N472" s="8" t="inlineStr">
        <is>
          <t>1-2年</t>
        </is>
      </c>
      <c r="O472" s="8" t="n"/>
    </row>
    <row r="473">
      <c r="A473" s="5" t="n">
        <v>471</v>
      </c>
      <c r="B473" s="5" t="inlineStr">
        <is>
          <t>西南-四川</t>
        </is>
      </c>
      <c r="C473" s="5" t="inlineStr">
        <is>
          <t>事业单位</t>
        </is>
      </c>
      <c r="D473" s="6" t="inlineStr">
        <is>
          <t>HT20251021</t>
        </is>
      </c>
      <c r="E473" s="6" t="inlineStr">
        <is>
          <t>20260309</t>
        </is>
      </c>
      <c r="F473" s="10" t="n">
        <v>774.509</v>
      </c>
      <c r="G473" s="8" t="n"/>
      <c r="H473" s="10" t="n">
        <v>22.734</v>
      </c>
      <c r="I473" s="10" t="n">
        <v>751.775</v>
      </c>
      <c r="J473" s="10" t="n">
        <v>446.773</v>
      </c>
      <c r="K473" s="10" t="n">
        <v>305.002</v>
      </c>
      <c r="L473" s="8" t="inlineStr">
        <is>
          <t>十部</t>
        </is>
      </c>
      <c r="M473" s="8" t="inlineStr">
        <is>
          <t>段勇</t>
        </is>
      </c>
      <c r="N473" s="8" t="inlineStr">
        <is>
          <t>1-2年</t>
        </is>
      </c>
      <c r="O473" s="8" t="n"/>
    </row>
    <row r="474">
      <c r="A474" s="5" t="n">
        <v>472</v>
      </c>
      <c r="B474" s="5" t="inlineStr">
        <is>
          <t>华南-海南</t>
        </is>
      </c>
      <c r="C474" s="5" t="inlineStr">
        <is>
          <t>人大政协</t>
        </is>
      </c>
      <c r="D474" s="6" t="inlineStr">
        <is>
          <t>HT20251022</t>
        </is>
      </c>
      <c r="E474" s="6" t="inlineStr">
        <is>
          <t>20260909</t>
        </is>
      </c>
      <c r="F474" s="10" t="n">
        <v>518.705</v>
      </c>
      <c r="G474" s="8" t="n"/>
      <c r="H474" s="10" t="n">
        <v>29.179</v>
      </c>
      <c r="I474" s="10" t="n">
        <v>489.526</v>
      </c>
      <c r="J474" s="10" t="n">
        <v>13.348</v>
      </c>
      <c r="K474" s="10" t="n">
        <v>476.178</v>
      </c>
      <c r="L474" s="8" t="inlineStr">
        <is>
          <t>二部</t>
        </is>
      </c>
      <c r="M474" s="8" t="inlineStr">
        <is>
          <t>黄强</t>
        </is>
      </c>
      <c r="N474" s="8" t="inlineStr">
        <is>
          <t>2-3年</t>
        </is>
      </c>
      <c r="O474" s="8" t="n"/>
    </row>
    <row r="475">
      <c r="A475" s="5" t="n">
        <v>473</v>
      </c>
      <c r="B475" s="5" t="inlineStr">
        <is>
          <t>华北-北京</t>
        </is>
      </c>
      <c r="C475" s="5" t="inlineStr">
        <is>
          <t>事业单位</t>
        </is>
      </c>
      <c r="D475" s="6" t="inlineStr">
        <is>
          <t>HT20251024</t>
        </is>
      </c>
      <c r="E475" s="6" t="inlineStr">
        <is>
          <t>20260214</t>
        </is>
      </c>
      <c r="F475" s="10" t="n">
        <v>278.07</v>
      </c>
      <c r="G475" s="8" t="n"/>
      <c r="H475" s="10" t="n">
        <v>207.792</v>
      </c>
      <c r="I475" s="10" t="n">
        <v>70.27800000000001</v>
      </c>
      <c r="J475" s="10" t="n">
        <v>3.992</v>
      </c>
      <c r="K475" s="10" t="n">
        <v>66.286</v>
      </c>
      <c r="L475" s="8" t="inlineStr">
        <is>
          <t>三部</t>
        </is>
      </c>
      <c r="M475" s="8" t="inlineStr">
        <is>
          <t>徐涛</t>
        </is>
      </c>
      <c r="N475" s="8" t="inlineStr">
        <is>
          <t>1年以内</t>
        </is>
      </c>
      <c r="O475" s="8" t="n"/>
    </row>
    <row r="476">
      <c r="A476" s="5" t="n">
        <v>474</v>
      </c>
      <c r="B476" s="5" t="inlineStr">
        <is>
          <t>华北-内蒙古</t>
        </is>
      </c>
      <c r="C476" s="5" t="inlineStr">
        <is>
          <t>群团组织</t>
        </is>
      </c>
      <c r="D476" s="6" t="inlineStr">
        <is>
          <t>HT20251024</t>
        </is>
      </c>
      <c r="E476" s="6" t="inlineStr">
        <is>
          <t>20260214</t>
        </is>
      </c>
      <c r="F476" s="10" t="n">
        <v>870.712</v>
      </c>
      <c r="G476" s="8" t="n"/>
      <c r="H476" s="10" t="n">
        <v>523.076</v>
      </c>
      <c r="I476" s="10" t="n">
        <v>347.636</v>
      </c>
      <c r="J476" s="10" t="n">
        <v>345.641</v>
      </c>
      <c r="K476" s="10" t="n">
        <v>1.995</v>
      </c>
      <c r="L476" s="8" t="inlineStr">
        <is>
          <t>七部</t>
        </is>
      </c>
      <c r="M476" s="8" t="inlineStr">
        <is>
          <t>傅蓉</t>
        </is>
      </c>
      <c r="N476" s="8" t="inlineStr">
        <is>
          <t>1年以内</t>
        </is>
      </c>
      <c r="O476" s="8" t="n"/>
    </row>
    <row r="477">
      <c r="A477" s="5" t="n">
        <v>475</v>
      </c>
      <c r="B477" s="5" t="inlineStr">
        <is>
          <t>华南-广东</t>
        </is>
      </c>
      <c r="C477" s="5" t="inlineStr">
        <is>
          <t>监察司法机关</t>
        </is>
      </c>
      <c r="D477" s="6" t="inlineStr">
        <is>
          <t>HT20251025</t>
        </is>
      </c>
      <c r="E477" s="6" t="inlineStr">
        <is>
          <t>20260331</t>
        </is>
      </c>
      <c r="F477" s="10" t="n">
        <v>154.621</v>
      </c>
      <c r="G477" s="8" t="n"/>
      <c r="H477" s="10" t="n">
        <v>3.664</v>
      </c>
      <c r="I477" s="10" t="n">
        <v>150.957</v>
      </c>
      <c r="J477" s="10" t="n">
        <v>125.289</v>
      </c>
      <c r="K477" s="10" t="n">
        <v>25.668</v>
      </c>
      <c r="L477" s="8" t="inlineStr">
        <is>
          <t>九部</t>
        </is>
      </c>
      <c r="M477" s="8" t="inlineStr">
        <is>
          <t>蒋涛</t>
        </is>
      </c>
      <c r="N477" s="8" t="inlineStr">
        <is>
          <t>1-2年</t>
        </is>
      </c>
      <c r="O477" s="8" t="n"/>
    </row>
    <row r="478">
      <c r="A478" s="5" t="n">
        <v>476</v>
      </c>
      <c r="B478" s="5" t="inlineStr">
        <is>
          <t>华东-台湾</t>
        </is>
      </c>
      <c r="C478" s="5" t="inlineStr">
        <is>
          <t>事业单位</t>
        </is>
      </c>
      <c r="D478" s="6" t="inlineStr">
        <is>
          <t>HT20251025</t>
        </is>
      </c>
      <c r="E478" s="6" t="inlineStr">
        <is>
          <t>20260331</t>
        </is>
      </c>
      <c r="F478" s="10" t="n">
        <v>341.568</v>
      </c>
      <c r="G478" s="8" t="n"/>
      <c r="H478" s="10" t="n">
        <v>21.38</v>
      </c>
      <c r="I478" s="10" t="n">
        <v>320.188</v>
      </c>
      <c r="J478" s="10" t="n">
        <v>314.879</v>
      </c>
      <c r="K478" s="10" t="n">
        <v>5.309</v>
      </c>
      <c r="L478" s="8" t="inlineStr">
        <is>
          <t>七部</t>
        </is>
      </c>
      <c r="M478" s="8" t="inlineStr">
        <is>
          <t>邓丽</t>
        </is>
      </c>
      <c r="N478" s="8" t="inlineStr">
        <is>
          <t>1年以内</t>
        </is>
      </c>
      <c r="O478" s="8" t="n"/>
    </row>
    <row r="479">
      <c r="A479" s="5" t="n">
        <v>477</v>
      </c>
      <c r="B479" s="5" t="inlineStr">
        <is>
          <t>西北-甘肃</t>
        </is>
      </c>
      <c r="C479" s="5" t="inlineStr">
        <is>
          <t>监察司法机关</t>
        </is>
      </c>
      <c r="D479" s="6" t="inlineStr">
        <is>
          <t>HT20251027</t>
        </is>
      </c>
      <c r="E479" s="6" t="inlineStr">
        <is>
          <t>20260724</t>
        </is>
      </c>
      <c r="F479" s="10" t="n">
        <v>455.301</v>
      </c>
      <c r="G479" s="8" t="n"/>
      <c r="H479" s="10" t="n">
        <v>123.998</v>
      </c>
      <c r="I479" s="10" t="n">
        <v>331.303</v>
      </c>
      <c r="J479" s="10" t="n">
        <v>293.997</v>
      </c>
      <c r="K479" s="10" t="n">
        <v>37.306</v>
      </c>
      <c r="L479" s="8" t="inlineStr">
        <is>
          <t>七部</t>
        </is>
      </c>
      <c r="M479" s="8" t="inlineStr">
        <is>
          <t>傅蓉</t>
        </is>
      </c>
      <c r="N479" s="8" t="inlineStr">
        <is>
          <t>1-2年</t>
        </is>
      </c>
      <c r="O479" s="8" t="n"/>
    </row>
    <row r="480">
      <c r="A480" s="5" t="n">
        <v>478</v>
      </c>
      <c r="B480" s="5" t="inlineStr">
        <is>
          <t>华北-天津</t>
        </is>
      </c>
      <c r="C480" s="5" t="inlineStr">
        <is>
          <t>监察司法机关</t>
        </is>
      </c>
      <c r="D480" s="6" t="inlineStr">
        <is>
          <t>HT20251027</t>
        </is>
      </c>
      <c r="E480" s="6" t="inlineStr">
        <is>
          <t>20260724</t>
        </is>
      </c>
      <c r="F480" s="10" t="n">
        <v>267.761</v>
      </c>
      <c r="G480" s="8" t="n"/>
      <c r="H480" s="10" t="n">
        <v>159.213</v>
      </c>
      <c r="I480" s="10" t="n">
        <v>108.548</v>
      </c>
      <c r="J480" s="10" t="n">
        <v>103.272</v>
      </c>
      <c r="K480" s="10" t="n">
        <v>5.276</v>
      </c>
      <c r="L480" s="8" t="inlineStr">
        <is>
          <t>十部</t>
        </is>
      </c>
      <c r="M480" s="8" t="inlineStr">
        <is>
          <t>阎莉</t>
        </is>
      </c>
      <c r="N480" s="8" t="inlineStr">
        <is>
          <t>1年以内</t>
        </is>
      </c>
      <c r="O480" s="8" t="n"/>
    </row>
    <row r="481">
      <c r="A481" s="5" t="n">
        <v>479</v>
      </c>
      <c r="B481" s="5" t="inlineStr">
        <is>
          <t>西南-西藏</t>
        </is>
      </c>
      <c r="C481" s="5" t="inlineStr">
        <is>
          <t>国有企业</t>
        </is>
      </c>
      <c r="D481" s="6" t="inlineStr">
        <is>
          <t>HT20251029</t>
        </is>
      </c>
      <c r="E481" s="6" t="inlineStr">
        <is>
          <t>20260220</t>
        </is>
      </c>
      <c r="F481" s="10" t="n">
        <v>166.16</v>
      </c>
      <c r="G481" s="8" t="n"/>
      <c r="H481" s="10" t="n">
        <v>141.722</v>
      </c>
      <c r="I481" s="10" t="n">
        <v>24.438</v>
      </c>
      <c r="J481" s="10" t="n">
        <v>15.09</v>
      </c>
      <c r="K481" s="10" t="n">
        <v>9.348000000000001</v>
      </c>
      <c r="L481" s="8" t="inlineStr">
        <is>
          <t>五部</t>
        </is>
      </c>
      <c r="M481" s="8" t="inlineStr">
        <is>
          <t>宋佳</t>
        </is>
      </c>
      <c r="N481" s="8" t="inlineStr">
        <is>
          <t>1年以内</t>
        </is>
      </c>
      <c r="O481" s="8" t="n"/>
    </row>
    <row r="482">
      <c r="A482" s="5" t="n">
        <v>480</v>
      </c>
      <c r="B482" s="5" t="inlineStr">
        <is>
          <t>西北-青海</t>
        </is>
      </c>
      <c r="C482" s="5" t="inlineStr">
        <is>
          <t>群团组织</t>
        </is>
      </c>
      <c r="D482" s="6" t="inlineStr">
        <is>
          <t>HT20251029</t>
        </is>
      </c>
      <c r="E482" s="6" t="inlineStr">
        <is>
          <t>20260220</t>
        </is>
      </c>
      <c r="F482" s="10" t="n">
        <v>799.9059999999999</v>
      </c>
      <c r="G482" s="8" t="n"/>
      <c r="H482" s="10" t="n">
        <v>271.557</v>
      </c>
      <c r="I482" s="10" t="n">
        <v>528.349</v>
      </c>
      <c r="J482" s="10" t="n">
        <v>110.654</v>
      </c>
      <c r="K482" s="10" t="n">
        <v>417.695</v>
      </c>
      <c r="L482" s="8" t="inlineStr">
        <is>
          <t>五部</t>
        </is>
      </c>
      <c r="M482" s="8" t="inlineStr">
        <is>
          <t>郑浩</t>
        </is>
      </c>
      <c r="N482" s="8" t="inlineStr">
        <is>
          <t>1-2年</t>
        </is>
      </c>
      <c r="O482" s="8" t="n"/>
    </row>
    <row r="483">
      <c r="A483" s="5" t="n">
        <v>481</v>
      </c>
      <c r="B483" s="5" t="inlineStr">
        <is>
          <t>华南-香港</t>
        </is>
      </c>
      <c r="C483" s="5" t="inlineStr">
        <is>
          <t>国有企业</t>
        </is>
      </c>
      <c r="D483" s="6" t="inlineStr">
        <is>
          <t>HT20251029</t>
        </is>
      </c>
      <c r="E483" s="6" t="inlineStr">
        <is>
          <t>20260220</t>
        </is>
      </c>
      <c r="F483" s="10" t="n">
        <v>206.595</v>
      </c>
      <c r="G483" s="8" t="n"/>
      <c r="H483" s="10" t="n">
        <v>3.479</v>
      </c>
      <c r="I483" s="10" t="n">
        <v>203.116</v>
      </c>
      <c r="J483" s="10" t="n">
        <v>94.378</v>
      </c>
      <c r="K483" s="10" t="n">
        <v>108.738</v>
      </c>
      <c r="L483" s="8" t="inlineStr">
        <is>
          <t>八部</t>
        </is>
      </c>
      <c r="M483" s="8" t="inlineStr">
        <is>
          <t>苏珊</t>
        </is>
      </c>
      <c r="N483" s="8" t="inlineStr">
        <is>
          <t>1年以内</t>
        </is>
      </c>
      <c r="O483" s="8" t="n"/>
    </row>
    <row r="484">
      <c r="A484" s="5" t="n">
        <v>482</v>
      </c>
      <c r="B484" s="5" t="inlineStr">
        <is>
          <t>华东-上海</t>
        </is>
      </c>
      <c r="C484" s="5" t="inlineStr">
        <is>
          <t>监察司法机关</t>
        </is>
      </c>
      <c r="D484" s="6" t="inlineStr">
        <is>
          <t>HT20251029</t>
        </is>
      </c>
      <c r="E484" s="6" t="inlineStr">
        <is>
          <t>20260220</t>
        </is>
      </c>
      <c r="F484" s="10" t="n">
        <v>316.222</v>
      </c>
      <c r="G484" s="8" t="n"/>
      <c r="H484" s="10" t="n">
        <v>57.265</v>
      </c>
      <c r="I484" s="10" t="n">
        <v>258.957</v>
      </c>
      <c r="J484" s="10" t="n">
        <v>144.256</v>
      </c>
      <c r="K484" s="10" t="n">
        <v>114.701</v>
      </c>
      <c r="L484" s="8" t="inlineStr">
        <is>
          <t>八部</t>
        </is>
      </c>
      <c r="M484" s="8" t="inlineStr">
        <is>
          <t>曾辉</t>
        </is>
      </c>
      <c r="N484" s="8" t="inlineStr">
        <is>
          <t>1-2年</t>
        </is>
      </c>
      <c r="O484" s="8" t="n"/>
    </row>
    <row r="485">
      <c r="A485" s="5" t="n">
        <v>483</v>
      </c>
      <c r="B485" s="5" t="inlineStr">
        <is>
          <t>华东-安徽</t>
        </is>
      </c>
      <c r="C485" s="5" t="inlineStr">
        <is>
          <t>群团组织</t>
        </is>
      </c>
      <c r="D485" s="6" t="inlineStr">
        <is>
          <t>HT20251029</t>
        </is>
      </c>
      <c r="E485" s="6" t="inlineStr">
        <is>
          <t>20260220</t>
        </is>
      </c>
      <c r="F485" s="10" t="n">
        <v>504.793</v>
      </c>
      <c r="G485" s="8" t="n"/>
      <c r="H485" s="10" t="n">
        <v>272.741</v>
      </c>
      <c r="I485" s="10" t="n">
        <v>232.052</v>
      </c>
      <c r="J485" s="10" t="n">
        <v>149.754</v>
      </c>
      <c r="K485" s="10" t="n">
        <v>82.298</v>
      </c>
      <c r="L485" s="8" t="inlineStr">
        <is>
          <t>一部</t>
        </is>
      </c>
      <c r="M485" s="8" t="inlineStr">
        <is>
          <t>刘洋</t>
        </is>
      </c>
      <c r="N485" s="8" t="inlineStr">
        <is>
          <t>2-3年</t>
        </is>
      </c>
      <c r="O485" s="8" t="n"/>
    </row>
    <row r="486">
      <c r="A486" s="5" t="n">
        <v>484</v>
      </c>
      <c r="B486" s="5" t="inlineStr">
        <is>
          <t>东北-黑龙江</t>
        </is>
      </c>
      <c r="C486" s="5" t="inlineStr">
        <is>
          <t>监察司法机关</t>
        </is>
      </c>
      <c r="D486" s="6" t="inlineStr">
        <is>
          <t>HT20251030</t>
        </is>
      </c>
      <c r="E486" s="6" t="inlineStr">
        <is>
          <t>20260831</t>
        </is>
      </c>
      <c r="F486" s="10" t="n">
        <v>929.951</v>
      </c>
      <c r="G486" s="8" t="n"/>
      <c r="H486" s="10" t="n">
        <v>537.069</v>
      </c>
      <c r="I486" s="10" t="n">
        <v>392.882</v>
      </c>
      <c r="J486" s="10" t="n">
        <v>264.815</v>
      </c>
      <c r="K486" s="10" t="n">
        <v>128.067</v>
      </c>
      <c r="L486" s="8" t="inlineStr">
        <is>
          <t>八部</t>
        </is>
      </c>
      <c r="M486" s="8" t="inlineStr">
        <is>
          <t>彭燕</t>
        </is>
      </c>
      <c r="N486" s="8" t="inlineStr">
        <is>
          <t>1-2年</t>
        </is>
      </c>
      <c r="O486" s="8" t="n"/>
    </row>
    <row r="487">
      <c r="A487" s="5" t="n">
        <v>485</v>
      </c>
      <c r="B487" s="5" t="inlineStr">
        <is>
          <t>华南-广西</t>
        </is>
      </c>
      <c r="C487" s="5" t="inlineStr">
        <is>
          <t>人大政协</t>
        </is>
      </c>
      <c r="D487" s="6" t="inlineStr">
        <is>
          <t>HT20251030</t>
        </is>
      </c>
      <c r="E487" s="6" t="inlineStr">
        <is>
          <t>20260831</t>
        </is>
      </c>
      <c r="F487" s="10" t="n">
        <v>8496.434999999999</v>
      </c>
      <c r="G487" s="8" t="n"/>
      <c r="H487" s="10" t="n">
        <v>4134.012</v>
      </c>
      <c r="I487" s="10" t="n">
        <v>4362.423</v>
      </c>
      <c r="J487" s="10" t="n">
        <v>3026.085</v>
      </c>
      <c r="K487" s="10" t="n">
        <v>1336.338</v>
      </c>
      <c r="L487" s="8" t="inlineStr">
        <is>
          <t>五部</t>
        </is>
      </c>
      <c r="M487" s="8" t="inlineStr">
        <is>
          <t>韩梅</t>
        </is>
      </c>
      <c r="N487" s="8" t="inlineStr">
        <is>
          <t>1-2年</t>
        </is>
      </c>
      <c r="O487" s="8" t="n"/>
    </row>
    <row r="488">
      <c r="A488" s="5" t="n">
        <v>486</v>
      </c>
      <c r="B488" s="5" t="inlineStr">
        <is>
          <t>西南-贵州</t>
        </is>
      </c>
      <c r="C488" s="5" t="inlineStr">
        <is>
          <t>国有企业</t>
        </is>
      </c>
      <c r="D488" s="6" t="inlineStr">
        <is>
          <t>HT20251030</t>
        </is>
      </c>
      <c r="E488" s="6" t="inlineStr">
        <is>
          <t>20260831</t>
        </is>
      </c>
      <c r="F488" s="10" t="n">
        <v>744.2910000000001</v>
      </c>
      <c r="G488" s="8" t="n"/>
      <c r="H488" s="10" t="n">
        <v>743.0599999999999</v>
      </c>
      <c r="I488" s="10" t="n">
        <v>1.231</v>
      </c>
      <c r="J488" s="10" t="n">
        <v>1.146</v>
      </c>
      <c r="K488" s="10" t="n">
        <v>0.08500000000000001</v>
      </c>
      <c r="L488" s="8" t="inlineStr">
        <is>
          <t>一部</t>
        </is>
      </c>
      <c r="M488" s="8" t="inlineStr">
        <is>
          <t>王芳</t>
        </is>
      </c>
      <c r="N488" s="8" t="inlineStr">
        <is>
          <t>2-3年</t>
        </is>
      </c>
      <c r="O488" s="8" t="n"/>
    </row>
    <row r="489">
      <c r="A489" s="5" t="n">
        <v>487</v>
      </c>
      <c r="B489" s="5" t="inlineStr">
        <is>
          <t>西北-新疆</t>
        </is>
      </c>
      <c r="C489" s="5" t="inlineStr">
        <is>
          <t>监察司法机关</t>
        </is>
      </c>
      <c r="D489" s="6" t="inlineStr">
        <is>
          <t>HT20251101</t>
        </is>
      </c>
      <c r="E489" s="6" t="inlineStr">
        <is>
          <t>20260907</t>
        </is>
      </c>
      <c r="F489" s="10" t="n">
        <v>982.045</v>
      </c>
      <c r="G489" s="8" t="n"/>
      <c r="H489" s="10" t="n">
        <v>611.077</v>
      </c>
      <c r="I489" s="10" t="n">
        <v>370.968</v>
      </c>
      <c r="J489" s="10" t="n">
        <v>164.495</v>
      </c>
      <c r="K489" s="10" t="n">
        <v>206.473</v>
      </c>
      <c r="L489" s="8" t="inlineStr">
        <is>
          <t>二部</t>
        </is>
      </c>
      <c r="M489" s="8" t="inlineStr">
        <is>
          <t>杨磊</t>
        </is>
      </c>
      <c r="N489" s="8" t="inlineStr">
        <is>
          <t>2-3年</t>
        </is>
      </c>
      <c r="O489" s="8" t="n"/>
    </row>
    <row r="490">
      <c r="A490" s="5" t="n">
        <v>488</v>
      </c>
      <c r="B490" s="5" t="inlineStr">
        <is>
          <t>西北-新疆</t>
        </is>
      </c>
      <c r="C490" s="5" t="inlineStr">
        <is>
          <t>国有企业</t>
        </is>
      </c>
      <c r="D490" s="6" t="inlineStr">
        <is>
          <t>HT20251102</t>
        </is>
      </c>
      <c r="E490" s="6" t="inlineStr">
        <is>
          <t>20260524</t>
        </is>
      </c>
      <c r="F490" s="10" t="n">
        <v>538.835</v>
      </c>
      <c r="G490" s="8" t="n"/>
      <c r="H490" s="10" t="n">
        <v>276.437</v>
      </c>
      <c r="I490" s="10" t="n">
        <v>262.398</v>
      </c>
      <c r="J490" s="10" t="n">
        <v>178.959</v>
      </c>
      <c r="K490" s="10" t="n">
        <v>83.43899999999999</v>
      </c>
      <c r="L490" s="8" t="inlineStr">
        <is>
          <t>三部</t>
        </is>
      </c>
      <c r="M490" s="8" t="inlineStr">
        <is>
          <t>胡蓉</t>
        </is>
      </c>
      <c r="N490" s="8" t="inlineStr">
        <is>
          <t>2-3年</t>
        </is>
      </c>
      <c r="O490" s="8" t="n"/>
    </row>
    <row r="491">
      <c r="A491" s="5" t="n">
        <v>489</v>
      </c>
      <c r="B491" s="5" t="inlineStr">
        <is>
          <t>华东-上海</t>
        </is>
      </c>
      <c r="C491" s="5" t="inlineStr">
        <is>
          <t>监察司法机关</t>
        </is>
      </c>
      <c r="D491" s="6" t="inlineStr">
        <is>
          <t>HT20251102</t>
        </is>
      </c>
      <c r="E491" s="6" t="inlineStr">
        <is>
          <t>20260524</t>
        </is>
      </c>
      <c r="F491" s="10" t="n">
        <v>492.092</v>
      </c>
      <c r="G491" s="8" t="n"/>
      <c r="H491" s="10" t="n">
        <v>129.554</v>
      </c>
      <c r="I491" s="10" t="n">
        <v>362.538</v>
      </c>
      <c r="J491" s="10" t="n">
        <v>325.789</v>
      </c>
      <c r="K491" s="10" t="n">
        <v>36.749</v>
      </c>
      <c r="L491" s="8" t="inlineStr">
        <is>
          <t>十部</t>
        </is>
      </c>
      <c r="M491" s="8" t="inlineStr">
        <is>
          <t>薛峰</t>
        </is>
      </c>
      <c r="N491" s="8" t="inlineStr">
        <is>
          <t>1-2年</t>
        </is>
      </c>
      <c r="O491" s="8" t="n"/>
    </row>
    <row r="492">
      <c r="A492" s="5" t="n">
        <v>490</v>
      </c>
      <c r="B492" s="5" t="inlineStr">
        <is>
          <t>华北-河北</t>
        </is>
      </c>
      <c r="C492" s="5" t="inlineStr">
        <is>
          <t>监察司法机关</t>
        </is>
      </c>
      <c r="D492" s="6" t="inlineStr">
        <is>
          <t>HT20251103</t>
        </is>
      </c>
      <c r="E492" s="6" t="inlineStr">
        <is>
          <t>20260307</t>
        </is>
      </c>
      <c r="F492" s="10" t="n">
        <v>223.65</v>
      </c>
      <c r="G492" s="8" t="n"/>
      <c r="H492" s="10" t="n">
        <v>211.384</v>
      </c>
      <c r="I492" s="10" t="n">
        <v>12.266</v>
      </c>
      <c r="J492" s="10" t="n">
        <v>7.908</v>
      </c>
      <c r="K492" s="10" t="n">
        <v>4.358</v>
      </c>
      <c r="L492" s="8" t="inlineStr">
        <is>
          <t>四部</t>
        </is>
      </c>
      <c r="M492" s="8" t="inlineStr">
        <is>
          <t>郭鹏</t>
        </is>
      </c>
      <c r="N492" s="8" t="inlineStr">
        <is>
          <t>1-2年</t>
        </is>
      </c>
      <c r="O492" s="8" t="n"/>
    </row>
    <row r="493">
      <c r="A493" s="5" t="n">
        <v>491</v>
      </c>
      <c r="B493" s="5" t="inlineStr">
        <is>
          <t>西北-陕西</t>
        </is>
      </c>
      <c r="C493" s="5" t="inlineStr">
        <is>
          <t>政府机关</t>
        </is>
      </c>
      <c r="D493" s="6" t="inlineStr">
        <is>
          <t>HT20251104</t>
        </is>
      </c>
      <c r="E493" s="6" t="inlineStr">
        <is>
          <t>20260519</t>
        </is>
      </c>
      <c r="F493" s="10" t="n">
        <v>4474.306</v>
      </c>
      <c r="G493" s="8" t="n"/>
      <c r="H493" s="10" t="n">
        <v>2591.897</v>
      </c>
      <c r="I493" s="10" t="n">
        <v>1882.409</v>
      </c>
      <c r="J493" s="10" t="n">
        <v>1230.56</v>
      </c>
      <c r="K493" s="10" t="n">
        <v>651.849</v>
      </c>
      <c r="L493" s="8" t="inlineStr">
        <is>
          <t>四部</t>
        </is>
      </c>
      <c r="M493" s="8" t="inlineStr">
        <is>
          <t>罗刚</t>
        </is>
      </c>
      <c r="N493" s="8" t="inlineStr">
        <is>
          <t>2-3年</t>
        </is>
      </c>
      <c r="O493" s="8" t="n"/>
    </row>
    <row r="494">
      <c r="A494" s="5" t="n">
        <v>492</v>
      </c>
      <c r="B494" s="5" t="inlineStr">
        <is>
          <t>华南-广西</t>
        </is>
      </c>
      <c r="C494" s="5" t="inlineStr">
        <is>
          <t>政府机关</t>
        </is>
      </c>
      <c r="D494" s="6" t="inlineStr">
        <is>
          <t>HT20251104</t>
        </is>
      </c>
      <c r="E494" s="6" t="inlineStr">
        <is>
          <t>20260519</t>
        </is>
      </c>
      <c r="F494" s="10" t="n">
        <v>877.16</v>
      </c>
      <c r="G494" s="8" t="n"/>
      <c r="H494" s="10" t="n">
        <v>473.207</v>
      </c>
      <c r="I494" s="10" t="n">
        <v>403.953</v>
      </c>
      <c r="J494" s="10" t="n">
        <v>297.008</v>
      </c>
      <c r="K494" s="10" t="n">
        <v>106.945</v>
      </c>
      <c r="L494" s="8" t="inlineStr">
        <is>
          <t>七部</t>
        </is>
      </c>
      <c r="M494" s="8" t="inlineStr">
        <is>
          <t>许涛</t>
        </is>
      </c>
      <c r="N494" s="8" t="inlineStr">
        <is>
          <t>2-3年</t>
        </is>
      </c>
      <c r="O494" s="8" t="n"/>
    </row>
    <row r="495">
      <c r="A495" s="5" t="n">
        <v>493</v>
      </c>
      <c r="B495" s="5" t="inlineStr">
        <is>
          <t>华北-内蒙古</t>
        </is>
      </c>
      <c r="C495" s="5" t="inlineStr">
        <is>
          <t>监察司法机关</t>
        </is>
      </c>
      <c r="D495" s="6" t="inlineStr">
        <is>
          <t>HT20251106</t>
        </is>
      </c>
      <c r="E495" s="6" t="inlineStr">
        <is>
          <t>20260202</t>
        </is>
      </c>
      <c r="F495" s="10" t="n">
        <v>49.241</v>
      </c>
      <c r="G495" s="8" t="n"/>
      <c r="H495" s="10" t="n">
        <v>44.895</v>
      </c>
      <c r="I495" s="10" t="n">
        <v>4.346</v>
      </c>
      <c r="J495" s="10" t="n">
        <v>3.277</v>
      </c>
      <c r="K495" s="10" t="n">
        <v>1.069</v>
      </c>
      <c r="L495" s="8" t="inlineStr">
        <is>
          <t>三部</t>
        </is>
      </c>
      <c r="M495" s="8" t="inlineStr">
        <is>
          <t>徐涛</t>
        </is>
      </c>
      <c r="N495" s="8" t="inlineStr">
        <is>
          <t>1-2年</t>
        </is>
      </c>
      <c r="O495" s="8" t="n"/>
    </row>
    <row r="496">
      <c r="A496" s="5" t="n">
        <v>494</v>
      </c>
      <c r="B496" s="5" t="inlineStr">
        <is>
          <t>华东-山东</t>
        </is>
      </c>
      <c r="C496" s="5" t="inlineStr">
        <is>
          <t>国有企业</t>
        </is>
      </c>
      <c r="D496" s="6" t="inlineStr">
        <is>
          <t>HT20251106</t>
        </is>
      </c>
      <c r="E496" s="6" t="inlineStr">
        <is>
          <t>20260202</t>
        </is>
      </c>
      <c r="F496" s="10" t="n">
        <v>1855.984</v>
      </c>
      <c r="G496" s="8" t="n"/>
      <c r="H496" s="10" t="n">
        <v>1432.792</v>
      </c>
      <c r="I496" s="10" t="n">
        <v>423.192</v>
      </c>
      <c r="J496" s="10" t="n">
        <v>323.37</v>
      </c>
      <c r="K496" s="10" t="n">
        <v>99.822</v>
      </c>
      <c r="L496" s="8" t="inlineStr">
        <is>
          <t>五部</t>
        </is>
      </c>
      <c r="M496" s="8" t="inlineStr">
        <is>
          <t>梁雪</t>
        </is>
      </c>
      <c r="N496" s="8" t="inlineStr">
        <is>
          <t>1年以内</t>
        </is>
      </c>
      <c r="O496" s="8" t="n"/>
    </row>
    <row r="497">
      <c r="A497" s="5" t="n">
        <v>495</v>
      </c>
      <c r="B497" s="5" t="inlineStr">
        <is>
          <t>华南-香港</t>
        </is>
      </c>
      <c r="C497" s="5" t="inlineStr">
        <is>
          <t>事业单位</t>
        </is>
      </c>
      <c r="D497" s="6" t="inlineStr">
        <is>
          <t>HT20251106</t>
        </is>
      </c>
      <c r="E497" s="6" t="inlineStr">
        <is>
          <t>20260202</t>
        </is>
      </c>
      <c r="F497" s="10" t="n">
        <v>170.74</v>
      </c>
      <c r="G497" s="8" t="n"/>
      <c r="H497" s="10" t="n">
        <v>101.177</v>
      </c>
      <c r="I497" s="10" t="n">
        <v>69.563</v>
      </c>
      <c r="J497" s="10" t="n">
        <v>36.119</v>
      </c>
      <c r="K497" s="10" t="n">
        <v>33.444</v>
      </c>
      <c r="L497" s="8" t="inlineStr">
        <is>
          <t>三部</t>
        </is>
      </c>
      <c r="M497" s="8" t="inlineStr">
        <is>
          <t>徐涛</t>
        </is>
      </c>
      <c r="N497" s="8" t="inlineStr">
        <is>
          <t>1年以内</t>
        </is>
      </c>
      <c r="O497" s="8" t="n"/>
    </row>
    <row r="498">
      <c r="A498" s="5" t="n">
        <v>496</v>
      </c>
      <c r="B498" s="5" t="inlineStr">
        <is>
          <t>东北-吉林</t>
        </is>
      </c>
      <c r="C498" s="5" t="inlineStr">
        <is>
          <t>事业单位</t>
        </is>
      </c>
      <c r="D498" s="6" t="inlineStr">
        <is>
          <t>HT20251106</t>
        </is>
      </c>
      <c r="E498" s="6" t="inlineStr">
        <is>
          <t>20260202</t>
        </is>
      </c>
      <c r="F498" s="10" t="n">
        <v>483.489</v>
      </c>
      <c r="G498" s="8" t="n"/>
      <c r="H498" s="10" t="n">
        <v>299.923</v>
      </c>
      <c r="I498" s="10" t="n">
        <v>183.566</v>
      </c>
      <c r="J498" s="10" t="n">
        <v>54.066</v>
      </c>
      <c r="K498" s="10" t="n">
        <v>129.5</v>
      </c>
      <c r="L498" s="8" t="inlineStr">
        <is>
          <t>九部</t>
        </is>
      </c>
      <c r="M498" s="8" t="inlineStr">
        <is>
          <t>蔡明</t>
        </is>
      </c>
      <c r="N498" s="8" t="inlineStr">
        <is>
          <t>1年以内</t>
        </is>
      </c>
      <c r="O498" s="8" t="n"/>
    </row>
    <row r="499">
      <c r="A499" s="5" t="n">
        <v>497</v>
      </c>
      <c r="B499" s="5" t="inlineStr">
        <is>
          <t>西南-西藏</t>
        </is>
      </c>
      <c r="C499" s="5" t="inlineStr">
        <is>
          <t>群团组织</t>
        </is>
      </c>
      <c r="D499" s="6" t="inlineStr">
        <is>
          <t>HT20251106</t>
        </is>
      </c>
      <c r="E499" s="6" t="inlineStr">
        <is>
          <t>20260202</t>
        </is>
      </c>
      <c r="F499" s="10" t="n">
        <v>158.335</v>
      </c>
      <c r="G499" s="8" t="n"/>
      <c r="H499" s="10" t="n">
        <v>4.423</v>
      </c>
      <c r="I499" s="10" t="n">
        <v>153.912</v>
      </c>
      <c r="J499" s="10" t="n">
        <v>152.322</v>
      </c>
      <c r="K499" s="10" t="n">
        <v>1.59</v>
      </c>
      <c r="L499" s="8" t="inlineStr">
        <is>
          <t>五部</t>
        </is>
      </c>
      <c r="M499" s="8" t="inlineStr">
        <is>
          <t>郑浩</t>
        </is>
      </c>
      <c r="N499" s="8" t="inlineStr">
        <is>
          <t>1-2年</t>
        </is>
      </c>
      <c r="O499" s="8" t="n"/>
    </row>
    <row r="500">
      <c r="A500" s="5" t="n">
        <v>498</v>
      </c>
      <c r="B500" s="5" t="inlineStr">
        <is>
          <t>华北-北京</t>
        </is>
      </c>
      <c r="C500" s="5" t="inlineStr">
        <is>
          <t>监察司法机关</t>
        </is>
      </c>
      <c r="D500" s="6" t="inlineStr">
        <is>
          <t>HT20251108</t>
        </is>
      </c>
      <c r="E500" s="6" t="inlineStr">
        <is>
          <t>20260328</t>
        </is>
      </c>
      <c r="F500" s="10" t="n">
        <v>167.672</v>
      </c>
      <c r="G500" s="8" t="n"/>
      <c r="H500" s="10" t="n">
        <v>102.109</v>
      </c>
      <c r="I500" s="10" t="n">
        <v>65.563</v>
      </c>
      <c r="J500" s="10" t="n">
        <v>52.028</v>
      </c>
      <c r="K500" s="10" t="n">
        <v>13.535</v>
      </c>
      <c r="L500" s="8" t="inlineStr">
        <is>
          <t>四部</t>
        </is>
      </c>
      <c r="M500" s="8" t="inlineStr">
        <is>
          <t>何萍</t>
        </is>
      </c>
      <c r="N500" s="8" t="inlineStr">
        <is>
          <t>1年以内</t>
        </is>
      </c>
      <c r="O500" s="8" t="n"/>
    </row>
    <row r="501">
      <c r="A501" s="5" t="n">
        <v>499</v>
      </c>
      <c r="B501" s="5" t="inlineStr">
        <is>
          <t>华南-广东</t>
        </is>
      </c>
      <c r="C501" s="5" t="inlineStr">
        <is>
          <t>基层自治组织</t>
        </is>
      </c>
      <c r="D501" s="6" t="inlineStr">
        <is>
          <t>HT20251108</t>
        </is>
      </c>
      <c r="E501" s="6" t="inlineStr">
        <is>
          <t>20260328</t>
        </is>
      </c>
      <c r="F501" s="10" t="n">
        <v>17.949</v>
      </c>
      <c r="G501" s="8" t="n"/>
      <c r="H501" s="10" t="n">
        <v>10.581</v>
      </c>
      <c r="I501" s="10" t="n">
        <v>7.368</v>
      </c>
      <c r="J501" s="10" t="n">
        <v>4.769</v>
      </c>
      <c r="K501" s="10" t="n">
        <v>2.599</v>
      </c>
      <c r="L501" s="8" t="inlineStr">
        <is>
          <t>五部</t>
        </is>
      </c>
      <c r="M501" s="8" t="inlineStr">
        <is>
          <t>宋佳</t>
        </is>
      </c>
      <c r="N501" s="8" t="inlineStr">
        <is>
          <t>1-2年</t>
        </is>
      </c>
      <c r="O501" s="8" t="n"/>
    </row>
    <row r="502">
      <c r="A502" s="5" t="n">
        <v>500</v>
      </c>
      <c r="B502" s="5" t="inlineStr">
        <is>
          <t>华南-广西</t>
        </is>
      </c>
      <c r="C502" s="5" t="inlineStr">
        <is>
          <t>基层自治组织</t>
        </is>
      </c>
      <c r="D502" s="6" t="inlineStr">
        <is>
          <t>HT20251109</t>
        </is>
      </c>
      <c r="E502" s="6" t="inlineStr">
        <is>
          <t>20260906</t>
        </is>
      </c>
      <c r="F502" s="10" t="n">
        <v>505.702</v>
      </c>
      <c r="G502" s="8" t="n"/>
      <c r="H502" s="10" t="n">
        <v>260.595</v>
      </c>
      <c r="I502" s="10" t="n">
        <v>245.107</v>
      </c>
      <c r="J502" s="10" t="n">
        <v>161.193</v>
      </c>
      <c r="K502" s="10" t="n">
        <v>83.914</v>
      </c>
      <c r="L502" s="8" t="inlineStr">
        <is>
          <t>九部</t>
        </is>
      </c>
      <c r="M502" s="8" t="inlineStr">
        <is>
          <t>蒋涛</t>
        </is>
      </c>
      <c r="N502" s="8" t="inlineStr">
        <is>
          <t>2-3年</t>
        </is>
      </c>
      <c r="O502" s="8" t="n"/>
    </row>
    <row r="503">
      <c r="A503" s="5" t="n">
        <v>501</v>
      </c>
      <c r="B503" s="5" t="inlineStr">
        <is>
          <t>华中-湖南</t>
        </is>
      </c>
      <c r="C503" s="5" t="inlineStr">
        <is>
          <t>基层自治组织</t>
        </is>
      </c>
      <c r="D503" s="6" t="inlineStr">
        <is>
          <t>HT20251109</t>
        </is>
      </c>
      <c r="E503" s="6" t="inlineStr">
        <is>
          <t>20260906</t>
        </is>
      </c>
      <c r="F503" s="10" t="n">
        <v>148.802</v>
      </c>
      <c r="G503" s="8" t="n"/>
      <c r="H503" s="10" t="n">
        <v>48.574</v>
      </c>
      <c r="I503" s="10" t="n">
        <v>100.228</v>
      </c>
      <c r="J503" s="10" t="n">
        <v>98.792</v>
      </c>
      <c r="K503" s="10" t="n">
        <v>1.436</v>
      </c>
      <c r="L503" s="8" t="inlineStr">
        <is>
          <t>二部</t>
        </is>
      </c>
      <c r="M503" s="8" t="inlineStr">
        <is>
          <t>赵敏</t>
        </is>
      </c>
      <c r="N503" s="8" t="inlineStr">
        <is>
          <t>1年以内</t>
        </is>
      </c>
      <c r="O503" s="8" t="n"/>
    </row>
    <row r="504">
      <c r="A504" s="5" t="n">
        <v>502</v>
      </c>
      <c r="B504" s="5" t="inlineStr">
        <is>
          <t>华北-内蒙古</t>
        </is>
      </c>
      <c r="C504" s="5" t="inlineStr">
        <is>
          <t>党委机关</t>
        </is>
      </c>
      <c r="D504" s="6" t="inlineStr">
        <is>
          <t>HT20251110</t>
        </is>
      </c>
      <c r="E504" s="6" t="inlineStr">
        <is>
          <t>20260120</t>
        </is>
      </c>
      <c r="F504" s="10" t="n">
        <v>726.15</v>
      </c>
      <c r="G504" s="8" t="n"/>
      <c r="H504" s="10" t="n">
        <v>640.051</v>
      </c>
      <c r="I504" s="10" t="n">
        <v>86.099</v>
      </c>
      <c r="J504" s="10" t="n">
        <v>61.754</v>
      </c>
      <c r="K504" s="10" t="n">
        <v>24.345</v>
      </c>
      <c r="L504" s="8" t="inlineStr">
        <is>
          <t>一部</t>
        </is>
      </c>
      <c r="M504" s="8" t="inlineStr">
        <is>
          <t>陈静</t>
        </is>
      </c>
      <c r="N504" s="8" t="inlineStr">
        <is>
          <t>1-2年</t>
        </is>
      </c>
      <c r="O504" s="8" t="n"/>
    </row>
    <row r="505">
      <c r="A505" s="5" t="n">
        <v>503</v>
      </c>
      <c r="B505" s="5" t="inlineStr">
        <is>
          <t>华东-江苏</t>
        </is>
      </c>
      <c r="C505" s="5" t="inlineStr">
        <is>
          <t>人大政协</t>
        </is>
      </c>
      <c r="D505" s="6" t="inlineStr">
        <is>
          <t>HT20251110</t>
        </is>
      </c>
      <c r="E505" s="6" t="inlineStr">
        <is>
          <t>20260120</t>
        </is>
      </c>
      <c r="F505" s="10" t="n">
        <v>207.225</v>
      </c>
      <c r="G505" s="8" t="n"/>
      <c r="H505" s="10" t="n">
        <v>61.978</v>
      </c>
      <c r="I505" s="10" t="n">
        <v>145.247</v>
      </c>
      <c r="J505" s="10" t="n">
        <v>48.79</v>
      </c>
      <c r="K505" s="10" t="n">
        <v>96.45699999999999</v>
      </c>
      <c r="L505" s="8" t="inlineStr">
        <is>
          <t>三部</t>
        </is>
      </c>
      <c r="M505" s="8" t="inlineStr">
        <is>
          <t>马超</t>
        </is>
      </c>
      <c r="N505" s="8" t="inlineStr">
        <is>
          <t>1年以内</t>
        </is>
      </c>
      <c r="O505" s="8" t="n"/>
    </row>
    <row r="506">
      <c r="A506" s="5" t="n">
        <v>504</v>
      </c>
      <c r="B506" s="5" t="inlineStr">
        <is>
          <t>东北-黑龙江</t>
        </is>
      </c>
      <c r="C506" s="5" t="inlineStr">
        <is>
          <t>事业单位</t>
        </is>
      </c>
      <c r="D506" s="6" t="inlineStr">
        <is>
          <t>HT20251111</t>
        </is>
      </c>
      <c r="E506" s="6" t="inlineStr">
        <is>
          <t>20260812</t>
        </is>
      </c>
      <c r="F506" s="10" t="n">
        <v>173.22</v>
      </c>
      <c r="G506" s="8" t="n"/>
      <c r="H506" s="10" t="n">
        <v>26.949</v>
      </c>
      <c r="I506" s="10" t="n">
        <v>146.271</v>
      </c>
      <c r="J506" s="10" t="n">
        <v>114.826</v>
      </c>
      <c r="K506" s="10" t="n">
        <v>31.445</v>
      </c>
      <c r="L506" s="8" t="inlineStr">
        <is>
          <t>一部</t>
        </is>
      </c>
      <c r="M506" s="8" t="inlineStr">
        <is>
          <t>刘洋</t>
        </is>
      </c>
      <c r="N506" s="8" t="inlineStr">
        <is>
          <t>1-2年</t>
        </is>
      </c>
      <c r="O506" s="8" t="n"/>
    </row>
    <row r="507">
      <c r="A507" s="5" t="n">
        <v>505</v>
      </c>
      <c r="B507" s="5" t="inlineStr">
        <is>
          <t>东北-吉林</t>
        </is>
      </c>
      <c r="C507" s="5" t="inlineStr">
        <is>
          <t>国有企业</t>
        </is>
      </c>
      <c r="D507" s="6" t="inlineStr">
        <is>
          <t>HT20251111</t>
        </is>
      </c>
      <c r="E507" s="6" t="inlineStr">
        <is>
          <t>20260812</t>
        </is>
      </c>
      <c r="F507" s="10" t="n">
        <v>938.848</v>
      </c>
      <c r="G507" s="8" t="n"/>
      <c r="H507" s="10" t="n">
        <v>354.385</v>
      </c>
      <c r="I507" s="10" t="n">
        <v>584.463</v>
      </c>
      <c r="J507" s="10" t="n">
        <v>539.8630000000001</v>
      </c>
      <c r="K507" s="10" t="n">
        <v>44.6</v>
      </c>
      <c r="L507" s="8" t="inlineStr">
        <is>
          <t>九部</t>
        </is>
      </c>
      <c r="M507" s="8" t="inlineStr">
        <is>
          <t>蔡明</t>
        </is>
      </c>
      <c r="N507" s="8" t="inlineStr">
        <is>
          <t>1年以内</t>
        </is>
      </c>
      <c r="O507" s="8" t="n"/>
    </row>
    <row r="508">
      <c r="A508" s="5" t="n">
        <v>506</v>
      </c>
      <c r="B508" s="5" t="inlineStr">
        <is>
          <t>华东-台湾</t>
        </is>
      </c>
      <c r="C508" s="5" t="inlineStr">
        <is>
          <t>监察司法机关</t>
        </is>
      </c>
      <c r="D508" s="6" t="inlineStr">
        <is>
          <t>HT20251111</t>
        </is>
      </c>
      <c r="E508" s="6" t="inlineStr">
        <is>
          <t>20260812</t>
        </is>
      </c>
      <c r="F508" s="10" t="n">
        <v>722.8680000000001</v>
      </c>
      <c r="G508" s="8" t="n"/>
      <c r="H508" s="10" t="n">
        <v>685.384</v>
      </c>
      <c r="I508" s="10" t="n">
        <v>37.484</v>
      </c>
      <c r="J508" s="10" t="n">
        <v>20.574</v>
      </c>
      <c r="K508" s="10" t="n">
        <v>16.91</v>
      </c>
      <c r="L508" s="8" t="inlineStr">
        <is>
          <t>八部</t>
        </is>
      </c>
      <c r="M508" s="8" t="inlineStr">
        <is>
          <t>彭燕</t>
        </is>
      </c>
      <c r="N508" s="8" t="inlineStr">
        <is>
          <t>1-2年</t>
        </is>
      </c>
      <c r="O508" s="8" t="n"/>
    </row>
    <row r="509">
      <c r="A509" s="5" t="n">
        <v>507</v>
      </c>
      <c r="B509" s="5" t="inlineStr">
        <is>
          <t>华南-澳门</t>
        </is>
      </c>
      <c r="C509" s="5" t="inlineStr">
        <is>
          <t>监察司法机关</t>
        </is>
      </c>
      <c r="D509" s="6" t="inlineStr">
        <is>
          <t>HT20251112</t>
        </is>
      </c>
      <c r="E509" s="6" t="inlineStr">
        <is>
          <t>20260514</t>
        </is>
      </c>
      <c r="F509" s="10" t="n">
        <v>63.072</v>
      </c>
      <c r="G509" s="8" t="n"/>
      <c r="H509" s="10" t="n">
        <v>39.482</v>
      </c>
      <c r="I509" s="10" t="n">
        <v>23.59</v>
      </c>
      <c r="J509" s="10" t="n">
        <v>9.167</v>
      </c>
      <c r="K509" s="10" t="n">
        <v>14.423</v>
      </c>
      <c r="L509" s="8" t="inlineStr">
        <is>
          <t>十部</t>
        </is>
      </c>
      <c r="M509" s="8" t="inlineStr">
        <is>
          <t>薛峰</t>
        </is>
      </c>
      <c r="N509" s="8" t="inlineStr">
        <is>
          <t>2-3年</t>
        </is>
      </c>
      <c r="O509" s="8" t="n"/>
    </row>
    <row r="510">
      <c r="A510" s="5" t="n">
        <v>508</v>
      </c>
      <c r="B510" s="5" t="inlineStr">
        <is>
          <t>西南-西藏</t>
        </is>
      </c>
      <c r="C510" s="5" t="inlineStr">
        <is>
          <t>人大政协</t>
        </is>
      </c>
      <c r="D510" s="6" t="inlineStr">
        <is>
          <t>HT20251113</t>
        </is>
      </c>
      <c r="E510" s="6" t="inlineStr">
        <is>
          <t>20260621</t>
        </is>
      </c>
      <c r="F510" s="10" t="n">
        <v>278.819</v>
      </c>
      <c r="G510" s="8" t="n"/>
      <c r="H510" s="10" t="n">
        <v>60.521</v>
      </c>
      <c r="I510" s="10" t="n">
        <v>218.298</v>
      </c>
      <c r="J510" s="10" t="n">
        <v>32.017</v>
      </c>
      <c r="K510" s="10" t="n">
        <v>186.281</v>
      </c>
      <c r="L510" s="8" t="inlineStr">
        <is>
          <t>四部</t>
        </is>
      </c>
      <c r="M510" s="8" t="inlineStr">
        <is>
          <t>罗刚</t>
        </is>
      </c>
      <c r="N510" s="8" t="inlineStr">
        <is>
          <t>2-3年</t>
        </is>
      </c>
      <c r="O510" s="8" t="n"/>
    </row>
    <row r="511">
      <c r="A511" s="5" t="n">
        <v>509</v>
      </c>
      <c r="B511" s="5" t="inlineStr">
        <is>
          <t>华北-河北</t>
        </is>
      </c>
      <c r="C511" s="5" t="inlineStr">
        <is>
          <t>监察司法机关</t>
        </is>
      </c>
      <c r="D511" s="6" t="inlineStr">
        <is>
          <t>HT20251114</t>
        </is>
      </c>
      <c r="E511" s="6" t="inlineStr">
        <is>
          <t>20260717</t>
        </is>
      </c>
      <c r="F511" s="10" t="n">
        <v>816.146</v>
      </c>
      <c r="G511" s="8" t="n"/>
      <c r="H511" s="10" t="n">
        <v>812.583</v>
      </c>
      <c r="I511" s="10" t="n">
        <v>3.563</v>
      </c>
      <c r="J511" s="10" t="n">
        <v>1.863</v>
      </c>
      <c r="K511" s="10" t="n">
        <v>1.7</v>
      </c>
      <c r="L511" s="8" t="inlineStr">
        <is>
          <t>一部</t>
        </is>
      </c>
      <c r="M511" s="8" t="inlineStr">
        <is>
          <t>刘洋</t>
        </is>
      </c>
      <c r="N511" s="8" t="inlineStr">
        <is>
          <t>1年以内</t>
        </is>
      </c>
      <c r="O511" s="8" t="n"/>
    </row>
    <row r="512">
      <c r="A512" s="5" t="n">
        <v>510</v>
      </c>
      <c r="B512" s="5" t="inlineStr">
        <is>
          <t>华东-安徽</t>
        </is>
      </c>
      <c r="C512" s="5" t="inlineStr">
        <is>
          <t>基层自治组织</t>
        </is>
      </c>
      <c r="D512" s="6" t="inlineStr">
        <is>
          <t>HT20251116</t>
        </is>
      </c>
      <c r="E512" s="6" t="inlineStr">
        <is>
          <t>20260717</t>
        </is>
      </c>
      <c r="F512" s="10" t="n">
        <v>239.938</v>
      </c>
      <c r="G512" s="8" t="n"/>
      <c r="H512" s="10" t="n">
        <v>80.313</v>
      </c>
      <c r="I512" s="10" t="n">
        <v>159.625</v>
      </c>
      <c r="J512" s="10" t="n">
        <v>132.491</v>
      </c>
      <c r="K512" s="10" t="n">
        <v>27.134</v>
      </c>
      <c r="L512" s="8" t="inlineStr">
        <is>
          <t>四部</t>
        </is>
      </c>
      <c r="M512" s="8" t="inlineStr">
        <is>
          <t>郭鹏</t>
        </is>
      </c>
      <c r="N512" s="8" t="inlineStr">
        <is>
          <t>2-3年</t>
        </is>
      </c>
      <c r="O512" s="8" t="n"/>
    </row>
    <row r="513">
      <c r="A513" s="5" t="n">
        <v>511</v>
      </c>
      <c r="B513" s="5" t="inlineStr">
        <is>
          <t>华东-福建</t>
        </is>
      </c>
      <c r="C513" s="5" t="inlineStr">
        <is>
          <t>人大政协</t>
        </is>
      </c>
      <c r="D513" s="6" t="inlineStr">
        <is>
          <t>HT20251117</t>
        </is>
      </c>
      <c r="E513" s="6" t="inlineStr">
        <is>
          <t>20260308</t>
        </is>
      </c>
      <c r="F513" s="10" t="n">
        <v>779.404</v>
      </c>
      <c r="G513" s="8" t="n"/>
      <c r="H513" s="10" t="n">
        <v>665.9589999999999</v>
      </c>
      <c r="I513" s="10" t="n">
        <v>113.445</v>
      </c>
      <c r="J513" s="10" t="n">
        <v>78.952</v>
      </c>
      <c r="K513" s="10" t="n">
        <v>34.493</v>
      </c>
      <c r="L513" s="8" t="inlineStr">
        <is>
          <t>二部</t>
        </is>
      </c>
      <c r="M513" s="8" t="inlineStr">
        <is>
          <t>黄强</t>
        </is>
      </c>
      <c r="N513" s="8" t="inlineStr">
        <is>
          <t>1-2年</t>
        </is>
      </c>
      <c r="O513" s="8" t="n"/>
    </row>
    <row r="514">
      <c r="A514" s="5" t="n">
        <v>512</v>
      </c>
      <c r="B514" s="5" t="inlineStr">
        <is>
          <t>华南-海南</t>
        </is>
      </c>
      <c r="C514" s="5" t="inlineStr">
        <is>
          <t>事业单位</t>
        </is>
      </c>
      <c r="D514" s="6" t="inlineStr">
        <is>
          <t>HT20251117</t>
        </is>
      </c>
      <c r="E514" s="6" t="inlineStr">
        <is>
          <t>20260308</t>
        </is>
      </c>
      <c r="F514" s="10" t="n">
        <v>31.54</v>
      </c>
      <c r="G514" s="8" t="n"/>
      <c r="H514" s="10" t="n">
        <v>19.508</v>
      </c>
      <c r="I514" s="10" t="n">
        <v>12.032</v>
      </c>
      <c r="J514" s="10" t="n">
        <v>8.478</v>
      </c>
      <c r="K514" s="10" t="n">
        <v>3.554</v>
      </c>
      <c r="L514" s="8" t="inlineStr">
        <is>
          <t>七部</t>
        </is>
      </c>
      <c r="M514" s="8" t="inlineStr">
        <is>
          <t>许涛</t>
        </is>
      </c>
      <c r="N514" s="8" t="inlineStr">
        <is>
          <t>1年以内</t>
        </is>
      </c>
      <c r="O514" s="8" t="n"/>
    </row>
    <row r="515">
      <c r="A515" s="5" t="n">
        <v>513</v>
      </c>
      <c r="B515" s="5" t="inlineStr">
        <is>
          <t>西南-重庆</t>
        </is>
      </c>
      <c r="C515" s="5" t="inlineStr">
        <is>
          <t>党委机关</t>
        </is>
      </c>
      <c r="D515" s="6" t="inlineStr">
        <is>
          <t>HT20251118</t>
        </is>
      </c>
      <c r="E515" s="6" t="inlineStr">
        <is>
          <t>20260905</t>
        </is>
      </c>
      <c r="F515" s="10" t="n">
        <v>654.355</v>
      </c>
      <c r="G515" s="8" t="n"/>
      <c r="H515" s="10" t="n">
        <v>652.33</v>
      </c>
      <c r="I515" s="10" t="n">
        <v>2.025</v>
      </c>
      <c r="J515" s="10" t="n">
        <v>0.552</v>
      </c>
      <c r="K515" s="10" t="n">
        <v>1.473</v>
      </c>
      <c r="L515" s="8" t="inlineStr">
        <is>
          <t>五部</t>
        </is>
      </c>
      <c r="M515" s="8" t="inlineStr">
        <is>
          <t>谢峰</t>
        </is>
      </c>
      <c r="N515" s="8" t="inlineStr">
        <is>
          <t>2-3年</t>
        </is>
      </c>
      <c r="O515" s="8" t="n"/>
    </row>
    <row r="516">
      <c r="A516" s="5" t="n">
        <v>514</v>
      </c>
      <c r="B516" s="5" t="inlineStr">
        <is>
          <t>华中-湖南</t>
        </is>
      </c>
      <c r="C516" s="5" t="inlineStr">
        <is>
          <t>事业单位</t>
        </is>
      </c>
      <c r="D516" s="6" t="inlineStr">
        <is>
          <t>HT20251118</t>
        </is>
      </c>
      <c r="E516" s="6" t="inlineStr">
        <is>
          <t>20260905</t>
        </is>
      </c>
      <c r="F516" s="10" t="n">
        <v>297.006</v>
      </c>
      <c r="G516" s="8" t="n"/>
      <c r="H516" s="10" t="n">
        <v>4.603</v>
      </c>
      <c r="I516" s="10" t="n">
        <v>292.403</v>
      </c>
      <c r="J516" s="10" t="n">
        <v>157.606</v>
      </c>
      <c r="K516" s="10" t="n">
        <v>134.797</v>
      </c>
      <c r="L516" s="8" t="inlineStr">
        <is>
          <t>十部</t>
        </is>
      </c>
      <c r="M516" s="8" t="inlineStr">
        <is>
          <t>雷声</t>
        </is>
      </c>
      <c r="N516" s="8" t="inlineStr">
        <is>
          <t>1年以内</t>
        </is>
      </c>
      <c r="O516" s="8" t="n"/>
    </row>
    <row r="517">
      <c r="A517" s="5" t="n">
        <v>515</v>
      </c>
      <c r="B517" s="5" t="inlineStr">
        <is>
          <t>西南-重庆</t>
        </is>
      </c>
      <c r="C517" s="5" t="inlineStr">
        <is>
          <t>政府机关</t>
        </is>
      </c>
      <c r="D517" s="6" t="inlineStr">
        <is>
          <t>HT20251119</t>
        </is>
      </c>
      <c r="E517" s="6" t="inlineStr">
        <is>
          <t>20260513</t>
        </is>
      </c>
      <c r="F517" s="10" t="n">
        <v>321.795</v>
      </c>
      <c r="G517" s="8" t="n"/>
      <c r="H517" s="10" t="n">
        <v>38.505</v>
      </c>
      <c r="I517" s="10" t="n">
        <v>283.29</v>
      </c>
      <c r="J517" s="10" t="n">
        <v>108.25</v>
      </c>
      <c r="K517" s="10" t="n">
        <v>175.04</v>
      </c>
      <c r="L517" s="8" t="inlineStr">
        <is>
          <t>二部</t>
        </is>
      </c>
      <c r="M517" s="8" t="inlineStr">
        <is>
          <t>周杰</t>
        </is>
      </c>
      <c r="N517" s="8" t="inlineStr">
        <is>
          <t>2-3年</t>
        </is>
      </c>
      <c r="O517" s="8" t="n"/>
    </row>
    <row r="518">
      <c r="A518" s="5" t="n">
        <v>516</v>
      </c>
      <c r="B518" s="5" t="inlineStr">
        <is>
          <t>华东-福建</t>
        </is>
      </c>
      <c r="C518" s="5" t="inlineStr">
        <is>
          <t>政府机关</t>
        </is>
      </c>
      <c r="D518" s="6" t="inlineStr">
        <is>
          <t>HT20251120</t>
        </is>
      </c>
      <c r="E518" s="6" t="inlineStr">
        <is>
          <t>20260804</t>
        </is>
      </c>
      <c r="F518" s="10" t="n">
        <v>857.871</v>
      </c>
      <c r="G518" s="8" t="n"/>
      <c r="H518" s="10" t="n">
        <v>373.906</v>
      </c>
      <c r="I518" s="10" t="n">
        <v>483.965</v>
      </c>
      <c r="J518" s="10" t="n">
        <v>460.693</v>
      </c>
      <c r="K518" s="10" t="n">
        <v>23.272</v>
      </c>
      <c r="L518" s="8" t="inlineStr">
        <is>
          <t>十部</t>
        </is>
      </c>
      <c r="M518" s="8" t="inlineStr">
        <is>
          <t>阎莉</t>
        </is>
      </c>
      <c r="N518" s="8" t="inlineStr">
        <is>
          <t>1年以内</t>
        </is>
      </c>
      <c r="O518" s="8" t="n"/>
    </row>
    <row r="519">
      <c r="A519" s="5" t="n">
        <v>517</v>
      </c>
      <c r="B519" s="5" t="inlineStr">
        <is>
          <t>西北-宁夏</t>
        </is>
      </c>
      <c r="C519" s="5" t="inlineStr">
        <is>
          <t>监察司法机关</t>
        </is>
      </c>
      <c r="D519" s="6" t="inlineStr">
        <is>
          <t>HT20251120</t>
        </is>
      </c>
      <c r="E519" s="6" t="inlineStr">
        <is>
          <t>20260804</t>
        </is>
      </c>
      <c r="F519" s="10" t="n">
        <v>389.782</v>
      </c>
      <c r="G519" s="8" t="n"/>
      <c r="H519" s="10" t="n">
        <v>125.609</v>
      </c>
      <c r="I519" s="10" t="n">
        <v>264.173</v>
      </c>
      <c r="J519" s="10" t="n">
        <v>155.022</v>
      </c>
      <c r="K519" s="10" t="n">
        <v>109.151</v>
      </c>
      <c r="L519" s="8" t="inlineStr">
        <is>
          <t>五部</t>
        </is>
      </c>
      <c r="M519" s="8" t="inlineStr">
        <is>
          <t>宋佳</t>
        </is>
      </c>
      <c r="N519" s="8" t="inlineStr">
        <is>
          <t>1年以内</t>
        </is>
      </c>
      <c r="O519" s="8" t="n"/>
    </row>
    <row r="520">
      <c r="A520" s="5" t="n">
        <v>518</v>
      </c>
      <c r="B520" s="5" t="inlineStr">
        <is>
          <t>华东-江苏</t>
        </is>
      </c>
      <c r="C520" s="5" t="inlineStr">
        <is>
          <t>事业单位</t>
        </is>
      </c>
      <c r="D520" s="6" t="inlineStr">
        <is>
          <t>HT20251121</t>
        </is>
      </c>
      <c r="E520" s="6" t="inlineStr">
        <is>
          <t>20260618</t>
        </is>
      </c>
      <c r="F520" s="10" t="n">
        <v>265.559</v>
      </c>
      <c r="G520" s="8" t="n"/>
      <c r="H520" s="10" t="n">
        <v>258.538</v>
      </c>
      <c r="I520" s="10" t="n">
        <v>7.021</v>
      </c>
      <c r="J520" s="10" t="n">
        <v>0.553</v>
      </c>
      <c r="K520" s="10" t="n">
        <v>6.468</v>
      </c>
      <c r="L520" s="8" t="inlineStr">
        <is>
          <t>七部</t>
        </is>
      </c>
      <c r="M520" s="8" t="inlineStr">
        <is>
          <t>沈刚</t>
        </is>
      </c>
      <c r="N520" s="8" t="inlineStr">
        <is>
          <t>2-3年</t>
        </is>
      </c>
      <c r="O520" s="8" t="n"/>
    </row>
    <row r="521">
      <c r="A521" s="5" t="n">
        <v>519</v>
      </c>
      <c r="B521" s="5" t="inlineStr">
        <is>
          <t>西北-宁夏</t>
        </is>
      </c>
      <c r="C521" s="5" t="inlineStr">
        <is>
          <t>人大政协</t>
        </is>
      </c>
      <c r="D521" s="6" t="inlineStr">
        <is>
          <t>HT20251121</t>
        </is>
      </c>
      <c r="E521" s="6" t="inlineStr">
        <is>
          <t>20260618</t>
        </is>
      </c>
      <c r="F521" s="10" t="n">
        <v>200.387</v>
      </c>
      <c r="G521" s="8" t="n"/>
      <c r="H521" s="10" t="n">
        <v>134.827</v>
      </c>
      <c r="I521" s="10" t="n">
        <v>65.56</v>
      </c>
      <c r="J521" s="10" t="n">
        <v>32.02</v>
      </c>
      <c r="K521" s="10" t="n">
        <v>33.54</v>
      </c>
      <c r="L521" s="8" t="inlineStr">
        <is>
          <t>七部</t>
        </is>
      </c>
      <c r="M521" s="8" t="inlineStr">
        <is>
          <t>袁博</t>
        </is>
      </c>
      <c r="N521" s="8" t="inlineStr">
        <is>
          <t>1-2年</t>
        </is>
      </c>
      <c r="O521" s="8" t="n"/>
    </row>
    <row r="522">
      <c r="A522" s="5" t="n">
        <v>520</v>
      </c>
      <c r="B522" s="5" t="inlineStr">
        <is>
          <t>西南-重庆</t>
        </is>
      </c>
      <c r="C522" s="5" t="inlineStr">
        <is>
          <t>基层自治组织</t>
        </is>
      </c>
      <c r="D522" s="6" t="inlineStr">
        <is>
          <t>HT20251122</t>
        </is>
      </c>
      <c r="E522" s="6" t="inlineStr">
        <is>
          <t>20260507</t>
        </is>
      </c>
      <c r="F522" s="10" t="n">
        <v>4321.016</v>
      </c>
      <c r="G522" s="8" t="n"/>
      <c r="H522" s="10" t="n">
        <v>1708.833</v>
      </c>
      <c r="I522" s="10" t="n">
        <v>2612.183</v>
      </c>
      <c r="J522" s="10" t="n">
        <v>2429.594</v>
      </c>
      <c r="K522" s="10" t="n">
        <v>182.589</v>
      </c>
      <c r="L522" s="8" t="inlineStr">
        <is>
          <t>十部</t>
        </is>
      </c>
      <c r="M522" s="8" t="inlineStr">
        <is>
          <t>段勇</t>
        </is>
      </c>
      <c r="N522" s="8" t="inlineStr">
        <is>
          <t>1年以内</t>
        </is>
      </c>
      <c r="O522" s="8" t="n"/>
    </row>
    <row r="523">
      <c r="A523" s="5" t="n">
        <v>521</v>
      </c>
      <c r="B523" s="5" t="inlineStr">
        <is>
          <t>华中-河南</t>
        </is>
      </c>
      <c r="C523" s="5" t="inlineStr">
        <is>
          <t>人大政协</t>
        </is>
      </c>
      <c r="D523" s="6" t="inlineStr">
        <is>
          <t>HT20251122</t>
        </is>
      </c>
      <c r="E523" s="6" t="inlineStr">
        <is>
          <t>20260507</t>
        </is>
      </c>
      <c r="F523" s="10" t="n">
        <v>128.738</v>
      </c>
      <c r="G523" s="8" t="n"/>
      <c r="H523" s="10" t="n">
        <v>32.115</v>
      </c>
      <c r="I523" s="10" t="n">
        <v>96.623</v>
      </c>
      <c r="J523" s="10" t="n">
        <v>30.678</v>
      </c>
      <c r="K523" s="10" t="n">
        <v>65.94499999999999</v>
      </c>
      <c r="L523" s="8" t="inlineStr">
        <is>
          <t>十部</t>
        </is>
      </c>
      <c r="M523" s="8" t="inlineStr">
        <is>
          <t>段勇</t>
        </is>
      </c>
      <c r="N523" s="8" t="inlineStr">
        <is>
          <t>1-2年</t>
        </is>
      </c>
      <c r="O523" s="8" t="n"/>
    </row>
    <row r="524">
      <c r="A524" s="5" t="n">
        <v>522</v>
      </c>
      <c r="B524" s="5" t="inlineStr">
        <is>
          <t>华中-湖南</t>
        </is>
      </c>
      <c r="C524" s="5" t="inlineStr">
        <is>
          <t>事业单位</t>
        </is>
      </c>
      <c r="D524" s="6" t="inlineStr">
        <is>
          <t>HT20251123</t>
        </is>
      </c>
      <c r="E524" s="6" t="inlineStr">
        <is>
          <t>20260301</t>
        </is>
      </c>
      <c r="F524" s="10" t="n">
        <v>719.659</v>
      </c>
      <c r="G524" s="8" t="n"/>
      <c r="H524" s="10" t="n">
        <v>99.096</v>
      </c>
      <c r="I524" s="10" t="n">
        <v>620.563</v>
      </c>
      <c r="J524" s="10" t="n">
        <v>196.486</v>
      </c>
      <c r="K524" s="10" t="n">
        <v>424.077</v>
      </c>
      <c r="L524" s="8" t="inlineStr">
        <is>
          <t>三部</t>
        </is>
      </c>
      <c r="M524" s="8" t="inlineStr">
        <is>
          <t>徐涛</t>
        </is>
      </c>
      <c r="N524" s="8" t="inlineStr">
        <is>
          <t>2-3年</t>
        </is>
      </c>
      <c r="O524" s="8" t="n"/>
    </row>
    <row r="525">
      <c r="A525" s="5" t="n">
        <v>523</v>
      </c>
      <c r="B525" s="5" t="inlineStr">
        <is>
          <t>西南-云南</t>
        </is>
      </c>
      <c r="C525" s="5" t="inlineStr">
        <is>
          <t>人大政协</t>
        </is>
      </c>
      <c r="D525" s="6" t="inlineStr">
        <is>
          <t>HT20251124</t>
        </is>
      </c>
      <c r="E525" s="6" t="inlineStr">
        <is>
          <t>20260815</t>
        </is>
      </c>
      <c r="F525" s="10" t="n">
        <v>682.379</v>
      </c>
      <c r="G525" s="8" t="n"/>
      <c r="H525" s="10" t="n">
        <v>429.728</v>
      </c>
      <c r="I525" s="10" t="n">
        <v>252.651</v>
      </c>
      <c r="J525" s="10" t="n">
        <v>143.872</v>
      </c>
      <c r="K525" s="10" t="n">
        <v>108.779</v>
      </c>
      <c r="L525" s="8" t="inlineStr">
        <is>
          <t>三部</t>
        </is>
      </c>
      <c r="M525" s="8" t="inlineStr">
        <is>
          <t>朱军</t>
        </is>
      </c>
      <c r="N525" s="8" t="inlineStr">
        <is>
          <t>1-2年</t>
        </is>
      </c>
      <c r="O525" s="8" t="n"/>
    </row>
    <row r="526">
      <c r="A526" s="5" t="n">
        <v>524</v>
      </c>
      <c r="B526" s="5" t="inlineStr">
        <is>
          <t>华东-福建</t>
        </is>
      </c>
      <c r="C526" s="5" t="inlineStr">
        <is>
          <t>国有企业</t>
        </is>
      </c>
      <c r="D526" s="6" t="inlineStr">
        <is>
          <t>HT20251124</t>
        </is>
      </c>
      <c r="E526" s="6" t="inlineStr">
        <is>
          <t>20260815</t>
        </is>
      </c>
      <c r="F526" s="10" t="n">
        <v>777.178</v>
      </c>
      <c r="G526" s="8" t="n"/>
      <c r="H526" s="10" t="n">
        <v>195.068</v>
      </c>
      <c r="I526" s="10" t="n">
        <v>582.11</v>
      </c>
      <c r="J526" s="10" t="n">
        <v>86.941</v>
      </c>
      <c r="K526" s="10" t="n">
        <v>495.169</v>
      </c>
      <c r="L526" s="8" t="inlineStr">
        <is>
          <t>七部</t>
        </is>
      </c>
      <c r="M526" s="8" t="inlineStr">
        <is>
          <t>许涛</t>
        </is>
      </c>
      <c r="N526" s="8" t="inlineStr">
        <is>
          <t>2-3年</t>
        </is>
      </c>
      <c r="O526" s="8" t="n"/>
    </row>
    <row r="527">
      <c r="A527" s="5" t="n">
        <v>525</v>
      </c>
      <c r="B527" s="5" t="inlineStr">
        <is>
          <t>华中-河南</t>
        </is>
      </c>
      <c r="C527" s="5" t="inlineStr">
        <is>
          <t>党委机关</t>
        </is>
      </c>
      <c r="D527" s="6" t="inlineStr">
        <is>
          <t>HT20251127</t>
        </is>
      </c>
      <c r="E527" s="6" t="inlineStr">
        <is>
          <t>20260312</t>
        </is>
      </c>
      <c r="F527" s="10" t="n">
        <v>982.548</v>
      </c>
      <c r="G527" s="8" t="n"/>
      <c r="H527" s="10" t="n">
        <v>660.755</v>
      </c>
      <c r="I527" s="10" t="n">
        <v>321.793</v>
      </c>
      <c r="J527" s="10" t="n">
        <v>191.686</v>
      </c>
      <c r="K527" s="10" t="n">
        <v>130.107</v>
      </c>
      <c r="L527" s="8" t="inlineStr">
        <is>
          <t>二部</t>
        </is>
      </c>
      <c r="M527" s="8" t="inlineStr">
        <is>
          <t>赵敏</t>
        </is>
      </c>
      <c r="N527" s="8" t="inlineStr">
        <is>
          <t>1-2年</t>
        </is>
      </c>
      <c r="O527" s="8" t="n"/>
    </row>
    <row r="528">
      <c r="A528" s="5" t="n">
        <v>526</v>
      </c>
      <c r="B528" s="5" t="inlineStr">
        <is>
          <t>华东-山东</t>
        </is>
      </c>
      <c r="C528" s="5" t="inlineStr">
        <is>
          <t>监察司法机关</t>
        </is>
      </c>
      <c r="D528" s="6" t="inlineStr">
        <is>
          <t>HT20251127</t>
        </is>
      </c>
      <c r="E528" s="6" t="inlineStr">
        <is>
          <t>20260312</t>
        </is>
      </c>
      <c r="F528" s="10" t="n">
        <v>37.839</v>
      </c>
      <c r="G528" s="8" t="n"/>
      <c r="H528" s="10" t="n">
        <v>2.31</v>
      </c>
      <c r="I528" s="10" t="n">
        <v>35.529</v>
      </c>
      <c r="J528" s="10" t="n">
        <v>25.181</v>
      </c>
      <c r="K528" s="10" t="n">
        <v>10.348</v>
      </c>
      <c r="L528" s="8" t="inlineStr">
        <is>
          <t>十部</t>
        </is>
      </c>
      <c r="M528" s="8" t="inlineStr">
        <is>
          <t>阎莉</t>
        </is>
      </c>
      <c r="N528" s="8" t="inlineStr">
        <is>
          <t>2-3年</t>
        </is>
      </c>
      <c r="O528" s="8" t="n"/>
    </row>
    <row r="529">
      <c r="A529" s="5" t="n">
        <v>527</v>
      </c>
      <c r="B529" s="5" t="inlineStr">
        <is>
          <t>华东-上海</t>
        </is>
      </c>
      <c r="C529" s="5" t="inlineStr">
        <is>
          <t>群团组织</t>
        </is>
      </c>
      <c r="D529" s="6" t="inlineStr">
        <is>
          <t>HT20251128</t>
        </is>
      </c>
      <c r="E529" s="6" t="inlineStr">
        <is>
          <t>20260527</t>
        </is>
      </c>
      <c r="F529" s="10" t="n">
        <v>12.845</v>
      </c>
      <c r="G529" s="8" t="n"/>
      <c r="H529" s="10" t="n">
        <v>4.432</v>
      </c>
      <c r="I529" s="10" t="n">
        <v>8.413</v>
      </c>
      <c r="J529" s="10" t="n">
        <v>5.194</v>
      </c>
      <c r="K529" s="10" t="n">
        <v>3.219</v>
      </c>
      <c r="L529" s="8" t="inlineStr">
        <is>
          <t>五部</t>
        </is>
      </c>
      <c r="M529" s="8" t="inlineStr">
        <is>
          <t>郑浩</t>
        </is>
      </c>
      <c r="N529" s="8" t="inlineStr">
        <is>
          <t>1-2年</t>
        </is>
      </c>
      <c r="O529" s="8" t="n"/>
    </row>
    <row r="530">
      <c r="A530" s="5" t="n">
        <v>528</v>
      </c>
      <c r="B530" s="5" t="inlineStr">
        <is>
          <t>东北-辽宁</t>
        </is>
      </c>
      <c r="C530" s="5" t="inlineStr">
        <is>
          <t>党委机关</t>
        </is>
      </c>
      <c r="D530" s="6" t="inlineStr">
        <is>
          <t>HT20251129</t>
        </is>
      </c>
      <c r="E530" s="6" t="inlineStr">
        <is>
          <t>20260310</t>
        </is>
      </c>
      <c r="F530" s="10" t="n">
        <v>1936.896</v>
      </c>
      <c r="G530" s="8" t="n"/>
      <c r="H530" s="10" t="n">
        <v>1134.696</v>
      </c>
      <c r="I530" s="10" t="n">
        <v>802.2</v>
      </c>
      <c r="J530" s="10" t="n">
        <v>670.083</v>
      </c>
      <c r="K530" s="10" t="n">
        <v>132.117</v>
      </c>
      <c r="L530" s="8" t="inlineStr">
        <is>
          <t>九部</t>
        </is>
      </c>
      <c r="M530" s="8" t="inlineStr">
        <is>
          <t>蔡明</t>
        </is>
      </c>
      <c r="N530" s="8" t="inlineStr">
        <is>
          <t>2-3年</t>
        </is>
      </c>
      <c r="O530" s="8" t="n"/>
    </row>
    <row r="531">
      <c r="A531" s="5" t="n">
        <v>529</v>
      </c>
      <c r="B531" s="5" t="inlineStr">
        <is>
          <t>华南-海南</t>
        </is>
      </c>
      <c r="C531" s="5" t="inlineStr">
        <is>
          <t>监察司法机关</t>
        </is>
      </c>
      <c r="D531" s="6" t="inlineStr">
        <is>
          <t>HT20251129</t>
        </is>
      </c>
      <c r="E531" s="6" t="inlineStr">
        <is>
          <t>20260310</t>
        </is>
      </c>
      <c r="F531" s="10" t="n">
        <v>945.071</v>
      </c>
      <c r="G531" s="8" t="n"/>
      <c r="H531" s="10" t="n">
        <v>232.616</v>
      </c>
      <c r="I531" s="10" t="n">
        <v>712.455</v>
      </c>
      <c r="J531" s="10" t="n">
        <v>276.303</v>
      </c>
      <c r="K531" s="10" t="n">
        <v>436.152</v>
      </c>
      <c r="L531" s="8" t="inlineStr">
        <is>
          <t>一部</t>
        </is>
      </c>
      <c r="M531" s="8" t="inlineStr">
        <is>
          <t>李娜</t>
        </is>
      </c>
      <c r="N531" s="8" t="inlineStr">
        <is>
          <t>1年以内</t>
        </is>
      </c>
      <c r="O531" s="8" t="n"/>
    </row>
    <row r="532">
      <c r="A532" s="5" t="n">
        <v>530</v>
      </c>
      <c r="B532" s="5" t="inlineStr">
        <is>
          <t>华中-湖北</t>
        </is>
      </c>
      <c r="C532" s="5" t="inlineStr">
        <is>
          <t>政府机关</t>
        </is>
      </c>
      <c r="D532" s="6" t="inlineStr">
        <is>
          <t>HT20251129</t>
        </is>
      </c>
      <c r="E532" s="6" t="inlineStr">
        <is>
          <t>20260310</t>
        </is>
      </c>
      <c r="F532" s="10" t="n">
        <v>872.532</v>
      </c>
      <c r="G532" s="8" t="n"/>
      <c r="H532" s="10" t="n">
        <v>689.9450000000001</v>
      </c>
      <c r="I532" s="10" t="n">
        <v>182.587</v>
      </c>
      <c r="J532" s="10" t="n">
        <v>155.872</v>
      </c>
      <c r="K532" s="10" t="n">
        <v>26.715</v>
      </c>
      <c r="L532" s="8" t="inlineStr">
        <is>
          <t>十部</t>
        </is>
      </c>
      <c r="M532" s="8" t="inlineStr">
        <is>
          <t>薛峰</t>
        </is>
      </c>
      <c r="N532" s="8" t="inlineStr">
        <is>
          <t>1年以内</t>
        </is>
      </c>
      <c r="O532" s="8" t="n"/>
    </row>
    <row r="533">
      <c r="A533" s="5" t="n">
        <v>531</v>
      </c>
      <c r="B533" s="5" t="inlineStr">
        <is>
          <t>华中-湖北</t>
        </is>
      </c>
      <c r="C533" s="5" t="inlineStr">
        <is>
          <t>群团组织</t>
        </is>
      </c>
      <c r="D533" s="6" t="inlineStr">
        <is>
          <t>HT20251130</t>
        </is>
      </c>
      <c r="E533" s="6" t="inlineStr">
        <is>
          <t>20260523</t>
        </is>
      </c>
      <c r="F533" s="10" t="n">
        <v>2281.628</v>
      </c>
      <c r="G533" s="8" t="n"/>
      <c r="H533" s="10" t="n">
        <v>1136.927</v>
      </c>
      <c r="I533" s="10" t="n">
        <v>1144.701</v>
      </c>
      <c r="J533" s="10" t="n">
        <v>396.686</v>
      </c>
      <c r="K533" s="10" t="n">
        <v>748.015</v>
      </c>
      <c r="L533" s="8" t="inlineStr">
        <is>
          <t>五部</t>
        </is>
      </c>
      <c r="M533" s="8" t="inlineStr">
        <is>
          <t>谢峰</t>
        </is>
      </c>
      <c r="N533" s="8" t="inlineStr">
        <is>
          <t>2-3年</t>
        </is>
      </c>
      <c r="O533" s="8" t="n"/>
    </row>
    <row r="534">
      <c r="A534" s="5" t="n">
        <v>532</v>
      </c>
      <c r="B534" s="5" t="inlineStr">
        <is>
          <t>华东-福建</t>
        </is>
      </c>
      <c r="C534" s="5" t="inlineStr">
        <is>
          <t>群团组织</t>
        </is>
      </c>
      <c r="D534" s="6" t="inlineStr">
        <is>
          <t>HT20251130</t>
        </is>
      </c>
      <c r="E534" s="6" t="inlineStr">
        <is>
          <t>20260523</t>
        </is>
      </c>
      <c r="F534" s="10" t="n">
        <v>762.2670000000001</v>
      </c>
      <c r="G534" s="8" t="n"/>
      <c r="H534" s="10" t="n">
        <v>414.113</v>
      </c>
      <c r="I534" s="10" t="n">
        <v>348.154</v>
      </c>
      <c r="J534" s="10" t="n">
        <v>199.615</v>
      </c>
      <c r="K534" s="10" t="n">
        <v>148.539</v>
      </c>
      <c r="L534" s="8" t="inlineStr">
        <is>
          <t>八部</t>
        </is>
      </c>
      <c r="M534" s="8" t="inlineStr">
        <is>
          <t>卢俊</t>
        </is>
      </c>
      <c r="N534" s="8" t="inlineStr">
        <is>
          <t>2-3年</t>
        </is>
      </c>
      <c r="O534" s="8" t="n"/>
    </row>
    <row r="535">
      <c r="A535" s="5" t="n">
        <v>533</v>
      </c>
      <c r="B535" s="5" t="inlineStr">
        <is>
          <t>西北-甘肃</t>
        </is>
      </c>
      <c r="C535" s="5" t="inlineStr">
        <is>
          <t>事业单位</t>
        </is>
      </c>
      <c r="D535" s="6" t="inlineStr">
        <is>
          <t>HT20251201</t>
        </is>
      </c>
      <c r="E535" s="6" t="inlineStr">
        <is>
          <t>20260212</t>
        </is>
      </c>
      <c r="F535" s="10" t="n">
        <v>5486.443</v>
      </c>
      <c r="G535" s="8" t="n"/>
      <c r="H535" s="10" t="n">
        <v>2818.498</v>
      </c>
      <c r="I535" s="10" t="n">
        <v>2667.945</v>
      </c>
      <c r="J535" s="10" t="n">
        <v>307.398</v>
      </c>
      <c r="K535" s="10" t="n">
        <v>2360.547</v>
      </c>
      <c r="L535" s="8" t="inlineStr">
        <is>
          <t>七部</t>
        </is>
      </c>
      <c r="M535" s="8" t="inlineStr">
        <is>
          <t>沈刚</t>
        </is>
      </c>
      <c r="N535" s="8" t="inlineStr">
        <is>
          <t>1年以内</t>
        </is>
      </c>
      <c r="O535" s="8" t="n"/>
    </row>
    <row r="536">
      <c r="A536" s="5" t="n">
        <v>534</v>
      </c>
      <c r="B536" s="5" t="inlineStr">
        <is>
          <t>西北-甘肃</t>
        </is>
      </c>
      <c r="C536" s="5" t="inlineStr">
        <is>
          <t>基层自治组织</t>
        </is>
      </c>
      <c r="D536" s="6" t="inlineStr">
        <is>
          <t>HT20251201</t>
        </is>
      </c>
      <c r="E536" s="6" t="inlineStr">
        <is>
          <t>20260212</t>
        </is>
      </c>
      <c r="F536" s="10" t="n">
        <v>524.98</v>
      </c>
      <c r="G536" s="8" t="n"/>
      <c r="H536" s="10" t="n">
        <v>399.401</v>
      </c>
      <c r="I536" s="10" t="n">
        <v>125.579</v>
      </c>
      <c r="J536" s="10" t="n">
        <v>72.625</v>
      </c>
      <c r="K536" s="10" t="n">
        <v>52.954</v>
      </c>
      <c r="L536" s="8" t="inlineStr">
        <is>
          <t>六部</t>
        </is>
      </c>
      <c r="M536" s="8" t="inlineStr">
        <is>
          <t>冯倩</t>
        </is>
      </c>
      <c r="N536" s="8" t="inlineStr">
        <is>
          <t>2-3年</t>
        </is>
      </c>
      <c r="O536" s="8" t="n"/>
    </row>
    <row r="537">
      <c r="A537" s="5" t="n">
        <v>535</v>
      </c>
      <c r="B537" s="5" t="inlineStr">
        <is>
          <t>华东-江苏</t>
        </is>
      </c>
      <c r="C537" s="5" t="inlineStr">
        <is>
          <t>国有企业</t>
        </is>
      </c>
      <c r="D537" s="6" t="inlineStr">
        <is>
          <t>HT20251201</t>
        </is>
      </c>
      <c r="E537" s="6" t="inlineStr">
        <is>
          <t>20260212</t>
        </is>
      </c>
      <c r="F537" s="10" t="n">
        <v>862.718</v>
      </c>
      <c r="G537" s="8" t="n"/>
      <c r="H537" s="10" t="n">
        <v>508.943</v>
      </c>
      <c r="I537" s="10" t="n">
        <v>353.775</v>
      </c>
      <c r="J537" s="10" t="n">
        <v>324.231</v>
      </c>
      <c r="K537" s="10" t="n">
        <v>29.544</v>
      </c>
      <c r="L537" s="8" t="inlineStr">
        <is>
          <t>四部</t>
        </is>
      </c>
      <c r="M537" s="8" t="inlineStr">
        <is>
          <t>罗刚</t>
        </is>
      </c>
      <c r="N537" s="8" t="inlineStr">
        <is>
          <t>1-2年</t>
        </is>
      </c>
      <c r="O537" s="8" t="n"/>
    </row>
    <row r="538">
      <c r="A538" s="5" t="n">
        <v>536</v>
      </c>
      <c r="B538" s="5" t="inlineStr">
        <is>
          <t>华北-河北</t>
        </is>
      </c>
      <c r="C538" s="5" t="inlineStr">
        <is>
          <t>人大政协</t>
        </is>
      </c>
      <c r="D538" s="6" t="inlineStr">
        <is>
          <t>HT20251202</t>
        </is>
      </c>
      <c r="E538" s="6" t="inlineStr">
        <is>
          <t>20260509</t>
        </is>
      </c>
      <c r="F538" s="10" t="n">
        <v>154.279</v>
      </c>
      <c r="G538" s="8" t="n"/>
      <c r="H538" s="10" t="n">
        <v>73.102</v>
      </c>
      <c r="I538" s="10" t="n">
        <v>81.17700000000001</v>
      </c>
      <c r="J538" s="10" t="n">
        <v>32.276</v>
      </c>
      <c r="K538" s="10" t="n">
        <v>48.901</v>
      </c>
      <c r="L538" s="8" t="inlineStr">
        <is>
          <t>七部</t>
        </is>
      </c>
      <c r="M538" s="8" t="inlineStr">
        <is>
          <t>沈刚</t>
        </is>
      </c>
      <c r="N538" s="8" t="inlineStr">
        <is>
          <t>1年以内</t>
        </is>
      </c>
      <c r="O538" s="8" t="n"/>
    </row>
    <row r="539">
      <c r="A539" s="5" t="n">
        <v>537</v>
      </c>
      <c r="B539" s="5" t="inlineStr">
        <is>
          <t>东北-吉林</t>
        </is>
      </c>
      <c r="C539" s="5" t="inlineStr">
        <is>
          <t>政府机关</t>
        </is>
      </c>
      <c r="D539" s="6" t="inlineStr">
        <is>
          <t>HT20251203</t>
        </is>
      </c>
      <c r="E539" s="6" t="inlineStr">
        <is>
          <t>20260403</t>
        </is>
      </c>
      <c r="F539" s="10" t="n">
        <v>172.18</v>
      </c>
      <c r="G539" s="8" t="n"/>
      <c r="H539" s="10" t="n">
        <v>167.142</v>
      </c>
      <c r="I539" s="10" t="n">
        <v>5.038</v>
      </c>
      <c r="J539" s="10" t="n">
        <v>2.643</v>
      </c>
      <c r="K539" s="10" t="n">
        <v>2.395</v>
      </c>
      <c r="L539" s="8" t="inlineStr">
        <is>
          <t>二部</t>
        </is>
      </c>
      <c r="M539" s="8" t="inlineStr">
        <is>
          <t>杨磊</t>
        </is>
      </c>
      <c r="N539" s="8" t="inlineStr">
        <is>
          <t>2-3年</t>
        </is>
      </c>
      <c r="O539" s="8" t="n"/>
    </row>
    <row r="540">
      <c r="A540" s="5" t="n">
        <v>538</v>
      </c>
      <c r="B540" s="5" t="inlineStr">
        <is>
          <t>西南-四川</t>
        </is>
      </c>
      <c r="C540" s="5" t="inlineStr">
        <is>
          <t>事业单位</t>
        </is>
      </c>
      <c r="D540" s="6" t="inlineStr">
        <is>
          <t>HT20251205</t>
        </is>
      </c>
      <c r="E540" s="6" t="inlineStr">
        <is>
          <t>20260409</t>
        </is>
      </c>
      <c r="F540" s="10" t="n">
        <v>892.6130000000001</v>
      </c>
      <c r="G540" s="8" t="n"/>
      <c r="H540" s="10" t="n">
        <v>218.887</v>
      </c>
      <c r="I540" s="10" t="n">
        <v>673.726</v>
      </c>
      <c r="J540" s="10" t="n">
        <v>539.98</v>
      </c>
      <c r="K540" s="10" t="n">
        <v>133.746</v>
      </c>
      <c r="L540" s="8" t="inlineStr">
        <is>
          <t>三部</t>
        </is>
      </c>
      <c r="M540" s="8" t="inlineStr">
        <is>
          <t>徐涛</t>
        </is>
      </c>
      <c r="N540" s="8" t="inlineStr">
        <is>
          <t>1-2年</t>
        </is>
      </c>
      <c r="O540" s="8" t="n"/>
    </row>
    <row r="541">
      <c r="A541" s="5" t="n">
        <v>539</v>
      </c>
      <c r="B541" s="5" t="inlineStr">
        <is>
          <t>华东-浙江</t>
        </is>
      </c>
      <c r="C541" s="5" t="inlineStr">
        <is>
          <t>群团组织</t>
        </is>
      </c>
      <c r="D541" s="6" t="inlineStr">
        <is>
          <t>HT20251207</t>
        </is>
      </c>
      <c r="E541" s="6" t="inlineStr">
        <is>
          <t>20260729</t>
        </is>
      </c>
      <c r="F541" s="10" t="n">
        <v>642.155</v>
      </c>
      <c r="G541" s="8" t="n"/>
      <c r="H541" s="10" t="n">
        <v>42.776</v>
      </c>
      <c r="I541" s="10" t="n">
        <v>599.379</v>
      </c>
      <c r="J541" s="10" t="n">
        <v>221.89</v>
      </c>
      <c r="K541" s="10" t="n">
        <v>377.489</v>
      </c>
      <c r="L541" s="8" t="inlineStr">
        <is>
          <t>五部</t>
        </is>
      </c>
      <c r="M541" s="8" t="inlineStr">
        <is>
          <t>郑浩</t>
        </is>
      </c>
      <c r="N541" s="8" t="inlineStr">
        <is>
          <t>1-2年</t>
        </is>
      </c>
      <c r="O541" s="8" t="n"/>
    </row>
    <row r="542">
      <c r="A542" s="5" t="n">
        <v>540</v>
      </c>
      <c r="B542" s="5" t="inlineStr">
        <is>
          <t>华南-广西</t>
        </is>
      </c>
      <c r="C542" s="5" t="inlineStr">
        <is>
          <t>监察司法机关</t>
        </is>
      </c>
      <c r="D542" s="6" t="inlineStr">
        <is>
          <t>HT20251207</t>
        </is>
      </c>
      <c r="E542" s="6" t="inlineStr">
        <is>
          <t>20260729</t>
        </is>
      </c>
      <c r="F542" s="10" t="n">
        <v>553.121</v>
      </c>
      <c r="G542" s="8" t="n"/>
      <c r="H542" s="10" t="n">
        <v>463.634</v>
      </c>
      <c r="I542" s="10" t="n">
        <v>89.48699999999999</v>
      </c>
      <c r="J542" s="10" t="n">
        <v>78.301</v>
      </c>
      <c r="K542" s="10" t="n">
        <v>11.186</v>
      </c>
      <c r="L542" s="8" t="inlineStr">
        <is>
          <t>二部</t>
        </is>
      </c>
      <c r="M542" s="8" t="inlineStr">
        <is>
          <t>黄强</t>
        </is>
      </c>
      <c r="N542" s="8" t="inlineStr">
        <is>
          <t>1年以内</t>
        </is>
      </c>
      <c r="O542" s="8" t="n"/>
    </row>
    <row r="543">
      <c r="A543" s="5" t="n">
        <v>541</v>
      </c>
      <c r="B543" s="5" t="inlineStr">
        <is>
          <t>华南-广东</t>
        </is>
      </c>
      <c r="C543" s="5" t="inlineStr">
        <is>
          <t>基层自治组织</t>
        </is>
      </c>
      <c r="D543" s="6" t="inlineStr">
        <is>
          <t>HT20251208</t>
        </is>
      </c>
      <c r="E543" s="6" t="inlineStr">
        <is>
          <t>20260803</t>
        </is>
      </c>
      <c r="F543" s="10" t="n">
        <v>705.575</v>
      </c>
      <c r="G543" s="8" t="n"/>
      <c r="H543" s="10" t="n">
        <v>365.262</v>
      </c>
      <c r="I543" s="10" t="n">
        <v>340.313</v>
      </c>
      <c r="J543" s="10" t="n">
        <v>103.138</v>
      </c>
      <c r="K543" s="10" t="n">
        <v>237.175</v>
      </c>
      <c r="L543" s="8" t="inlineStr">
        <is>
          <t>六部</t>
        </is>
      </c>
      <c r="M543" s="8" t="inlineStr">
        <is>
          <t>唐亮</t>
        </is>
      </c>
      <c r="N543" s="8" t="inlineStr">
        <is>
          <t>1-2年</t>
        </is>
      </c>
      <c r="O543" s="8" t="n"/>
    </row>
    <row r="544">
      <c r="A544" s="5" t="n">
        <v>542</v>
      </c>
      <c r="B544" s="5" t="inlineStr">
        <is>
          <t>华东-江苏</t>
        </is>
      </c>
      <c r="C544" s="5" t="inlineStr">
        <is>
          <t>基层自治组织</t>
        </is>
      </c>
      <c r="D544" s="6" t="inlineStr">
        <is>
          <t>HT20251208</t>
        </is>
      </c>
      <c r="E544" s="6" t="inlineStr">
        <is>
          <t>20260803</t>
        </is>
      </c>
      <c r="F544" s="10" t="n">
        <v>964.502</v>
      </c>
      <c r="G544" s="8" t="n"/>
      <c r="H544" s="10" t="n">
        <v>419.917</v>
      </c>
      <c r="I544" s="10" t="n">
        <v>544.585</v>
      </c>
      <c r="J544" s="10" t="n">
        <v>421.498</v>
      </c>
      <c r="K544" s="10" t="n">
        <v>123.087</v>
      </c>
      <c r="L544" s="8" t="inlineStr">
        <is>
          <t>一部</t>
        </is>
      </c>
      <c r="M544" s="8" t="inlineStr">
        <is>
          <t>刘洋</t>
        </is>
      </c>
      <c r="N544" s="8" t="inlineStr">
        <is>
          <t>1年以内</t>
        </is>
      </c>
      <c r="O544" s="8" t="n"/>
    </row>
    <row r="545">
      <c r="A545" s="5" t="n">
        <v>543</v>
      </c>
      <c r="B545" s="5" t="inlineStr">
        <is>
          <t>华南-澳门</t>
        </is>
      </c>
      <c r="C545" s="5" t="inlineStr">
        <is>
          <t>监察司法机关</t>
        </is>
      </c>
      <c r="D545" s="6" t="inlineStr">
        <is>
          <t>HT20251208</t>
        </is>
      </c>
      <c r="E545" s="6" t="inlineStr">
        <is>
          <t>20260803</t>
        </is>
      </c>
      <c r="F545" s="10" t="n">
        <v>425.82</v>
      </c>
      <c r="G545" s="8" t="n"/>
      <c r="H545" s="10" t="n">
        <v>386.803</v>
      </c>
      <c r="I545" s="10" t="n">
        <v>39.017</v>
      </c>
      <c r="J545" s="10" t="n">
        <v>17.786</v>
      </c>
      <c r="K545" s="10" t="n">
        <v>21.231</v>
      </c>
      <c r="L545" s="8" t="inlineStr">
        <is>
          <t>三部</t>
        </is>
      </c>
      <c r="M545" s="8" t="inlineStr">
        <is>
          <t>马超</t>
        </is>
      </c>
      <c r="N545" s="8" t="inlineStr">
        <is>
          <t>2-3年</t>
        </is>
      </c>
      <c r="O545" s="8" t="n"/>
    </row>
    <row r="546">
      <c r="A546" s="5" t="n">
        <v>544</v>
      </c>
      <c r="B546" s="5" t="inlineStr">
        <is>
          <t>西北-新疆</t>
        </is>
      </c>
      <c r="C546" s="5" t="inlineStr">
        <is>
          <t>群团组织</t>
        </is>
      </c>
      <c r="D546" s="6" t="inlineStr">
        <is>
          <t>HT20251209</t>
        </is>
      </c>
      <c r="E546" s="6" t="inlineStr">
        <is>
          <t>20260530</t>
        </is>
      </c>
      <c r="F546" s="10" t="n">
        <v>606.775</v>
      </c>
      <c r="G546" s="8" t="n"/>
      <c r="H546" s="10" t="n">
        <v>380.71</v>
      </c>
      <c r="I546" s="10" t="n">
        <v>226.065</v>
      </c>
      <c r="J546" s="10" t="n">
        <v>185.161</v>
      </c>
      <c r="K546" s="10" t="n">
        <v>40.904</v>
      </c>
      <c r="L546" s="8" t="inlineStr">
        <is>
          <t>七部</t>
        </is>
      </c>
      <c r="M546" s="8" t="inlineStr">
        <is>
          <t>邓丽</t>
        </is>
      </c>
      <c r="N546" s="8" t="inlineStr">
        <is>
          <t>2-3年</t>
        </is>
      </c>
      <c r="O546" s="8" t="n"/>
    </row>
    <row r="547">
      <c r="A547" s="5" t="n">
        <v>545</v>
      </c>
      <c r="B547" s="5" t="inlineStr">
        <is>
          <t>华南-广东</t>
        </is>
      </c>
      <c r="C547" s="5" t="inlineStr">
        <is>
          <t>基层自治组织</t>
        </is>
      </c>
      <c r="D547" s="6" t="inlineStr">
        <is>
          <t>HT20251209</t>
        </is>
      </c>
      <c r="E547" s="6" t="inlineStr">
        <is>
          <t>20260530</t>
        </is>
      </c>
      <c r="F547" s="10" t="n">
        <v>155.2</v>
      </c>
      <c r="G547" s="8" t="n"/>
      <c r="H547" s="10" t="n">
        <v>16.041</v>
      </c>
      <c r="I547" s="10" t="n">
        <v>139.159</v>
      </c>
      <c r="J547" s="10" t="n">
        <v>75.404</v>
      </c>
      <c r="K547" s="10" t="n">
        <v>63.755</v>
      </c>
      <c r="L547" s="8" t="inlineStr">
        <is>
          <t>四部</t>
        </is>
      </c>
      <c r="M547" s="8" t="inlineStr">
        <is>
          <t>郭鹏</t>
        </is>
      </c>
      <c r="N547" s="8" t="inlineStr">
        <is>
          <t>1年以内</t>
        </is>
      </c>
      <c r="O547" s="8" t="n"/>
    </row>
    <row r="548">
      <c r="A548" s="5" t="n">
        <v>546</v>
      </c>
      <c r="B548" s="5" t="inlineStr">
        <is>
          <t>华东-江苏</t>
        </is>
      </c>
      <c r="C548" s="5" t="inlineStr">
        <is>
          <t>人大政协</t>
        </is>
      </c>
      <c r="D548" s="6" t="inlineStr">
        <is>
          <t>HT20251211</t>
        </is>
      </c>
      <c r="E548" s="6" t="inlineStr">
        <is>
          <t>20260826</t>
        </is>
      </c>
      <c r="F548" s="10" t="n">
        <v>79.732</v>
      </c>
      <c r="G548" s="8" t="n"/>
      <c r="H548" s="10" t="n">
        <v>5.23</v>
      </c>
      <c r="I548" s="10" t="n">
        <v>74.502</v>
      </c>
      <c r="J548" s="10" t="n">
        <v>22.544</v>
      </c>
      <c r="K548" s="10" t="n">
        <v>51.958</v>
      </c>
      <c r="L548" s="8" t="inlineStr">
        <is>
          <t>九部</t>
        </is>
      </c>
      <c r="M548" s="8" t="inlineStr">
        <is>
          <t>魏红</t>
        </is>
      </c>
      <c r="N548" s="8" t="inlineStr">
        <is>
          <t>1-2年</t>
        </is>
      </c>
      <c r="O548" s="8" t="n"/>
    </row>
    <row r="549">
      <c r="A549" s="5" t="n">
        <v>547</v>
      </c>
      <c r="B549" s="5" t="inlineStr">
        <is>
          <t>华东-上海</t>
        </is>
      </c>
      <c r="C549" s="5" t="inlineStr">
        <is>
          <t>人大政协</t>
        </is>
      </c>
      <c r="D549" s="6" t="inlineStr">
        <is>
          <t>HT20251212</t>
        </is>
      </c>
      <c r="E549" s="6" t="inlineStr">
        <is>
          <t>20260813</t>
        </is>
      </c>
      <c r="F549" s="10" t="n">
        <v>880.412</v>
      </c>
      <c r="G549" s="8" t="n"/>
      <c r="H549" s="10" t="n">
        <v>827.755</v>
      </c>
      <c r="I549" s="10" t="n">
        <v>52.657</v>
      </c>
      <c r="J549" s="10" t="n">
        <v>12.996</v>
      </c>
      <c r="K549" s="10" t="n">
        <v>39.661</v>
      </c>
      <c r="L549" s="8" t="inlineStr">
        <is>
          <t>八部</t>
        </is>
      </c>
      <c r="M549" s="8" t="inlineStr">
        <is>
          <t>吕强</t>
        </is>
      </c>
      <c r="N549" s="8" t="inlineStr">
        <is>
          <t>2-3年</t>
        </is>
      </c>
      <c r="O549" s="8" t="n"/>
    </row>
    <row r="550">
      <c r="A550" s="5" t="n">
        <v>548</v>
      </c>
      <c r="B550" s="5" t="inlineStr">
        <is>
          <t>华南-海南</t>
        </is>
      </c>
      <c r="C550" s="5" t="inlineStr">
        <is>
          <t>事业单位</t>
        </is>
      </c>
      <c r="D550" s="6" t="inlineStr">
        <is>
          <t>HT20251213</t>
        </is>
      </c>
      <c r="E550" s="6" t="inlineStr">
        <is>
          <t>20260404</t>
        </is>
      </c>
      <c r="F550" s="10" t="n">
        <v>4400.683</v>
      </c>
      <c r="G550" s="8" t="n"/>
      <c r="H550" s="10" t="n">
        <v>565.821</v>
      </c>
      <c r="I550" s="10" t="n">
        <v>3834.862</v>
      </c>
      <c r="J550" s="10" t="n">
        <v>1251.142</v>
      </c>
      <c r="K550" s="10" t="n">
        <v>2583.72</v>
      </c>
      <c r="L550" s="8" t="inlineStr">
        <is>
          <t>九部</t>
        </is>
      </c>
      <c r="M550" s="8" t="inlineStr">
        <is>
          <t>贾静</t>
        </is>
      </c>
      <c r="N550" s="8" t="inlineStr">
        <is>
          <t>1-2年</t>
        </is>
      </c>
      <c r="O550" s="8" t="n"/>
    </row>
    <row r="551">
      <c r="A551" s="5" t="n">
        <v>549</v>
      </c>
      <c r="B551" s="5" t="inlineStr">
        <is>
          <t>华东-山东</t>
        </is>
      </c>
      <c r="C551" s="5" t="inlineStr">
        <is>
          <t>群团组织</t>
        </is>
      </c>
      <c r="D551" s="6" t="inlineStr">
        <is>
          <t>HT20251213</t>
        </is>
      </c>
      <c r="E551" s="6" t="inlineStr">
        <is>
          <t>20260404</t>
        </is>
      </c>
      <c r="F551" s="10" t="n">
        <v>460.91</v>
      </c>
      <c r="G551" s="8" t="n"/>
      <c r="H551" s="10" t="n">
        <v>200.26</v>
      </c>
      <c r="I551" s="10" t="n">
        <v>260.65</v>
      </c>
      <c r="J551" s="10" t="n">
        <v>180.949</v>
      </c>
      <c r="K551" s="10" t="n">
        <v>79.70099999999999</v>
      </c>
      <c r="L551" s="8" t="inlineStr">
        <is>
          <t>七部</t>
        </is>
      </c>
      <c r="M551" s="8" t="inlineStr">
        <is>
          <t>沈刚</t>
        </is>
      </c>
      <c r="N551" s="8" t="inlineStr">
        <is>
          <t>1年以内</t>
        </is>
      </c>
      <c r="O551" s="8" t="n"/>
    </row>
    <row r="552">
      <c r="A552" s="5" t="n">
        <v>550</v>
      </c>
      <c r="B552" s="5" t="inlineStr">
        <is>
          <t>西北-新疆</t>
        </is>
      </c>
      <c r="C552" s="5" t="inlineStr">
        <is>
          <t>人大政协</t>
        </is>
      </c>
      <c r="D552" s="6" t="inlineStr">
        <is>
          <t>HT20251214</t>
        </is>
      </c>
      <c r="E552" s="6" t="inlineStr">
        <is>
          <t>20260810</t>
        </is>
      </c>
      <c r="F552" s="10" t="n">
        <v>574.932</v>
      </c>
      <c r="G552" s="8" t="n"/>
      <c r="H552" s="10" t="n">
        <v>391.417</v>
      </c>
      <c r="I552" s="10" t="n">
        <v>183.515</v>
      </c>
      <c r="J552" s="10" t="n">
        <v>88.04900000000001</v>
      </c>
      <c r="K552" s="10" t="n">
        <v>95.46599999999999</v>
      </c>
      <c r="L552" s="8" t="inlineStr">
        <is>
          <t>七部</t>
        </is>
      </c>
      <c r="M552" s="8" t="inlineStr">
        <is>
          <t>许涛</t>
        </is>
      </c>
      <c r="N552" s="8" t="inlineStr">
        <is>
          <t>1年以内</t>
        </is>
      </c>
      <c r="O552" s="8" t="n"/>
    </row>
    <row r="553">
      <c r="A553" s="5" t="n">
        <v>551</v>
      </c>
      <c r="B553" s="5" t="inlineStr">
        <is>
          <t>华南-澳门</t>
        </is>
      </c>
      <c r="C553" s="5" t="inlineStr">
        <is>
          <t>国有企业</t>
        </is>
      </c>
      <c r="D553" s="6" t="inlineStr">
        <is>
          <t>HT20251214</t>
        </is>
      </c>
      <c r="E553" s="6" t="inlineStr">
        <is>
          <t>20260810</t>
        </is>
      </c>
      <c r="F553" s="10" t="n">
        <v>5967.745</v>
      </c>
      <c r="G553" s="8" t="n"/>
      <c r="H553" s="10" t="n">
        <v>5132.998</v>
      </c>
      <c r="I553" s="10" t="n">
        <v>834.747</v>
      </c>
      <c r="J553" s="10" t="n">
        <v>617.458</v>
      </c>
      <c r="K553" s="10" t="n">
        <v>217.289</v>
      </c>
      <c r="L553" s="8" t="inlineStr">
        <is>
          <t>三部</t>
        </is>
      </c>
      <c r="M553" s="8" t="inlineStr">
        <is>
          <t>马超</t>
        </is>
      </c>
      <c r="N553" s="8" t="inlineStr">
        <is>
          <t>1-2年</t>
        </is>
      </c>
      <c r="O553" s="8" t="n"/>
    </row>
    <row r="554">
      <c r="A554" s="5" t="n">
        <v>552</v>
      </c>
      <c r="B554" s="5" t="inlineStr">
        <is>
          <t>东北-辽宁</t>
        </is>
      </c>
      <c r="C554" s="5" t="inlineStr">
        <is>
          <t>群团组织</t>
        </is>
      </c>
      <c r="D554" s="6" t="inlineStr">
        <is>
          <t>HT20251214</t>
        </is>
      </c>
      <c r="E554" s="6" t="inlineStr">
        <is>
          <t>20260810</t>
        </is>
      </c>
      <c r="F554" s="10" t="n">
        <v>54.908</v>
      </c>
      <c r="G554" s="8" t="n"/>
      <c r="H554" s="10" t="n">
        <v>29.78</v>
      </c>
      <c r="I554" s="10" t="n">
        <v>25.128</v>
      </c>
      <c r="J554" s="10" t="n">
        <v>9.358000000000001</v>
      </c>
      <c r="K554" s="10" t="n">
        <v>15.77</v>
      </c>
      <c r="L554" s="8" t="inlineStr">
        <is>
          <t>八部</t>
        </is>
      </c>
      <c r="M554" s="8" t="inlineStr">
        <is>
          <t>曾辉</t>
        </is>
      </c>
      <c r="N554" s="8" t="inlineStr">
        <is>
          <t>2-3年</t>
        </is>
      </c>
      <c r="O554" s="8" t="n"/>
    </row>
    <row r="555">
      <c r="A555" s="5" t="n">
        <v>553</v>
      </c>
      <c r="B555" s="5" t="inlineStr">
        <is>
          <t>西南-贵州</t>
        </is>
      </c>
      <c r="C555" s="5" t="inlineStr">
        <is>
          <t>事业单位</t>
        </is>
      </c>
      <c r="D555" s="6" t="inlineStr">
        <is>
          <t>HT20251215</t>
        </is>
      </c>
      <c r="E555" s="6" t="inlineStr">
        <is>
          <t>20260129</t>
        </is>
      </c>
      <c r="F555" s="10" t="n">
        <v>754.635</v>
      </c>
      <c r="G555" s="8" t="n"/>
      <c r="H555" s="10" t="n">
        <v>318.898</v>
      </c>
      <c r="I555" s="10" t="n">
        <v>435.737</v>
      </c>
      <c r="J555" s="10" t="n">
        <v>293.372</v>
      </c>
      <c r="K555" s="10" t="n">
        <v>142.365</v>
      </c>
      <c r="L555" s="8" t="inlineStr">
        <is>
          <t>二部</t>
        </is>
      </c>
      <c r="M555" s="8" t="inlineStr">
        <is>
          <t>黄强</t>
        </is>
      </c>
      <c r="N555" s="8" t="inlineStr">
        <is>
          <t>2-3年</t>
        </is>
      </c>
      <c r="O555" s="8" t="n"/>
    </row>
    <row r="556">
      <c r="A556" s="5" t="n">
        <v>554</v>
      </c>
      <c r="B556" s="5" t="inlineStr">
        <is>
          <t>华南-澳门</t>
        </is>
      </c>
      <c r="C556" s="5" t="inlineStr">
        <is>
          <t>政府机关</t>
        </is>
      </c>
      <c r="D556" s="6" t="inlineStr">
        <is>
          <t>HT20251215</t>
        </is>
      </c>
      <c r="E556" s="6" t="inlineStr">
        <is>
          <t>20260129</t>
        </is>
      </c>
      <c r="F556" s="10" t="n">
        <v>394.33</v>
      </c>
      <c r="G556" s="8" t="n"/>
      <c r="H556" s="10" t="n">
        <v>279.593</v>
      </c>
      <c r="I556" s="10" t="n">
        <v>114.737</v>
      </c>
      <c r="J556" s="10" t="n">
        <v>59.213</v>
      </c>
      <c r="K556" s="10" t="n">
        <v>55.524</v>
      </c>
      <c r="L556" s="8" t="inlineStr">
        <is>
          <t>二部</t>
        </is>
      </c>
      <c r="M556" s="8" t="inlineStr">
        <is>
          <t>周杰</t>
        </is>
      </c>
      <c r="N556" s="8" t="inlineStr">
        <is>
          <t>1-2年</t>
        </is>
      </c>
      <c r="O556" s="8" t="n"/>
    </row>
    <row r="557">
      <c r="A557" s="5" t="n">
        <v>555</v>
      </c>
      <c r="B557" s="5" t="inlineStr">
        <is>
          <t>东北-黑龙江</t>
        </is>
      </c>
      <c r="C557" s="5" t="inlineStr">
        <is>
          <t>人大政协</t>
        </is>
      </c>
      <c r="D557" s="6" t="inlineStr">
        <is>
          <t>HT20251215</t>
        </is>
      </c>
      <c r="E557" s="6" t="inlineStr">
        <is>
          <t>20260129</t>
        </is>
      </c>
      <c r="F557" s="10" t="n">
        <v>616.484</v>
      </c>
      <c r="G557" s="8" t="n"/>
      <c r="H557" s="10" t="n">
        <v>347.536</v>
      </c>
      <c r="I557" s="10" t="n">
        <v>268.948</v>
      </c>
      <c r="J557" s="10" t="n">
        <v>260.739</v>
      </c>
      <c r="K557" s="10" t="n">
        <v>8.209</v>
      </c>
      <c r="L557" s="8" t="inlineStr">
        <is>
          <t>五部</t>
        </is>
      </c>
      <c r="M557" s="8" t="inlineStr">
        <is>
          <t>宋佳</t>
        </is>
      </c>
      <c r="N557" s="8" t="inlineStr">
        <is>
          <t>2-3年</t>
        </is>
      </c>
      <c r="O557" s="8" t="n"/>
    </row>
    <row r="558">
      <c r="A558" s="5" t="n">
        <v>556</v>
      </c>
      <c r="B558" s="5" t="inlineStr">
        <is>
          <t>西南-贵州</t>
        </is>
      </c>
      <c r="C558" s="5" t="inlineStr">
        <is>
          <t>人大政协</t>
        </is>
      </c>
      <c r="D558" s="6" t="inlineStr">
        <is>
          <t>HT20251215</t>
        </is>
      </c>
      <c r="E558" s="6" t="inlineStr">
        <is>
          <t>20260129</t>
        </is>
      </c>
      <c r="F558" s="10" t="n">
        <v>646.254</v>
      </c>
      <c r="G558" s="8" t="n"/>
      <c r="H558" s="10" t="n">
        <v>431.315</v>
      </c>
      <c r="I558" s="10" t="n">
        <v>214.939</v>
      </c>
      <c r="J558" s="10" t="n">
        <v>126.296</v>
      </c>
      <c r="K558" s="10" t="n">
        <v>88.643</v>
      </c>
      <c r="L558" s="8" t="inlineStr">
        <is>
          <t>二部</t>
        </is>
      </c>
      <c r="M558" s="8" t="inlineStr">
        <is>
          <t>黄强</t>
        </is>
      </c>
      <c r="N558" s="8" t="inlineStr">
        <is>
          <t>1-2年</t>
        </is>
      </c>
      <c r="O558" s="8" t="n"/>
    </row>
    <row r="559">
      <c r="A559" s="5" t="n">
        <v>557</v>
      </c>
      <c r="B559" s="5" t="inlineStr">
        <is>
          <t>华东-台湾</t>
        </is>
      </c>
      <c r="C559" s="5" t="inlineStr">
        <is>
          <t>监察司法机关</t>
        </is>
      </c>
      <c r="D559" s="6" t="inlineStr">
        <is>
          <t>HT20251215</t>
        </is>
      </c>
      <c r="E559" s="6" t="inlineStr">
        <is>
          <t>20260129</t>
        </is>
      </c>
      <c r="F559" s="10" t="n">
        <v>895.652</v>
      </c>
      <c r="G559" s="8" t="n"/>
      <c r="H559" s="10" t="n">
        <v>212.561</v>
      </c>
      <c r="I559" s="10" t="n">
        <v>683.091</v>
      </c>
      <c r="J559" s="10" t="n">
        <v>334.289</v>
      </c>
      <c r="K559" s="10" t="n">
        <v>348.802</v>
      </c>
      <c r="L559" s="8" t="inlineStr">
        <is>
          <t>九部</t>
        </is>
      </c>
      <c r="M559" s="8" t="inlineStr">
        <is>
          <t>蔡明</t>
        </is>
      </c>
      <c r="N559" s="8" t="inlineStr">
        <is>
          <t>1-2年</t>
        </is>
      </c>
      <c r="O559" s="8" t="n"/>
    </row>
    <row r="560">
      <c r="A560" s="5" t="n">
        <v>558</v>
      </c>
      <c r="B560" s="5" t="inlineStr">
        <is>
          <t>华中-河南</t>
        </is>
      </c>
      <c r="C560" s="5" t="inlineStr">
        <is>
          <t>人大政协</t>
        </is>
      </c>
      <c r="D560" s="6" t="inlineStr">
        <is>
          <t>HT20251216</t>
        </is>
      </c>
      <c r="E560" s="6" t="inlineStr">
        <is>
          <t>20260106</t>
        </is>
      </c>
      <c r="F560" s="10" t="n">
        <v>405.464</v>
      </c>
      <c r="G560" s="8" t="n"/>
      <c r="H560" s="10" t="n">
        <v>375.516</v>
      </c>
      <c r="I560" s="10" t="n">
        <v>29.948</v>
      </c>
      <c r="J560" s="10" t="n">
        <v>7.673</v>
      </c>
      <c r="K560" s="10" t="n">
        <v>22.275</v>
      </c>
      <c r="L560" s="8" t="inlineStr">
        <is>
          <t>十部</t>
        </is>
      </c>
      <c r="M560" s="8" t="inlineStr">
        <is>
          <t>雷声</t>
        </is>
      </c>
      <c r="N560" s="8" t="inlineStr">
        <is>
          <t>2-3年</t>
        </is>
      </c>
      <c r="O560" s="8" t="n"/>
    </row>
    <row r="561">
      <c r="A561" s="5" t="n">
        <v>559</v>
      </c>
      <c r="B561" s="5" t="inlineStr">
        <is>
          <t>西北-宁夏</t>
        </is>
      </c>
      <c r="C561" s="5" t="inlineStr">
        <is>
          <t>监察司法机关</t>
        </is>
      </c>
      <c r="D561" s="6" t="inlineStr">
        <is>
          <t>HT20251218</t>
        </is>
      </c>
      <c r="E561" s="6" t="inlineStr">
        <is>
          <t>20260420</t>
        </is>
      </c>
      <c r="F561" s="10" t="n">
        <v>364.827</v>
      </c>
      <c r="G561" s="8" t="n"/>
      <c r="H561" s="10" t="n">
        <v>78.685</v>
      </c>
      <c r="I561" s="10" t="n">
        <v>286.142</v>
      </c>
      <c r="J561" s="10" t="n">
        <v>89.175</v>
      </c>
      <c r="K561" s="10" t="n">
        <v>196.967</v>
      </c>
      <c r="L561" s="8" t="inlineStr">
        <is>
          <t>二部</t>
        </is>
      </c>
      <c r="M561" s="8" t="inlineStr">
        <is>
          <t>赵敏</t>
        </is>
      </c>
      <c r="N561" s="8" t="inlineStr">
        <is>
          <t>1年以内</t>
        </is>
      </c>
      <c r="O561" s="8" t="n"/>
    </row>
    <row r="562">
      <c r="A562" s="5" t="n">
        <v>560</v>
      </c>
      <c r="B562" s="5" t="inlineStr">
        <is>
          <t>华北-山西</t>
        </is>
      </c>
      <c r="C562" s="5" t="inlineStr">
        <is>
          <t>党委机关</t>
        </is>
      </c>
      <c r="D562" s="6" t="inlineStr">
        <is>
          <t>HT20251218</t>
        </is>
      </c>
      <c r="E562" s="6" t="inlineStr">
        <is>
          <t>20260420</t>
        </is>
      </c>
      <c r="F562" s="10" t="n">
        <v>702.149</v>
      </c>
      <c r="G562" s="8" t="n"/>
      <c r="H562" s="10" t="n">
        <v>316.219</v>
      </c>
      <c r="I562" s="10" t="n">
        <v>385.93</v>
      </c>
      <c r="J562" s="10" t="n">
        <v>124.987</v>
      </c>
      <c r="K562" s="10" t="n">
        <v>260.943</v>
      </c>
      <c r="L562" s="8" t="inlineStr">
        <is>
          <t>九部</t>
        </is>
      </c>
      <c r="M562" s="8" t="inlineStr">
        <is>
          <t>蔡明</t>
        </is>
      </c>
      <c r="N562" s="8" t="inlineStr">
        <is>
          <t>1年以内</t>
        </is>
      </c>
      <c r="O562" s="8" t="n"/>
    </row>
    <row r="563">
      <c r="A563" s="5" t="n">
        <v>561</v>
      </c>
      <c r="B563" s="5" t="inlineStr">
        <is>
          <t>华中-河南</t>
        </is>
      </c>
      <c r="C563" s="5" t="inlineStr">
        <is>
          <t>政府机关</t>
        </is>
      </c>
      <c r="D563" s="6" t="inlineStr">
        <is>
          <t>HT20251222</t>
        </is>
      </c>
      <c r="E563" s="6" t="inlineStr">
        <is>
          <t>20260218</t>
        </is>
      </c>
      <c r="F563" s="10" t="n">
        <v>342.786</v>
      </c>
      <c r="G563" s="8" t="n"/>
      <c r="H563" s="10" t="n">
        <v>286.544</v>
      </c>
      <c r="I563" s="10" t="n">
        <v>56.242</v>
      </c>
      <c r="J563" s="10" t="n">
        <v>52.658</v>
      </c>
      <c r="K563" s="10" t="n">
        <v>3.584</v>
      </c>
      <c r="L563" s="8" t="inlineStr">
        <is>
          <t>八部</t>
        </is>
      </c>
      <c r="M563" s="8" t="inlineStr">
        <is>
          <t>彭燕</t>
        </is>
      </c>
      <c r="N563" s="8" t="inlineStr">
        <is>
          <t>2-3年</t>
        </is>
      </c>
      <c r="O563" s="8" t="n"/>
    </row>
    <row r="564">
      <c r="A564" s="5" t="n">
        <v>562</v>
      </c>
      <c r="B564" s="5" t="inlineStr">
        <is>
          <t>华南-广东</t>
        </is>
      </c>
      <c r="C564" s="5" t="inlineStr">
        <is>
          <t>国有企业</t>
        </is>
      </c>
      <c r="D564" s="6" t="inlineStr">
        <is>
          <t>HT20251222</t>
        </is>
      </c>
      <c r="E564" s="6" t="inlineStr">
        <is>
          <t>20260218</t>
        </is>
      </c>
      <c r="F564" s="10" t="n">
        <v>906.922</v>
      </c>
      <c r="G564" s="8" t="n"/>
      <c r="H564" s="10" t="n">
        <v>399.555</v>
      </c>
      <c r="I564" s="10" t="n">
        <v>507.367</v>
      </c>
      <c r="J564" s="10" t="n">
        <v>235.743</v>
      </c>
      <c r="K564" s="10" t="n">
        <v>271.624</v>
      </c>
      <c r="L564" s="8" t="inlineStr">
        <is>
          <t>四部</t>
        </is>
      </c>
      <c r="M564" s="8" t="inlineStr">
        <is>
          <t>高翔</t>
        </is>
      </c>
      <c r="N564" s="8" t="inlineStr">
        <is>
          <t>1-2年</t>
        </is>
      </c>
      <c r="O564" s="8" t="n"/>
    </row>
    <row r="565">
      <c r="A565" s="5" t="n">
        <v>563</v>
      </c>
      <c r="B565" s="5" t="inlineStr">
        <is>
          <t>华东-江苏</t>
        </is>
      </c>
      <c r="C565" s="5" t="inlineStr">
        <is>
          <t>事业单位</t>
        </is>
      </c>
      <c r="D565" s="6" t="inlineStr">
        <is>
          <t>HT20251223</t>
        </is>
      </c>
      <c r="E565" s="6" t="inlineStr">
        <is>
          <t>20260108</t>
        </is>
      </c>
      <c r="F565" s="10" t="n">
        <v>419.382</v>
      </c>
      <c r="G565" s="8" t="n"/>
      <c r="H565" s="10" t="n">
        <v>159.517</v>
      </c>
      <c r="I565" s="10" t="n">
        <v>259.865</v>
      </c>
      <c r="J565" s="10" t="n">
        <v>147.189</v>
      </c>
      <c r="K565" s="10" t="n">
        <v>112.676</v>
      </c>
      <c r="L565" s="8" t="inlineStr">
        <is>
          <t>一部</t>
        </is>
      </c>
      <c r="M565" s="8" t="inlineStr">
        <is>
          <t>陈静</t>
        </is>
      </c>
      <c r="N565" s="8" t="inlineStr">
        <is>
          <t>2-3年</t>
        </is>
      </c>
      <c r="O565" s="8" t="n"/>
    </row>
    <row r="566">
      <c r="A566" s="5" t="n">
        <v>564</v>
      </c>
      <c r="B566" s="5" t="inlineStr">
        <is>
          <t>西北-新疆</t>
        </is>
      </c>
      <c r="C566" s="5" t="inlineStr">
        <is>
          <t>党委机关</t>
        </is>
      </c>
      <c r="D566" s="6" t="inlineStr">
        <is>
          <t>HT20251223</t>
        </is>
      </c>
      <c r="E566" s="6" t="inlineStr">
        <is>
          <t>20260108</t>
        </is>
      </c>
      <c r="F566" s="10" t="n">
        <v>518.972</v>
      </c>
      <c r="G566" s="8" t="n"/>
      <c r="H566" s="10" t="n">
        <v>486.468</v>
      </c>
      <c r="I566" s="10" t="n">
        <v>32.504</v>
      </c>
      <c r="J566" s="10" t="n">
        <v>31.933</v>
      </c>
      <c r="K566" s="10" t="n">
        <v>0.571</v>
      </c>
      <c r="L566" s="8" t="inlineStr">
        <is>
          <t>六部</t>
        </is>
      </c>
      <c r="M566" s="8" t="inlineStr">
        <is>
          <t>冯倩</t>
        </is>
      </c>
      <c r="N566" s="8" t="inlineStr">
        <is>
          <t>2-3年</t>
        </is>
      </c>
      <c r="O566" s="8" t="n"/>
    </row>
    <row r="567">
      <c r="A567" s="5" t="n">
        <v>565</v>
      </c>
      <c r="B567" s="5" t="inlineStr">
        <is>
          <t>华中-河南</t>
        </is>
      </c>
      <c r="C567" s="5" t="inlineStr">
        <is>
          <t>政府机关</t>
        </is>
      </c>
      <c r="D567" s="6" t="inlineStr">
        <is>
          <t>HT20251224</t>
        </is>
      </c>
      <c r="E567" s="6" t="inlineStr">
        <is>
          <t>20260820</t>
        </is>
      </c>
      <c r="F567" s="10" t="n">
        <v>560.372</v>
      </c>
      <c r="G567" s="8" t="n"/>
      <c r="H567" s="10" t="n">
        <v>287.225</v>
      </c>
      <c r="I567" s="10" t="n">
        <v>273.147</v>
      </c>
      <c r="J567" s="10" t="n">
        <v>78.80800000000001</v>
      </c>
      <c r="K567" s="10" t="n">
        <v>194.339</v>
      </c>
      <c r="L567" s="8" t="inlineStr">
        <is>
          <t>九部</t>
        </is>
      </c>
      <c r="M567" s="8" t="inlineStr">
        <is>
          <t>蔡明</t>
        </is>
      </c>
      <c r="N567" s="8" t="inlineStr">
        <is>
          <t>1年以内</t>
        </is>
      </c>
      <c r="O567" s="8" t="n"/>
    </row>
    <row r="568">
      <c r="A568" s="5" t="n">
        <v>566</v>
      </c>
      <c r="B568" s="5" t="inlineStr">
        <is>
          <t>西南-西藏</t>
        </is>
      </c>
      <c r="C568" s="5" t="inlineStr">
        <is>
          <t>监察司法机关</t>
        </is>
      </c>
      <c r="D568" s="6" t="inlineStr">
        <is>
          <t>HT20251224</t>
        </is>
      </c>
      <c r="E568" s="6" t="inlineStr">
        <is>
          <t>20260820</t>
        </is>
      </c>
      <c r="F568" s="10" t="n">
        <v>245.345</v>
      </c>
      <c r="G568" s="8" t="n"/>
      <c r="H568" s="10" t="n">
        <v>155.517</v>
      </c>
      <c r="I568" s="10" t="n">
        <v>89.828</v>
      </c>
      <c r="J568" s="10" t="n">
        <v>88.40600000000001</v>
      </c>
      <c r="K568" s="10" t="n">
        <v>1.422</v>
      </c>
      <c r="L568" s="8" t="inlineStr">
        <is>
          <t>十部</t>
        </is>
      </c>
      <c r="M568" s="8" t="inlineStr">
        <is>
          <t>段勇</t>
        </is>
      </c>
      <c r="N568" s="8" t="inlineStr">
        <is>
          <t>1年以内</t>
        </is>
      </c>
      <c r="O568" s="8" t="n"/>
    </row>
    <row r="569">
      <c r="A569" s="5" t="n">
        <v>567</v>
      </c>
      <c r="B569" s="5" t="inlineStr">
        <is>
          <t>西南-贵州</t>
        </is>
      </c>
      <c r="C569" s="5" t="inlineStr">
        <is>
          <t>国有企业</t>
        </is>
      </c>
      <c r="D569" s="6" t="inlineStr">
        <is>
          <t>HT20251225</t>
        </is>
      </c>
      <c r="E569" s="6" t="inlineStr">
        <is>
          <t>20260311</t>
        </is>
      </c>
      <c r="F569" s="10" t="n">
        <v>159.67</v>
      </c>
      <c r="G569" s="8" t="n"/>
      <c r="H569" s="10" t="n">
        <v>46.754</v>
      </c>
      <c r="I569" s="10" t="n">
        <v>112.916</v>
      </c>
      <c r="J569" s="10" t="n">
        <v>88.864</v>
      </c>
      <c r="K569" s="10" t="n">
        <v>24.052</v>
      </c>
      <c r="L569" s="8" t="inlineStr">
        <is>
          <t>八部</t>
        </is>
      </c>
      <c r="M569" s="8" t="inlineStr">
        <is>
          <t>彭燕</t>
        </is>
      </c>
      <c r="N569" s="8" t="inlineStr">
        <is>
          <t>1-2年</t>
        </is>
      </c>
      <c r="O569" s="8" t="n"/>
    </row>
    <row r="570">
      <c r="A570" s="5" t="n">
        <v>568</v>
      </c>
      <c r="B570" s="5" t="inlineStr">
        <is>
          <t>华南-香港</t>
        </is>
      </c>
      <c r="C570" s="5" t="inlineStr">
        <is>
          <t>事业单位</t>
        </is>
      </c>
      <c r="D570" s="6" t="inlineStr">
        <is>
          <t>HT20251226</t>
        </is>
      </c>
      <c r="E570" s="6" t="inlineStr">
        <is>
          <t>20260723</t>
        </is>
      </c>
      <c r="F570" s="10" t="n">
        <v>753.928</v>
      </c>
      <c r="G570" s="8" t="n"/>
      <c r="H570" s="10" t="n">
        <v>751.021</v>
      </c>
      <c r="I570" s="10" t="n">
        <v>2.907</v>
      </c>
      <c r="J570" s="10" t="n">
        <v>1.258</v>
      </c>
      <c r="K570" s="10" t="n">
        <v>1.649</v>
      </c>
      <c r="L570" s="8" t="inlineStr">
        <is>
          <t>七部</t>
        </is>
      </c>
      <c r="M570" s="8" t="inlineStr">
        <is>
          <t>袁博</t>
        </is>
      </c>
      <c r="N570" s="8" t="inlineStr">
        <is>
          <t>1-2年</t>
        </is>
      </c>
      <c r="O570" s="8" t="n"/>
    </row>
    <row r="571">
      <c r="A571" s="5" t="n">
        <v>569</v>
      </c>
      <c r="B571" s="5" t="inlineStr">
        <is>
          <t>华南-香港</t>
        </is>
      </c>
      <c r="C571" s="5" t="inlineStr">
        <is>
          <t>政府机关</t>
        </is>
      </c>
      <c r="D571" s="6" t="inlineStr">
        <is>
          <t>HT20251226</t>
        </is>
      </c>
      <c r="E571" s="6" t="inlineStr">
        <is>
          <t>20260723</t>
        </is>
      </c>
      <c r="F571" s="10" t="n">
        <v>842.169</v>
      </c>
      <c r="G571" s="8" t="n"/>
      <c r="H571" s="10" t="n">
        <v>571.543</v>
      </c>
      <c r="I571" s="10" t="n">
        <v>270.626</v>
      </c>
      <c r="J571" s="10" t="n">
        <v>83.509</v>
      </c>
      <c r="K571" s="10" t="n">
        <v>187.117</v>
      </c>
      <c r="L571" s="8" t="inlineStr">
        <is>
          <t>二部</t>
        </is>
      </c>
      <c r="M571" s="8" t="inlineStr">
        <is>
          <t>赵敏</t>
        </is>
      </c>
      <c r="N571" s="8" t="inlineStr">
        <is>
          <t>1年以内</t>
        </is>
      </c>
      <c r="O571" s="8" t="n"/>
    </row>
    <row r="572">
      <c r="A572" s="5" t="n">
        <v>570</v>
      </c>
      <c r="B572" s="5" t="inlineStr">
        <is>
          <t>华东-福建</t>
        </is>
      </c>
      <c r="C572" s="5" t="inlineStr">
        <is>
          <t>监察司法机关</t>
        </is>
      </c>
      <c r="D572" s="6" t="inlineStr">
        <is>
          <t>HT20251227</t>
        </is>
      </c>
      <c r="E572" s="6" t="inlineStr">
        <is>
          <t>20260112</t>
        </is>
      </c>
      <c r="F572" s="10" t="n">
        <v>27.717</v>
      </c>
      <c r="G572" s="8" t="n"/>
      <c r="H572" s="10" t="n">
        <v>5.013</v>
      </c>
      <c r="I572" s="10" t="n">
        <v>22.704</v>
      </c>
      <c r="J572" s="10" t="n">
        <v>19.148</v>
      </c>
      <c r="K572" s="10" t="n">
        <v>3.556</v>
      </c>
      <c r="L572" s="8" t="inlineStr">
        <is>
          <t>十部</t>
        </is>
      </c>
      <c r="M572" s="8" t="inlineStr">
        <is>
          <t>薛峰</t>
        </is>
      </c>
      <c r="N572" s="8" t="inlineStr">
        <is>
          <t>1-2年</t>
        </is>
      </c>
      <c r="O572" s="8" t="n"/>
    </row>
    <row r="573">
      <c r="A573" s="5" t="n">
        <v>571</v>
      </c>
      <c r="B573" s="5" t="inlineStr">
        <is>
          <t>华北-山西</t>
        </is>
      </c>
      <c r="C573" s="5" t="inlineStr">
        <is>
          <t>基层自治组织</t>
        </is>
      </c>
      <c r="D573" s="6" t="inlineStr">
        <is>
          <t>HT20251227</t>
        </is>
      </c>
      <c r="E573" s="6" t="inlineStr">
        <is>
          <t>20260112</t>
        </is>
      </c>
      <c r="F573" s="10" t="n">
        <v>839.938</v>
      </c>
      <c r="G573" s="8" t="n"/>
      <c r="H573" s="10" t="n">
        <v>558.074</v>
      </c>
      <c r="I573" s="10" t="n">
        <v>281.864</v>
      </c>
      <c r="J573" s="10" t="n">
        <v>58.816</v>
      </c>
      <c r="K573" s="10" t="n">
        <v>223.048</v>
      </c>
      <c r="L573" s="8" t="inlineStr">
        <is>
          <t>九部</t>
        </is>
      </c>
      <c r="M573" s="8" t="inlineStr">
        <is>
          <t>魏红</t>
        </is>
      </c>
      <c r="N573" s="8" t="inlineStr">
        <is>
          <t>2-3年</t>
        </is>
      </c>
      <c r="O573" s="8" t="n"/>
    </row>
    <row r="574">
      <c r="A574" s="5" t="n">
        <v>572</v>
      </c>
      <c r="B574" s="5" t="inlineStr">
        <is>
          <t>华中-湖北</t>
        </is>
      </c>
      <c r="C574" s="5" t="inlineStr">
        <is>
          <t>党委机关</t>
        </is>
      </c>
      <c r="D574" s="6" t="inlineStr">
        <is>
          <t>HT20251227</t>
        </is>
      </c>
      <c r="E574" s="6" t="inlineStr">
        <is>
          <t>20260112</t>
        </is>
      </c>
      <c r="F574" s="10" t="n">
        <v>641.461</v>
      </c>
      <c r="G574" s="8" t="n"/>
      <c r="H574" s="10" t="n">
        <v>23.083</v>
      </c>
      <c r="I574" s="10" t="n">
        <v>618.378</v>
      </c>
      <c r="J574" s="10" t="n">
        <v>118.151</v>
      </c>
      <c r="K574" s="10" t="n">
        <v>500.227</v>
      </c>
      <c r="L574" s="8" t="inlineStr">
        <is>
          <t>六部</t>
        </is>
      </c>
      <c r="M574" s="8" t="inlineStr">
        <is>
          <t>冯倩</t>
        </is>
      </c>
      <c r="N574" s="8" t="inlineStr">
        <is>
          <t>1年以内</t>
        </is>
      </c>
      <c r="O574" s="8" t="n"/>
    </row>
    <row r="575">
      <c r="A575" s="5" t="n">
        <v>573</v>
      </c>
      <c r="B575" s="5" t="inlineStr">
        <is>
          <t>东北-吉林</t>
        </is>
      </c>
      <c r="C575" s="5" t="inlineStr">
        <is>
          <t>人大政协</t>
        </is>
      </c>
      <c r="D575" s="6" t="inlineStr">
        <is>
          <t>HT20251228</t>
        </is>
      </c>
      <c r="E575" s="6" t="inlineStr">
        <is>
          <t>20260830</t>
        </is>
      </c>
      <c r="F575" s="10" t="n">
        <v>105.785</v>
      </c>
      <c r="G575" s="8" t="n"/>
      <c r="H575" s="10" t="n">
        <v>75.715</v>
      </c>
      <c r="I575" s="10" t="n">
        <v>30.07</v>
      </c>
      <c r="J575" s="10" t="n">
        <v>10.6</v>
      </c>
      <c r="K575" s="10" t="n">
        <v>19.47</v>
      </c>
      <c r="L575" s="8" t="inlineStr">
        <is>
          <t>十部</t>
        </is>
      </c>
      <c r="M575" s="8" t="inlineStr">
        <is>
          <t>侯敏</t>
        </is>
      </c>
      <c r="N575" s="8" t="inlineStr">
        <is>
          <t>2-3年</t>
        </is>
      </c>
      <c r="O575" s="8" t="n"/>
    </row>
    <row r="576">
      <c r="A576" s="5" t="n">
        <v>574</v>
      </c>
      <c r="B576" s="5" t="inlineStr">
        <is>
          <t>东北-黑龙江</t>
        </is>
      </c>
      <c r="C576" s="5" t="inlineStr">
        <is>
          <t>基层自治组织</t>
        </is>
      </c>
      <c r="D576" s="6" t="inlineStr">
        <is>
          <t>HT20251228</t>
        </is>
      </c>
      <c r="E576" s="6" t="inlineStr">
        <is>
          <t>20260830</t>
        </is>
      </c>
      <c r="F576" s="10" t="n">
        <v>457.725</v>
      </c>
      <c r="G576" s="8" t="n"/>
      <c r="H576" s="10" t="n">
        <v>98.435</v>
      </c>
      <c r="I576" s="10" t="n">
        <v>359.29</v>
      </c>
      <c r="J576" s="10" t="n">
        <v>289.32</v>
      </c>
      <c r="K576" s="10" t="n">
        <v>69.97</v>
      </c>
      <c r="L576" s="8" t="inlineStr">
        <is>
          <t>五部</t>
        </is>
      </c>
      <c r="M576" s="8" t="inlineStr">
        <is>
          <t>梁雪</t>
        </is>
      </c>
      <c r="N576" s="8" t="inlineStr">
        <is>
          <t>2-3年</t>
        </is>
      </c>
      <c r="O576" s="8" t="n"/>
    </row>
    <row r="577">
      <c r="A577" s="5" t="n">
        <v>575</v>
      </c>
      <c r="B577" s="5" t="inlineStr">
        <is>
          <t>华东-台湾</t>
        </is>
      </c>
      <c r="C577" s="5" t="inlineStr">
        <is>
          <t>政府机关</t>
        </is>
      </c>
      <c r="D577" s="6" t="inlineStr">
        <is>
          <t>HT20251228</t>
        </is>
      </c>
      <c r="E577" s="6" t="inlineStr">
        <is>
          <t>20260830</t>
        </is>
      </c>
      <c r="F577" s="10" t="n">
        <v>337.928</v>
      </c>
      <c r="G577" s="8" t="n"/>
      <c r="H577" s="10" t="n">
        <v>88.712</v>
      </c>
      <c r="I577" s="10" t="n">
        <v>249.216</v>
      </c>
      <c r="J577" s="10" t="n">
        <v>245.729</v>
      </c>
      <c r="K577" s="10" t="n">
        <v>3.487</v>
      </c>
      <c r="L577" s="8" t="inlineStr">
        <is>
          <t>三部</t>
        </is>
      </c>
      <c r="M577" s="8" t="inlineStr">
        <is>
          <t>马超</t>
        </is>
      </c>
      <c r="N577" s="8" t="inlineStr">
        <is>
          <t>1-2年</t>
        </is>
      </c>
      <c r="O577" s="8" t="n"/>
    </row>
    <row r="578">
      <c r="A578" s="5" t="n">
        <v>576</v>
      </c>
      <c r="B578" s="5" t="inlineStr">
        <is>
          <t>华北-内蒙古</t>
        </is>
      </c>
      <c r="C578" s="5" t="inlineStr">
        <is>
          <t>政府机关</t>
        </is>
      </c>
      <c r="D578" s="6" t="inlineStr">
        <is>
          <t>HT20251228</t>
        </is>
      </c>
      <c r="E578" s="6" t="inlineStr">
        <is>
          <t>20260830</t>
        </is>
      </c>
      <c r="F578" s="10" t="n">
        <v>268.787</v>
      </c>
      <c r="G578" s="8" t="n"/>
      <c r="H578" s="10" t="n">
        <v>207.314</v>
      </c>
      <c r="I578" s="10" t="n">
        <v>61.473</v>
      </c>
      <c r="J578" s="10" t="n">
        <v>34.815</v>
      </c>
      <c r="K578" s="10" t="n">
        <v>26.658</v>
      </c>
      <c r="L578" s="8" t="inlineStr">
        <is>
          <t>一部</t>
        </is>
      </c>
      <c r="M578" s="8" t="inlineStr">
        <is>
          <t>王芳</t>
        </is>
      </c>
      <c r="N578" s="8" t="inlineStr">
        <is>
          <t>1-2年</t>
        </is>
      </c>
      <c r="O578" s="8" t="n"/>
    </row>
    <row r="579">
      <c r="A579" s="5" t="n">
        <v>577</v>
      </c>
      <c r="B579" s="5" t="inlineStr">
        <is>
          <t>西南-云南</t>
        </is>
      </c>
      <c r="C579" s="5" t="inlineStr">
        <is>
          <t>群团组织</t>
        </is>
      </c>
      <c r="D579" s="6" t="inlineStr">
        <is>
          <t>HT20251228</t>
        </is>
      </c>
      <c r="E579" s="6" t="inlineStr">
        <is>
          <t>20260830</t>
        </is>
      </c>
      <c r="F579" s="10" t="n">
        <v>140.176</v>
      </c>
      <c r="G579" s="8" t="n"/>
      <c r="H579" s="10" t="n">
        <v>56.841</v>
      </c>
      <c r="I579" s="10" t="n">
        <v>83.33499999999999</v>
      </c>
      <c r="J579" s="10" t="n">
        <v>33.928</v>
      </c>
      <c r="K579" s="10" t="n">
        <v>49.407</v>
      </c>
      <c r="L579" s="8" t="inlineStr">
        <is>
          <t>一部</t>
        </is>
      </c>
      <c r="M579" s="8" t="inlineStr">
        <is>
          <t>陈静</t>
        </is>
      </c>
      <c r="N579" s="8" t="inlineStr">
        <is>
          <t>1年以内</t>
        </is>
      </c>
      <c r="O579" s="8" t="n"/>
    </row>
    <row r="580">
      <c r="A580" s="5" t="n">
        <v>578</v>
      </c>
      <c r="B580" s="5" t="inlineStr">
        <is>
          <t>东北-辽宁</t>
        </is>
      </c>
      <c r="C580" s="5" t="inlineStr">
        <is>
          <t>监察司法机关</t>
        </is>
      </c>
      <c r="D580" s="6" t="inlineStr">
        <is>
          <t>HT20251228</t>
        </is>
      </c>
      <c r="E580" s="6" t="inlineStr">
        <is>
          <t>20260830</t>
        </is>
      </c>
      <c r="F580" s="10" t="n">
        <v>209.32</v>
      </c>
      <c r="G580" s="8" t="n"/>
      <c r="H580" s="10" t="n">
        <v>139.472</v>
      </c>
      <c r="I580" s="10" t="n">
        <v>69.848</v>
      </c>
      <c r="J580" s="10" t="n">
        <v>6.711</v>
      </c>
      <c r="K580" s="10" t="n">
        <v>63.137</v>
      </c>
      <c r="L580" s="8" t="inlineStr">
        <is>
          <t>四部</t>
        </is>
      </c>
      <c r="M580" s="8" t="inlineStr">
        <is>
          <t>罗刚</t>
        </is>
      </c>
      <c r="N580" s="8" t="inlineStr">
        <is>
          <t>1-2年</t>
        </is>
      </c>
      <c r="O580" s="8" t="n"/>
    </row>
    <row r="581">
      <c r="A581" s="5" t="n">
        <v>579</v>
      </c>
      <c r="B581" s="5" t="inlineStr">
        <is>
          <t>西北-青海</t>
        </is>
      </c>
      <c r="C581" s="5" t="inlineStr">
        <is>
          <t>基层自治组织</t>
        </is>
      </c>
      <c r="D581" s="6" t="inlineStr">
        <is>
          <t>HT20251228</t>
        </is>
      </c>
      <c r="E581" s="6" t="inlineStr">
        <is>
          <t>20260830</t>
        </is>
      </c>
      <c r="F581" s="10" t="n">
        <v>701.998</v>
      </c>
      <c r="G581" s="8" t="n"/>
      <c r="H581" s="10" t="n">
        <v>312.206</v>
      </c>
      <c r="I581" s="10" t="n">
        <v>389.792</v>
      </c>
      <c r="J581" s="10" t="n">
        <v>165.538</v>
      </c>
      <c r="K581" s="10" t="n">
        <v>224.254</v>
      </c>
      <c r="L581" s="8" t="inlineStr">
        <is>
          <t>七部</t>
        </is>
      </c>
      <c r="M581" s="8" t="inlineStr">
        <is>
          <t>傅蓉</t>
        </is>
      </c>
      <c r="N581" s="8" t="inlineStr">
        <is>
          <t>1年以内</t>
        </is>
      </c>
      <c r="O581" s="8" t="n"/>
    </row>
    <row r="582">
      <c r="A582" s="5" t="n">
        <v>580</v>
      </c>
      <c r="B582" s="5" t="inlineStr">
        <is>
          <t>西北-宁夏</t>
        </is>
      </c>
      <c r="C582" s="5" t="inlineStr">
        <is>
          <t>党委机关</t>
        </is>
      </c>
      <c r="D582" s="6" t="inlineStr">
        <is>
          <t>HT20251228</t>
        </is>
      </c>
      <c r="E582" s="6" t="inlineStr">
        <is>
          <t>20260830</t>
        </is>
      </c>
      <c r="F582" s="10" t="n">
        <v>394.319</v>
      </c>
      <c r="G582" s="8" t="n"/>
      <c r="H582" s="10" t="n">
        <v>384.903</v>
      </c>
      <c r="I582" s="10" t="n">
        <v>9.416</v>
      </c>
      <c r="J582" s="10" t="n">
        <v>3.301</v>
      </c>
      <c r="K582" s="10" t="n">
        <v>6.115</v>
      </c>
      <c r="L582" s="8" t="inlineStr">
        <is>
          <t>十部</t>
        </is>
      </c>
      <c r="M582" s="8" t="inlineStr">
        <is>
          <t>阎莉</t>
        </is>
      </c>
      <c r="N582" s="8" t="inlineStr">
        <is>
          <t>1-2年</t>
        </is>
      </c>
      <c r="O582" s="8" t="n"/>
    </row>
    <row r="583">
      <c r="A583" s="5" t="n">
        <v>581</v>
      </c>
      <c r="B583" s="5" t="inlineStr">
        <is>
          <t>华南-广西</t>
        </is>
      </c>
      <c r="C583" s="5" t="inlineStr">
        <is>
          <t>政府机关</t>
        </is>
      </c>
      <c r="D583" s="6" t="inlineStr">
        <is>
          <t>HT20251230</t>
        </is>
      </c>
      <c r="E583" s="6" t="inlineStr">
        <is>
          <t>20260529</t>
        </is>
      </c>
      <c r="F583" s="10" t="n">
        <v>76.69</v>
      </c>
      <c r="G583" s="8" t="n"/>
      <c r="H583" s="10" t="n">
        <v>56.054</v>
      </c>
      <c r="I583" s="10" t="n">
        <v>20.636</v>
      </c>
      <c r="J583" s="10" t="n">
        <v>14.891</v>
      </c>
      <c r="K583" s="10" t="n">
        <v>5.745</v>
      </c>
      <c r="L583" s="8" t="inlineStr">
        <is>
          <t>二部</t>
        </is>
      </c>
      <c r="M583" s="8" t="inlineStr">
        <is>
          <t>吴丽</t>
        </is>
      </c>
      <c r="N583" s="8" t="inlineStr">
        <is>
          <t>1-2年</t>
        </is>
      </c>
      <c r="O583" s="8" t="n"/>
    </row>
    <row r="584">
      <c r="A584" s="5" t="n">
        <v>582</v>
      </c>
      <c r="B584" s="5" t="inlineStr">
        <is>
          <t>东北-黑龙江</t>
        </is>
      </c>
      <c r="C584" s="5" t="inlineStr">
        <is>
          <t>基层自治组织</t>
        </is>
      </c>
      <c r="D584" s="6" t="inlineStr">
        <is>
          <t>HT20251230</t>
        </is>
      </c>
      <c r="E584" s="6" t="inlineStr">
        <is>
          <t>20260529</t>
        </is>
      </c>
      <c r="F584" s="10" t="n">
        <v>8215.833000000001</v>
      </c>
      <c r="G584" s="8" t="n"/>
      <c r="H584" s="10" t="n">
        <v>1534.146</v>
      </c>
      <c r="I584" s="10" t="n">
        <v>6681.687</v>
      </c>
      <c r="J584" s="10" t="n">
        <v>3286.019</v>
      </c>
      <c r="K584" s="10" t="n">
        <v>3395.668</v>
      </c>
      <c r="L584" s="8" t="inlineStr">
        <is>
          <t>三部</t>
        </is>
      </c>
      <c r="M584" s="8" t="inlineStr">
        <is>
          <t>胡蓉</t>
        </is>
      </c>
      <c r="N584" s="8" t="inlineStr">
        <is>
          <t>1-2年</t>
        </is>
      </c>
      <c r="O584" s="8" t="n"/>
    </row>
    <row r="585">
      <c r="A585" s="5" t="n">
        <v>583</v>
      </c>
      <c r="B585" s="5" t="inlineStr">
        <is>
          <t>西北-青海</t>
        </is>
      </c>
      <c r="C585" s="5" t="inlineStr">
        <is>
          <t>人大政协</t>
        </is>
      </c>
      <c r="D585" s="6" t="inlineStr">
        <is>
          <t>HT20251231</t>
        </is>
      </c>
      <c r="E585" s="6" t="inlineStr">
        <is>
          <t>20260324</t>
        </is>
      </c>
      <c r="F585" s="10" t="n">
        <v>672.224</v>
      </c>
      <c r="G585" s="8" t="n"/>
      <c r="H585" s="10" t="n">
        <v>604.659</v>
      </c>
      <c r="I585" s="10" t="n">
        <v>67.565</v>
      </c>
      <c r="J585" s="10" t="n">
        <v>22.614</v>
      </c>
      <c r="K585" s="10" t="n">
        <v>44.951</v>
      </c>
      <c r="L585" s="8" t="inlineStr">
        <is>
          <t>九部</t>
        </is>
      </c>
      <c r="M585" s="8" t="inlineStr">
        <is>
          <t>蔡明</t>
        </is>
      </c>
      <c r="N585" s="8" t="inlineStr">
        <is>
          <t>1-2年</t>
        </is>
      </c>
      <c r="O585" s="8" t="n"/>
    </row>
    <row r="586">
      <c r="A586" s="5" t="n">
        <v>584</v>
      </c>
      <c r="B586" s="5" t="inlineStr">
        <is>
          <t>华北-河北</t>
        </is>
      </c>
      <c r="C586" s="5" t="inlineStr">
        <is>
          <t>基层自治组织</t>
        </is>
      </c>
      <c r="D586" s="6" t="inlineStr">
        <is>
          <t>HT20260101</t>
        </is>
      </c>
      <c r="E586" s="6" t="inlineStr">
        <is>
          <t>20260714</t>
        </is>
      </c>
      <c r="F586" s="10" t="n">
        <v>285.78</v>
      </c>
      <c r="G586" s="8" t="n"/>
      <c r="H586" s="10" t="n">
        <v>259.67</v>
      </c>
      <c r="I586" s="10" t="n">
        <v>26.11</v>
      </c>
      <c r="J586" s="10" t="n">
        <v>10.909</v>
      </c>
      <c r="K586" s="10" t="n">
        <v>15.201</v>
      </c>
      <c r="L586" s="8" t="inlineStr">
        <is>
          <t>五部</t>
        </is>
      </c>
      <c r="M586" s="8" t="inlineStr">
        <is>
          <t>宋佳</t>
        </is>
      </c>
      <c r="N586" s="8" t="inlineStr">
        <is>
          <t>1年以内</t>
        </is>
      </c>
      <c r="O586" s="8" t="n"/>
    </row>
    <row r="587">
      <c r="A587" s="5" t="n">
        <v>585</v>
      </c>
      <c r="B587" s="5" t="inlineStr">
        <is>
          <t>西北-甘肃</t>
        </is>
      </c>
      <c r="C587" s="5" t="inlineStr">
        <is>
          <t>事业单位</t>
        </is>
      </c>
      <c r="D587" s="6" t="inlineStr">
        <is>
          <t>HT20260101</t>
        </is>
      </c>
      <c r="E587" s="6" t="inlineStr">
        <is>
          <t>20260714</t>
        </is>
      </c>
      <c r="F587" s="10" t="n">
        <v>758.918</v>
      </c>
      <c r="G587" s="8" t="n"/>
      <c r="H587" s="10" t="n">
        <v>490.362</v>
      </c>
      <c r="I587" s="10" t="n">
        <v>268.556</v>
      </c>
      <c r="J587" s="10" t="n">
        <v>164.73</v>
      </c>
      <c r="K587" s="10" t="n">
        <v>103.826</v>
      </c>
      <c r="L587" s="8" t="inlineStr">
        <is>
          <t>九部</t>
        </is>
      </c>
      <c r="M587" s="8" t="inlineStr">
        <is>
          <t>贾静</t>
        </is>
      </c>
      <c r="N587" s="8" t="inlineStr">
        <is>
          <t>2-3年</t>
        </is>
      </c>
      <c r="O587" s="8" t="n"/>
    </row>
    <row r="588">
      <c r="A588" s="5" t="n">
        <v>586</v>
      </c>
      <c r="B588" s="5" t="inlineStr">
        <is>
          <t>华东-台湾</t>
        </is>
      </c>
      <c r="C588" s="5" t="inlineStr">
        <is>
          <t>事业单位</t>
        </is>
      </c>
      <c r="D588" s="6" t="inlineStr">
        <is>
          <t>HT20260101</t>
        </is>
      </c>
      <c r="E588" s="6" t="inlineStr">
        <is>
          <t>20260714</t>
        </is>
      </c>
      <c r="F588" s="10" t="n">
        <v>890.083</v>
      </c>
      <c r="G588" s="8" t="n"/>
      <c r="H588" s="10" t="n">
        <v>382.534</v>
      </c>
      <c r="I588" s="10" t="n">
        <v>507.549</v>
      </c>
      <c r="J588" s="10" t="n">
        <v>291.522</v>
      </c>
      <c r="K588" s="10" t="n">
        <v>216.027</v>
      </c>
      <c r="L588" s="8" t="inlineStr">
        <is>
          <t>一部</t>
        </is>
      </c>
      <c r="M588" s="8" t="inlineStr">
        <is>
          <t>李娜</t>
        </is>
      </c>
      <c r="N588" s="8" t="inlineStr">
        <is>
          <t>2-3年</t>
        </is>
      </c>
      <c r="O588" s="8" t="n"/>
    </row>
    <row r="589">
      <c r="A589" s="5" t="n">
        <v>587</v>
      </c>
      <c r="B589" s="5" t="inlineStr">
        <is>
          <t>华中-湖北</t>
        </is>
      </c>
      <c r="C589" s="5" t="inlineStr">
        <is>
          <t>人大政协</t>
        </is>
      </c>
      <c r="D589" s="6" t="inlineStr">
        <is>
          <t>HT20260103</t>
        </is>
      </c>
      <c r="E589" s="6" t="inlineStr">
        <is>
          <t>20260612</t>
        </is>
      </c>
      <c r="F589" s="10" t="n">
        <v>239.077</v>
      </c>
      <c r="G589" s="8" t="n"/>
      <c r="H589" s="10" t="n">
        <v>61.164</v>
      </c>
      <c r="I589" s="10" t="n">
        <v>177.913</v>
      </c>
      <c r="J589" s="10" t="n">
        <v>151.185</v>
      </c>
      <c r="K589" s="10" t="n">
        <v>26.728</v>
      </c>
      <c r="L589" s="8" t="inlineStr">
        <is>
          <t>一部</t>
        </is>
      </c>
      <c r="M589" s="8" t="inlineStr">
        <is>
          <t>张伟</t>
        </is>
      </c>
      <c r="N589" s="8" t="inlineStr">
        <is>
          <t>1-2年</t>
        </is>
      </c>
      <c r="O589" s="8" t="n"/>
    </row>
    <row r="590">
      <c r="A590" s="5" t="n">
        <v>588</v>
      </c>
      <c r="B590" s="5" t="inlineStr">
        <is>
          <t>华北-山西</t>
        </is>
      </c>
      <c r="C590" s="5" t="inlineStr">
        <is>
          <t>群团组织</t>
        </is>
      </c>
      <c r="D590" s="6" t="inlineStr">
        <is>
          <t>HT20260103</t>
        </is>
      </c>
      <c r="E590" s="6" t="inlineStr">
        <is>
          <t>20260612</t>
        </is>
      </c>
      <c r="F590" s="10" t="n">
        <v>421.921</v>
      </c>
      <c r="G590" s="8" t="n"/>
      <c r="H590" s="10" t="n">
        <v>250.004</v>
      </c>
      <c r="I590" s="10" t="n">
        <v>171.917</v>
      </c>
      <c r="J590" s="10" t="n">
        <v>129.76</v>
      </c>
      <c r="K590" s="10" t="n">
        <v>42.157</v>
      </c>
      <c r="L590" s="8" t="inlineStr">
        <is>
          <t>一部</t>
        </is>
      </c>
      <c r="M590" s="8" t="inlineStr">
        <is>
          <t>张伟</t>
        </is>
      </c>
      <c r="N590" s="8" t="inlineStr">
        <is>
          <t>1-2年</t>
        </is>
      </c>
      <c r="O590" s="8" t="n"/>
    </row>
    <row r="591">
      <c r="A591" s="5" t="n">
        <v>589</v>
      </c>
      <c r="B591" s="5" t="inlineStr">
        <is>
          <t>华东-山东</t>
        </is>
      </c>
      <c r="C591" s="5" t="inlineStr">
        <is>
          <t>人大政协</t>
        </is>
      </c>
      <c r="D591" s="6" t="inlineStr">
        <is>
          <t>HT20260103</t>
        </is>
      </c>
      <c r="E591" s="6" t="inlineStr">
        <is>
          <t>20260612</t>
        </is>
      </c>
      <c r="F591" s="10" t="n">
        <v>8557.976000000001</v>
      </c>
      <c r="G591" s="8" t="n"/>
      <c r="H591" s="10" t="n">
        <v>3608.362</v>
      </c>
      <c r="I591" s="10" t="n">
        <v>4949.614</v>
      </c>
      <c r="J591" s="10" t="n">
        <v>2166.215</v>
      </c>
      <c r="K591" s="10" t="n">
        <v>2783.399</v>
      </c>
      <c r="L591" s="8" t="inlineStr">
        <is>
          <t>七部</t>
        </is>
      </c>
      <c r="M591" s="8" t="inlineStr">
        <is>
          <t>袁博</t>
        </is>
      </c>
      <c r="N591" s="8" t="inlineStr">
        <is>
          <t>1年以内</t>
        </is>
      </c>
      <c r="O591" s="8" t="n"/>
    </row>
    <row r="592">
      <c r="A592" s="5" t="n">
        <v>590</v>
      </c>
      <c r="B592" s="5" t="inlineStr">
        <is>
          <t>西北-甘肃</t>
        </is>
      </c>
      <c r="C592" s="5" t="inlineStr">
        <is>
          <t>监察司法机关</t>
        </is>
      </c>
      <c r="D592" s="6" t="inlineStr">
        <is>
          <t>HT20260103</t>
        </is>
      </c>
      <c r="E592" s="6" t="inlineStr">
        <is>
          <t>20260612</t>
        </is>
      </c>
      <c r="F592" s="10" t="n">
        <v>184.659</v>
      </c>
      <c r="G592" s="8" t="n"/>
      <c r="H592" s="10" t="n">
        <v>2.838</v>
      </c>
      <c r="I592" s="10" t="n">
        <v>181.821</v>
      </c>
      <c r="J592" s="10" t="n">
        <v>170.471</v>
      </c>
      <c r="K592" s="10" t="n">
        <v>11.35</v>
      </c>
      <c r="L592" s="8" t="inlineStr">
        <is>
          <t>八部</t>
        </is>
      </c>
      <c r="M592" s="8" t="inlineStr">
        <is>
          <t>吕强</t>
        </is>
      </c>
      <c r="N592" s="8" t="inlineStr">
        <is>
          <t>1年以内</t>
        </is>
      </c>
      <c r="O592" s="8" t="n"/>
    </row>
    <row r="593">
      <c r="A593" s="5" t="n">
        <v>591</v>
      </c>
      <c r="B593" s="5" t="inlineStr">
        <is>
          <t>东北-吉林</t>
        </is>
      </c>
      <c r="C593" s="5" t="inlineStr">
        <is>
          <t>人大政协</t>
        </is>
      </c>
      <c r="D593" s="6" t="inlineStr">
        <is>
          <t>HT20260103</t>
        </is>
      </c>
      <c r="E593" s="6" t="inlineStr">
        <is>
          <t>20260612</t>
        </is>
      </c>
      <c r="F593" s="10" t="n">
        <v>622.519</v>
      </c>
      <c r="G593" s="8" t="n"/>
      <c r="H593" s="10" t="n">
        <v>402.87</v>
      </c>
      <c r="I593" s="10" t="n">
        <v>219.649</v>
      </c>
      <c r="J593" s="10" t="n">
        <v>191.33</v>
      </c>
      <c r="K593" s="10" t="n">
        <v>28.319</v>
      </c>
      <c r="L593" s="8" t="inlineStr">
        <is>
          <t>九部</t>
        </is>
      </c>
      <c r="M593" s="8" t="inlineStr">
        <is>
          <t>丁磊</t>
        </is>
      </c>
      <c r="N593" s="8" t="inlineStr">
        <is>
          <t>1年以内</t>
        </is>
      </c>
      <c r="O593" s="8" t="n"/>
    </row>
    <row r="594">
      <c r="A594" s="5" t="n">
        <v>592</v>
      </c>
      <c r="B594" s="5" t="inlineStr">
        <is>
          <t>华中-河南</t>
        </is>
      </c>
      <c r="C594" s="5" t="inlineStr">
        <is>
          <t>政府机关</t>
        </is>
      </c>
      <c r="D594" s="6" t="inlineStr">
        <is>
          <t>HT20260104</t>
        </is>
      </c>
      <c r="E594" s="6" t="inlineStr">
        <is>
          <t>20260603</t>
        </is>
      </c>
      <c r="F594" s="10" t="n">
        <v>367.276</v>
      </c>
      <c r="G594" s="8" t="n"/>
      <c r="H594" s="10" t="n">
        <v>316.341</v>
      </c>
      <c r="I594" s="10" t="n">
        <v>50.935</v>
      </c>
      <c r="J594" s="10" t="n">
        <v>12.867</v>
      </c>
      <c r="K594" s="10" t="n">
        <v>38.068</v>
      </c>
      <c r="L594" s="8" t="inlineStr">
        <is>
          <t>十部</t>
        </is>
      </c>
      <c r="M594" s="8" t="inlineStr">
        <is>
          <t>阎莉</t>
        </is>
      </c>
      <c r="N594" s="8" t="inlineStr">
        <is>
          <t>1-2年</t>
        </is>
      </c>
      <c r="O594" s="8" t="n"/>
    </row>
    <row r="595">
      <c r="A595" s="5" t="n">
        <v>593</v>
      </c>
      <c r="B595" s="5" t="inlineStr">
        <is>
          <t>华北-内蒙古</t>
        </is>
      </c>
      <c r="C595" s="5" t="inlineStr">
        <is>
          <t>政府机关</t>
        </is>
      </c>
      <c r="D595" s="6" t="inlineStr">
        <is>
          <t>HT20260104</t>
        </is>
      </c>
      <c r="E595" s="6" t="inlineStr">
        <is>
          <t>20260603</t>
        </is>
      </c>
      <c r="F595" s="10" t="n">
        <v>357.326</v>
      </c>
      <c r="G595" s="8" t="n"/>
      <c r="H595" s="10" t="n">
        <v>262.833</v>
      </c>
      <c r="I595" s="10" t="n">
        <v>94.49299999999999</v>
      </c>
      <c r="J595" s="10" t="n">
        <v>85.044</v>
      </c>
      <c r="K595" s="10" t="n">
        <v>9.449</v>
      </c>
      <c r="L595" s="8" t="inlineStr">
        <is>
          <t>七部</t>
        </is>
      </c>
      <c r="M595" s="8" t="inlineStr">
        <is>
          <t>许涛</t>
        </is>
      </c>
      <c r="N595" s="8" t="inlineStr">
        <is>
          <t>1-2年</t>
        </is>
      </c>
      <c r="O595" s="8" t="n"/>
    </row>
    <row r="596">
      <c r="A596" s="5" t="n">
        <v>594</v>
      </c>
      <c r="B596" s="5" t="inlineStr">
        <is>
          <t>华东-安徽</t>
        </is>
      </c>
      <c r="C596" s="5" t="inlineStr">
        <is>
          <t>人大政协</t>
        </is>
      </c>
      <c r="D596" s="6" t="inlineStr">
        <is>
          <t>HT20260104</t>
        </is>
      </c>
      <c r="E596" s="6" t="inlineStr">
        <is>
          <t>20260603</t>
        </is>
      </c>
      <c r="F596" s="10" t="n">
        <v>233.82</v>
      </c>
      <c r="G596" s="8" t="n"/>
      <c r="H596" s="10" t="n">
        <v>29.427</v>
      </c>
      <c r="I596" s="10" t="n">
        <v>204.393</v>
      </c>
      <c r="J596" s="10" t="n">
        <v>49.664</v>
      </c>
      <c r="K596" s="10" t="n">
        <v>154.729</v>
      </c>
      <c r="L596" s="8" t="inlineStr">
        <is>
          <t>十部</t>
        </is>
      </c>
      <c r="M596" s="8" t="inlineStr">
        <is>
          <t>侯敏</t>
        </is>
      </c>
      <c r="N596" s="8" t="inlineStr">
        <is>
          <t>2-3年</t>
        </is>
      </c>
      <c r="O596" s="8" t="n"/>
    </row>
    <row r="597">
      <c r="A597" s="5" t="n">
        <v>595</v>
      </c>
      <c r="B597" s="5" t="inlineStr">
        <is>
          <t>华北-河北</t>
        </is>
      </c>
      <c r="C597" s="5" t="inlineStr">
        <is>
          <t>群团组织</t>
        </is>
      </c>
      <c r="D597" s="6" t="inlineStr">
        <is>
          <t>HT20260104</t>
        </is>
      </c>
      <c r="E597" s="6" t="inlineStr">
        <is>
          <t>20260603</t>
        </is>
      </c>
      <c r="F597" s="10" t="n">
        <v>364.215</v>
      </c>
      <c r="G597" s="8" t="n"/>
      <c r="H597" s="10" t="n">
        <v>227.145</v>
      </c>
      <c r="I597" s="10" t="n">
        <v>137.07</v>
      </c>
      <c r="J597" s="10" t="n">
        <v>70.71599999999999</v>
      </c>
      <c r="K597" s="10" t="n">
        <v>66.354</v>
      </c>
      <c r="L597" s="8" t="inlineStr">
        <is>
          <t>六部</t>
        </is>
      </c>
      <c r="M597" s="8" t="inlineStr">
        <is>
          <t>曹阳</t>
        </is>
      </c>
      <c r="N597" s="8" t="inlineStr">
        <is>
          <t>2-3年</t>
        </is>
      </c>
      <c r="O597" s="8" t="n"/>
    </row>
    <row r="598">
      <c r="A598" s="5" t="n">
        <v>596</v>
      </c>
      <c r="B598" s="5" t="inlineStr">
        <is>
          <t>华东-上海</t>
        </is>
      </c>
      <c r="C598" s="5" t="inlineStr">
        <is>
          <t>政府机关</t>
        </is>
      </c>
      <c r="D598" s="6" t="inlineStr">
        <is>
          <t>HT20260105</t>
        </is>
      </c>
      <c r="E598" s="6" t="inlineStr">
        <is>
          <t>20260210</t>
        </is>
      </c>
      <c r="F598" s="10" t="n">
        <v>483.36</v>
      </c>
      <c r="G598" s="8" t="n"/>
      <c r="H598" s="10" t="n">
        <v>210.135</v>
      </c>
      <c r="I598" s="10" t="n">
        <v>273.225</v>
      </c>
      <c r="J598" s="10" t="n">
        <v>123.067</v>
      </c>
      <c r="K598" s="10" t="n">
        <v>150.158</v>
      </c>
      <c r="L598" s="8" t="inlineStr">
        <is>
          <t>二部</t>
        </is>
      </c>
      <c r="M598" s="8" t="inlineStr">
        <is>
          <t>杨磊</t>
        </is>
      </c>
      <c r="N598" s="8" t="inlineStr">
        <is>
          <t>2-3年</t>
        </is>
      </c>
      <c r="O598" s="8" t="n"/>
    </row>
    <row r="599">
      <c r="A599" s="5" t="n">
        <v>597</v>
      </c>
      <c r="B599" s="5" t="inlineStr">
        <is>
          <t>西北-甘肃</t>
        </is>
      </c>
      <c r="C599" s="5" t="inlineStr">
        <is>
          <t>基层自治组织</t>
        </is>
      </c>
      <c r="D599" s="6" t="inlineStr">
        <is>
          <t>HT20260108</t>
        </is>
      </c>
      <c r="E599" s="6" t="inlineStr">
        <is>
          <t>20260528</t>
        </is>
      </c>
      <c r="F599" s="10" t="n">
        <v>632.346</v>
      </c>
      <c r="G599" s="8" t="n"/>
      <c r="H599" s="10" t="n">
        <v>101.861</v>
      </c>
      <c r="I599" s="10" t="n">
        <v>530.485</v>
      </c>
      <c r="J599" s="10" t="n">
        <v>277.14</v>
      </c>
      <c r="K599" s="10" t="n">
        <v>253.345</v>
      </c>
      <c r="L599" s="8" t="inlineStr">
        <is>
          <t>九部</t>
        </is>
      </c>
      <c r="M599" s="8" t="inlineStr">
        <is>
          <t>魏红</t>
        </is>
      </c>
      <c r="N599" s="8" t="inlineStr">
        <is>
          <t>1-2年</t>
        </is>
      </c>
      <c r="O599" s="8" t="n"/>
    </row>
    <row r="600">
      <c r="A600" s="5" t="n">
        <v>598</v>
      </c>
      <c r="B600" s="5" t="inlineStr">
        <is>
          <t>华中-湖北</t>
        </is>
      </c>
      <c r="C600" s="5" t="inlineStr">
        <is>
          <t>群团组织</t>
        </is>
      </c>
      <c r="D600" s="6" t="inlineStr">
        <is>
          <t>HT20260108</t>
        </is>
      </c>
      <c r="E600" s="6" t="inlineStr">
        <is>
          <t>20260528</t>
        </is>
      </c>
      <c r="F600" s="10" t="n">
        <v>378.465</v>
      </c>
      <c r="G600" s="8" t="n"/>
      <c r="H600" s="10" t="n">
        <v>20.758</v>
      </c>
      <c r="I600" s="10" t="n">
        <v>357.707</v>
      </c>
      <c r="J600" s="10" t="n">
        <v>129.387</v>
      </c>
      <c r="K600" s="10" t="n">
        <v>228.32</v>
      </c>
      <c r="L600" s="8" t="inlineStr">
        <is>
          <t>六部</t>
        </is>
      </c>
      <c r="M600" s="8" t="inlineStr">
        <is>
          <t>董辉</t>
        </is>
      </c>
      <c r="N600" s="8" t="inlineStr">
        <is>
          <t>1年以内</t>
        </is>
      </c>
      <c r="O600" s="8" t="n"/>
    </row>
    <row r="601">
      <c r="A601" s="5" t="n">
        <v>599</v>
      </c>
      <c r="B601" s="5" t="inlineStr">
        <is>
          <t>东北-吉林</t>
        </is>
      </c>
      <c r="C601" s="5" t="inlineStr">
        <is>
          <t>群团组织</t>
        </is>
      </c>
      <c r="D601" s="6" t="inlineStr">
        <is>
          <t>HT20260109</t>
        </is>
      </c>
      <c r="E601" s="6" t="inlineStr">
        <is>
          <t>20260617</t>
        </is>
      </c>
      <c r="F601" s="10" t="n">
        <v>587.677</v>
      </c>
      <c r="G601" s="8" t="n"/>
      <c r="H601" s="10" t="n">
        <v>112.157</v>
      </c>
      <c r="I601" s="10" t="n">
        <v>475.52</v>
      </c>
      <c r="J601" s="10" t="n">
        <v>151.007</v>
      </c>
      <c r="K601" s="10" t="n">
        <v>324.513</v>
      </c>
      <c r="L601" s="8" t="inlineStr">
        <is>
          <t>十部</t>
        </is>
      </c>
      <c r="M601" s="8" t="inlineStr">
        <is>
          <t>雷声</t>
        </is>
      </c>
      <c r="N601" s="8" t="inlineStr">
        <is>
          <t>1-2年</t>
        </is>
      </c>
      <c r="O601" s="8" t="n"/>
    </row>
    <row r="602">
      <c r="A602" s="5" t="n">
        <v>600</v>
      </c>
      <c r="B602" s="5" t="inlineStr">
        <is>
          <t>华北-北京</t>
        </is>
      </c>
      <c r="C602" s="5" t="inlineStr">
        <is>
          <t>基层自治组织</t>
        </is>
      </c>
      <c r="D602" s="6" t="inlineStr">
        <is>
          <t>HT20260109</t>
        </is>
      </c>
      <c r="E602" s="6" t="inlineStr">
        <is>
          <t>20260617</t>
        </is>
      </c>
      <c r="F602" s="10" t="n">
        <v>169.366</v>
      </c>
      <c r="G602" s="8" t="n"/>
      <c r="H602" s="10" t="n">
        <v>157.468</v>
      </c>
      <c r="I602" s="10" t="n">
        <v>11.898</v>
      </c>
      <c r="J602" s="10" t="n">
        <v>6.605</v>
      </c>
      <c r="K602" s="10" t="n">
        <v>5.293</v>
      </c>
      <c r="L602" s="8" t="inlineStr">
        <is>
          <t>九部</t>
        </is>
      </c>
      <c r="M602" s="8" t="inlineStr">
        <is>
          <t>蔡明</t>
        </is>
      </c>
      <c r="N602" s="8" t="inlineStr">
        <is>
          <t>2-3年</t>
        </is>
      </c>
      <c r="O602" s="8" t="n"/>
    </row>
    <row r="603">
      <c r="A603" s="5" t="n">
        <v>601</v>
      </c>
      <c r="B603" s="5" t="inlineStr">
        <is>
          <t>华东-山东</t>
        </is>
      </c>
      <c r="C603" s="5" t="inlineStr">
        <is>
          <t>政府机关</t>
        </is>
      </c>
      <c r="D603" s="6" t="inlineStr">
        <is>
          <t>HT20260110</t>
        </is>
      </c>
      <c r="E603" s="6" t="inlineStr">
        <is>
          <t>20260403</t>
        </is>
      </c>
      <c r="F603" s="10" t="n">
        <v>993.694</v>
      </c>
      <c r="G603" s="8" t="n"/>
      <c r="H603" s="10" t="n">
        <v>949.793</v>
      </c>
      <c r="I603" s="10" t="n">
        <v>43.901</v>
      </c>
      <c r="J603" s="10" t="n">
        <v>2.705</v>
      </c>
      <c r="K603" s="10" t="n">
        <v>41.196</v>
      </c>
      <c r="L603" s="8" t="inlineStr">
        <is>
          <t>四部</t>
        </is>
      </c>
      <c r="M603" s="8" t="inlineStr">
        <is>
          <t>何萍</t>
        </is>
      </c>
      <c r="N603" s="8" t="inlineStr">
        <is>
          <t>1年以内</t>
        </is>
      </c>
      <c r="O603" s="8" t="n"/>
    </row>
    <row r="604">
      <c r="A604" s="5" t="n">
        <v>602</v>
      </c>
      <c r="B604" s="5" t="inlineStr">
        <is>
          <t>华东-福建</t>
        </is>
      </c>
      <c r="C604" s="5" t="inlineStr">
        <is>
          <t>群团组织</t>
        </is>
      </c>
      <c r="D604" s="6" t="inlineStr">
        <is>
          <t>HT20260110</t>
        </is>
      </c>
      <c r="E604" s="6" t="inlineStr">
        <is>
          <t>20260403</t>
        </is>
      </c>
      <c r="F604" s="10" t="n">
        <v>796.354</v>
      </c>
      <c r="G604" s="8" t="n"/>
      <c r="H604" s="10" t="n">
        <v>190.221</v>
      </c>
      <c r="I604" s="10" t="n">
        <v>606.133</v>
      </c>
      <c r="J604" s="10" t="n">
        <v>415.182</v>
      </c>
      <c r="K604" s="10" t="n">
        <v>190.951</v>
      </c>
      <c r="L604" s="8" t="inlineStr">
        <is>
          <t>十部</t>
        </is>
      </c>
      <c r="M604" s="8" t="inlineStr">
        <is>
          <t>段勇</t>
        </is>
      </c>
      <c r="N604" s="8" t="inlineStr">
        <is>
          <t>2-3年</t>
        </is>
      </c>
      <c r="O604" s="8" t="n"/>
    </row>
    <row r="605">
      <c r="A605" s="5" t="n">
        <v>603</v>
      </c>
      <c r="B605" s="5" t="inlineStr">
        <is>
          <t>华南-香港</t>
        </is>
      </c>
      <c r="C605" s="5" t="inlineStr">
        <is>
          <t>党委机关</t>
        </is>
      </c>
      <c r="D605" s="6" t="inlineStr">
        <is>
          <t>HT20260111</t>
        </is>
      </c>
      <c r="E605" s="6" t="inlineStr">
        <is>
          <t>20260904</t>
        </is>
      </c>
      <c r="F605" s="10" t="n">
        <v>180.939</v>
      </c>
      <c r="G605" s="8" t="n"/>
      <c r="H605" s="10" t="n">
        <v>131.543</v>
      </c>
      <c r="I605" s="10" t="n">
        <v>49.396</v>
      </c>
      <c r="J605" s="10" t="n">
        <v>6.674</v>
      </c>
      <c r="K605" s="10" t="n">
        <v>42.722</v>
      </c>
      <c r="L605" s="8" t="inlineStr">
        <is>
          <t>二部</t>
        </is>
      </c>
      <c r="M605" s="8" t="inlineStr">
        <is>
          <t>周杰</t>
        </is>
      </c>
      <c r="N605" s="8" t="inlineStr">
        <is>
          <t>2-3年</t>
        </is>
      </c>
      <c r="O605" s="8" t="n"/>
    </row>
    <row r="606">
      <c r="A606" s="5" t="n">
        <v>604</v>
      </c>
      <c r="B606" s="5" t="inlineStr">
        <is>
          <t>华东-安徽</t>
        </is>
      </c>
      <c r="C606" s="5" t="inlineStr">
        <is>
          <t>监察司法机关</t>
        </is>
      </c>
      <c r="D606" s="6" t="inlineStr">
        <is>
          <t>HT20260112</t>
        </is>
      </c>
      <c r="E606" s="6" t="inlineStr">
        <is>
          <t>20260724</t>
        </is>
      </c>
      <c r="F606" s="10" t="n">
        <v>760.532</v>
      </c>
      <c r="G606" s="8" t="n"/>
      <c r="H606" s="10" t="n">
        <v>621.356</v>
      </c>
      <c r="I606" s="10" t="n">
        <v>139.176</v>
      </c>
      <c r="J606" s="10" t="n">
        <v>30.517</v>
      </c>
      <c r="K606" s="10" t="n">
        <v>108.659</v>
      </c>
      <c r="L606" s="8" t="inlineStr">
        <is>
          <t>八部</t>
        </is>
      </c>
      <c r="M606" s="8" t="inlineStr">
        <is>
          <t>吕强</t>
        </is>
      </c>
      <c r="N606" s="8" t="inlineStr">
        <is>
          <t>2-3年</t>
        </is>
      </c>
      <c r="O606" s="8" t="n"/>
    </row>
    <row r="607">
      <c r="A607" s="5" t="n">
        <v>605</v>
      </c>
      <c r="B607" s="5" t="inlineStr">
        <is>
          <t>华南-广东</t>
        </is>
      </c>
      <c r="C607" s="5" t="inlineStr">
        <is>
          <t>监察司法机关</t>
        </is>
      </c>
      <c r="D607" s="6" t="inlineStr">
        <is>
          <t>HT20260112</t>
        </is>
      </c>
      <c r="E607" s="6" t="inlineStr">
        <is>
          <t>20260724</t>
        </is>
      </c>
      <c r="F607" s="10" t="n">
        <v>746.851</v>
      </c>
      <c r="G607" s="8" t="n"/>
      <c r="H607" s="10" t="n">
        <v>203.555</v>
      </c>
      <c r="I607" s="10" t="n">
        <v>543.296</v>
      </c>
      <c r="J607" s="10" t="n">
        <v>346.433</v>
      </c>
      <c r="K607" s="10" t="n">
        <v>196.863</v>
      </c>
      <c r="L607" s="8" t="inlineStr">
        <is>
          <t>十部</t>
        </is>
      </c>
      <c r="M607" s="8" t="inlineStr">
        <is>
          <t>侯敏</t>
        </is>
      </c>
      <c r="N607" s="8" t="inlineStr">
        <is>
          <t>1-2年</t>
        </is>
      </c>
      <c r="O607" s="8" t="n"/>
    </row>
    <row r="608">
      <c r="A608" s="5" t="n">
        <v>606</v>
      </c>
      <c r="B608" s="5" t="inlineStr">
        <is>
          <t>华东-山东</t>
        </is>
      </c>
      <c r="C608" s="5" t="inlineStr">
        <is>
          <t>群团组织</t>
        </is>
      </c>
      <c r="D608" s="6" t="inlineStr">
        <is>
          <t>HT20260113</t>
        </is>
      </c>
      <c r="E608" s="6" t="inlineStr">
        <is>
          <t>20260424</t>
        </is>
      </c>
      <c r="F608" s="10" t="n">
        <v>289.017</v>
      </c>
      <c r="G608" s="8" t="n"/>
      <c r="H608" s="10" t="n">
        <v>0.166</v>
      </c>
      <c r="I608" s="10" t="n">
        <v>288.851</v>
      </c>
      <c r="J608" s="10" t="n">
        <v>249.903</v>
      </c>
      <c r="K608" s="10" t="n">
        <v>38.948</v>
      </c>
      <c r="L608" s="8" t="inlineStr">
        <is>
          <t>六部</t>
        </is>
      </c>
      <c r="M608" s="8" t="inlineStr">
        <is>
          <t>曹阳</t>
        </is>
      </c>
      <c r="N608" s="8" t="inlineStr">
        <is>
          <t>1年以内</t>
        </is>
      </c>
      <c r="O608" s="8" t="n"/>
    </row>
    <row r="609">
      <c r="A609" s="5" t="n">
        <v>607</v>
      </c>
      <c r="B609" s="5" t="inlineStr">
        <is>
          <t>华中-湖北</t>
        </is>
      </c>
      <c r="C609" s="5" t="inlineStr">
        <is>
          <t>事业单位</t>
        </is>
      </c>
      <c r="D609" s="6" t="inlineStr">
        <is>
          <t>HT20260113</t>
        </is>
      </c>
      <c r="E609" s="6" t="inlineStr">
        <is>
          <t>20260424</t>
        </is>
      </c>
      <c r="F609" s="10" t="n">
        <v>208.336</v>
      </c>
      <c r="G609" s="8" t="n"/>
      <c r="H609" s="10" t="n">
        <v>161.141</v>
      </c>
      <c r="I609" s="10" t="n">
        <v>47.195</v>
      </c>
      <c r="J609" s="10" t="n">
        <v>40.741</v>
      </c>
      <c r="K609" s="10" t="n">
        <v>6.454</v>
      </c>
      <c r="L609" s="8" t="inlineStr">
        <is>
          <t>九部</t>
        </is>
      </c>
      <c r="M609" s="8" t="inlineStr">
        <is>
          <t>丁磊</t>
        </is>
      </c>
      <c r="N609" s="8" t="inlineStr">
        <is>
          <t>1-2年</t>
        </is>
      </c>
      <c r="O609" s="8" t="n"/>
    </row>
    <row r="610">
      <c r="A610" s="5" t="n">
        <v>608</v>
      </c>
      <c r="B610" s="5" t="inlineStr">
        <is>
          <t>西南-西藏</t>
        </is>
      </c>
      <c r="C610" s="5" t="inlineStr">
        <is>
          <t>党委机关</t>
        </is>
      </c>
      <c r="D610" s="6" t="inlineStr">
        <is>
          <t>HT20260113</t>
        </is>
      </c>
      <c r="E610" s="6" t="inlineStr">
        <is>
          <t>20260424</t>
        </is>
      </c>
      <c r="F610" s="10" t="n">
        <v>695.648</v>
      </c>
      <c r="G610" s="8" t="n"/>
      <c r="H610" s="10" t="n">
        <v>568.0650000000001</v>
      </c>
      <c r="I610" s="10" t="n">
        <v>127.583</v>
      </c>
      <c r="J610" s="10" t="n">
        <v>112.323</v>
      </c>
      <c r="K610" s="10" t="n">
        <v>15.26</v>
      </c>
      <c r="L610" s="8" t="inlineStr">
        <is>
          <t>七部</t>
        </is>
      </c>
      <c r="M610" s="8" t="inlineStr">
        <is>
          <t>沈刚</t>
        </is>
      </c>
      <c r="N610" s="8" t="inlineStr">
        <is>
          <t>2-3年</t>
        </is>
      </c>
      <c r="O610" s="8" t="n"/>
    </row>
    <row r="611">
      <c r="A611" s="5" t="n">
        <v>609</v>
      </c>
      <c r="B611" s="5" t="inlineStr">
        <is>
          <t>华东-台湾</t>
        </is>
      </c>
      <c r="C611" s="5" t="inlineStr">
        <is>
          <t>人大政协</t>
        </is>
      </c>
      <c r="D611" s="6" t="inlineStr">
        <is>
          <t>HT20260117</t>
        </is>
      </c>
      <c r="E611" s="6" t="inlineStr">
        <is>
          <t>20260529</t>
        </is>
      </c>
      <c r="F611" s="10" t="n">
        <v>52.765</v>
      </c>
      <c r="G611" s="8" t="n"/>
      <c r="H611" s="10" t="n">
        <v>10.758</v>
      </c>
      <c r="I611" s="10" t="n">
        <v>42.007</v>
      </c>
      <c r="J611" s="10" t="n">
        <v>32.806</v>
      </c>
      <c r="K611" s="10" t="n">
        <v>9.201000000000001</v>
      </c>
      <c r="L611" s="8" t="inlineStr">
        <is>
          <t>五部</t>
        </is>
      </c>
      <c r="M611" s="8" t="inlineStr">
        <is>
          <t>梁雪</t>
        </is>
      </c>
      <c r="N611" s="8" t="inlineStr">
        <is>
          <t>1年以内</t>
        </is>
      </c>
      <c r="O611" s="8" t="n"/>
    </row>
    <row r="612">
      <c r="A612" s="5" t="n">
        <v>610</v>
      </c>
      <c r="B612" s="5" t="inlineStr">
        <is>
          <t>西南-云南</t>
        </is>
      </c>
      <c r="C612" s="5" t="inlineStr">
        <is>
          <t>人大政协</t>
        </is>
      </c>
      <c r="D612" s="6" t="inlineStr">
        <is>
          <t>HT20260117</t>
        </is>
      </c>
      <c r="E612" s="6" t="inlineStr">
        <is>
          <t>20260529</t>
        </is>
      </c>
      <c r="F612" s="10" t="n">
        <v>31.88</v>
      </c>
      <c r="G612" s="8" t="n"/>
      <c r="H612" s="10" t="n">
        <v>19.778</v>
      </c>
      <c r="I612" s="10" t="n">
        <v>12.102</v>
      </c>
      <c r="J612" s="10" t="n">
        <v>7.389</v>
      </c>
      <c r="K612" s="10" t="n">
        <v>4.713</v>
      </c>
      <c r="L612" s="8" t="inlineStr">
        <is>
          <t>九部</t>
        </is>
      </c>
      <c r="M612" s="8" t="inlineStr">
        <is>
          <t>魏红</t>
        </is>
      </c>
      <c r="N612" s="8" t="inlineStr">
        <is>
          <t>1年以内</t>
        </is>
      </c>
      <c r="O612" s="8" t="n"/>
    </row>
    <row r="613">
      <c r="A613" s="5" t="n">
        <v>611</v>
      </c>
      <c r="B613" s="5" t="inlineStr">
        <is>
          <t>西南-重庆</t>
        </is>
      </c>
      <c r="C613" s="5" t="inlineStr">
        <is>
          <t>人大政协</t>
        </is>
      </c>
      <c r="D613" s="6" t="inlineStr">
        <is>
          <t>HT20260117</t>
        </is>
      </c>
      <c r="E613" s="6" t="inlineStr">
        <is>
          <t>20260529</t>
        </is>
      </c>
      <c r="F613" s="10" t="n">
        <v>235.206</v>
      </c>
      <c r="G613" s="8" t="n"/>
      <c r="H613" s="10" t="n">
        <v>233.354</v>
      </c>
      <c r="I613" s="10" t="n">
        <v>1.852</v>
      </c>
      <c r="J613" s="10" t="n">
        <v>0.309</v>
      </c>
      <c r="K613" s="10" t="n">
        <v>1.543</v>
      </c>
      <c r="L613" s="8" t="inlineStr">
        <is>
          <t>四部</t>
        </is>
      </c>
      <c r="M613" s="8" t="inlineStr">
        <is>
          <t>高翔</t>
        </is>
      </c>
      <c r="N613" s="8" t="inlineStr">
        <is>
          <t>1年以内</t>
        </is>
      </c>
      <c r="O613" s="8" t="n"/>
    </row>
    <row r="614">
      <c r="A614" s="5" t="n">
        <v>612</v>
      </c>
      <c r="B614" s="5" t="inlineStr">
        <is>
          <t>西南-四川</t>
        </is>
      </c>
      <c r="C614" s="5" t="inlineStr">
        <is>
          <t>人大政协</t>
        </is>
      </c>
      <c r="D614" s="6" t="inlineStr">
        <is>
          <t>HT20260120</t>
        </is>
      </c>
      <c r="E614" s="6" t="inlineStr">
        <is>
          <t>20260512</t>
        </is>
      </c>
      <c r="F614" s="10" t="n">
        <v>2869.537</v>
      </c>
      <c r="G614" s="8" t="n"/>
      <c r="H614" s="10" t="n">
        <v>2766.154</v>
      </c>
      <c r="I614" s="10" t="n">
        <v>103.383</v>
      </c>
      <c r="J614" s="10" t="n">
        <v>72.374</v>
      </c>
      <c r="K614" s="10" t="n">
        <v>31.009</v>
      </c>
      <c r="L614" s="8" t="inlineStr">
        <is>
          <t>二部</t>
        </is>
      </c>
      <c r="M614" s="8" t="inlineStr">
        <is>
          <t>吴丽</t>
        </is>
      </c>
      <c r="N614" s="8" t="inlineStr">
        <is>
          <t>2-3年</t>
        </is>
      </c>
      <c r="O614" s="8" t="n"/>
    </row>
    <row r="615">
      <c r="A615" s="5" t="n">
        <v>613</v>
      </c>
      <c r="B615" s="5" t="inlineStr">
        <is>
          <t>西南-云南</t>
        </is>
      </c>
      <c r="C615" s="5" t="inlineStr">
        <is>
          <t>党委机关</t>
        </is>
      </c>
      <c r="D615" s="6" t="inlineStr">
        <is>
          <t>HT20260120</t>
        </is>
      </c>
      <c r="E615" s="6" t="inlineStr">
        <is>
          <t>20260512</t>
        </is>
      </c>
      <c r="F615" s="10" t="n">
        <v>53.246</v>
      </c>
      <c r="G615" s="8" t="n"/>
      <c r="H615" s="10" t="n">
        <v>34.086</v>
      </c>
      <c r="I615" s="10" t="n">
        <v>19.16</v>
      </c>
      <c r="J615" s="10" t="n">
        <v>1.353</v>
      </c>
      <c r="K615" s="10" t="n">
        <v>17.807</v>
      </c>
      <c r="L615" s="8" t="inlineStr">
        <is>
          <t>五部</t>
        </is>
      </c>
      <c r="M615" s="8" t="inlineStr">
        <is>
          <t>郑浩</t>
        </is>
      </c>
      <c r="N615" s="8" t="inlineStr">
        <is>
          <t>1-2年</t>
        </is>
      </c>
      <c r="O615" s="8" t="n"/>
    </row>
    <row r="616">
      <c r="A616" s="5" t="n">
        <v>614</v>
      </c>
      <c r="B616" s="5" t="inlineStr">
        <is>
          <t>华中-湖南</t>
        </is>
      </c>
      <c r="C616" s="5" t="inlineStr">
        <is>
          <t>基层自治组织</t>
        </is>
      </c>
      <c r="D616" s="6" t="inlineStr">
        <is>
          <t>HT20260120</t>
        </is>
      </c>
      <c r="E616" s="6" t="inlineStr">
        <is>
          <t>20260512</t>
        </is>
      </c>
      <c r="F616" s="10" t="n">
        <v>744.307</v>
      </c>
      <c r="G616" s="8" t="n"/>
      <c r="H616" s="10" t="n">
        <v>426.307</v>
      </c>
      <c r="I616" s="10" t="n">
        <v>318</v>
      </c>
      <c r="J616" s="10" t="n">
        <v>265.549</v>
      </c>
      <c r="K616" s="10" t="n">
        <v>52.451</v>
      </c>
      <c r="L616" s="8" t="inlineStr">
        <is>
          <t>十部</t>
        </is>
      </c>
      <c r="M616" s="8" t="inlineStr">
        <is>
          <t>阎莉</t>
        </is>
      </c>
      <c r="N616" s="8" t="inlineStr">
        <is>
          <t>1年以内</t>
        </is>
      </c>
      <c r="O616" s="8" t="n"/>
    </row>
    <row r="617">
      <c r="A617" s="5" t="n">
        <v>615</v>
      </c>
      <c r="B617" s="5" t="inlineStr">
        <is>
          <t>华北-山西</t>
        </is>
      </c>
      <c r="C617" s="5" t="inlineStr">
        <is>
          <t>群团组织</t>
        </is>
      </c>
      <c r="D617" s="6" t="inlineStr">
        <is>
          <t>HT20260120</t>
        </is>
      </c>
      <c r="E617" s="6" t="inlineStr">
        <is>
          <t>20260512</t>
        </is>
      </c>
      <c r="F617" s="10" t="n">
        <v>155.615</v>
      </c>
      <c r="G617" s="8" t="n"/>
      <c r="H617" s="10" t="n">
        <v>60.113</v>
      </c>
      <c r="I617" s="10" t="n">
        <v>95.502</v>
      </c>
      <c r="J617" s="10" t="n">
        <v>75.81</v>
      </c>
      <c r="K617" s="10" t="n">
        <v>19.692</v>
      </c>
      <c r="L617" s="8" t="inlineStr">
        <is>
          <t>二部</t>
        </is>
      </c>
      <c r="M617" s="8" t="inlineStr">
        <is>
          <t>杨磊</t>
        </is>
      </c>
      <c r="N617" s="8" t="inlineStr">
        <is>
          <t>2-3年</t>
        </is>
      </c>
      <c r="O617" s="8" t="n"/>
    </row>
    <row r="618">
      <c r="A618" s="5" t="n">
        <v>616</v>
      </c>
      <c r="B618" s="5" t="inlineStr">
        <is>
          <t>华东-上海</t>
        </is>
      </c>
      <c r="C618" s="5" t="inlineStr">
        <is>
          <t>事业单位</t>
        </is>
      </c>
      <c r="D618" s="6" t="inlineStr">
        <is>
          <t>HT20260121</t>
        </is>
      </c>
      <c r="E618" s="6" t="inlineStr">
        <is>
          <t>20260507</t>
        </is>
      </c>
      <c r="F618" s="10" t="n">
        <v>336.662</v>
      </c>
      <c r="G618" s="8" t="n"/>
      <c r="H618" s="10" t="n">
        <v>272.443</v>
      </c>
      <c r="I618" s="10" t="n">
        <v>64.21899999999999</v>
      </c>
      <c r="J618" s="10" t="n">
        <v>50.09</v>
      </c>
      <c r="K618" s="10" t="n">
        <v>14.129</v>
      </c>
      <c r="L618" s="8" t="inlineStr">
        <is>
          <t>十部</t>
        </is>
      </c>
      <c r="M618" s="8" t="inlineStr">
        <is>
          <t>薛峰</t>
        </is>
      </c>
      <c r="N618" s="8" t="inlineStr">
        <is>
          <t>1年以内</t>
        </is>
      </c>
      <c r="O618" s="8" t="n"/>
    </row>
    <row r="619">
      <c r="A619" s="5" t="n">
        <v>617</v>
      </c>
      <c r="B619" s="5" t="inlineStr">
        <is>
          <t>华东-江苏</t>
        </is>
      </c>
      <c r="C619" s="5" t="inlineStr">
        <is>
          <t>党委机关</t>
        </is>
      </c>
      <c r="D619" s="6" t="inlineStr">
        <is>
          <t>HT20260122</t>
        </is>
      </c>
      <c r="E619" s="6" t="inlineStr">
        <is>
          <t>20260804</t>
        </is>
      </c>
      <c r="F619" s="10" t="n">
        <v>626.6079999999999</v>
      </c>
      <c r="G619" s="8" t="n"/>
      <c r="H619" s="10" t="n">
        <v>488.205</v>
      </c>
      <c r="I619" s="10" t="n">
        <v>138.403</v>
      </c>
      <c r="J619" s="10" t="n">
        <v>97.119</v>
      </c>
      <c r="K619" s="10" t="n">
        <v>41.284</v>
      </c>
      <c r="L619" s="8" t="inlineStr">
        <is>
          <t>九部</t>
        </is>
      </c>
      <c r="M619" s="8" t="inlineStr">
        <is>
          <t>丁磊</t>
        </is>
      </c>
      <c r="N619" s="8" t="inlineStr">
        <is>
          <t>2-3年</t>
        </is>
      </c>
      <c r="O619" s="8" t="n"/>
    </row>
    <row r="620">
      <c r="A620" s="5" t="n">
        <v>618</v>
      </c>
      <c r="B620" s="5" t="inlineStr">
        <is>
          <t>华东-台湾</t>
        </is>
      </c>
      <c r="C620" s="5" t="inlineStr">
        <is>
          <t>政府机关</t>
        </is>
      </c>
      <c r="D620" s="6" t="inlineStr">
        <is>
          <t>HT20260122</t>
        </is>
      </c>
      <c r="E620" s="6" t="inlineStr">
        <is>
          <t>20260804</t>
        </is>
      </c>
      <c r="F620" s="10" t="n">
        <v>753.866</v>
      </c>
      <c r="G620" s="8" t="n"/>
      <c r="H620" s="10" t="n">
        <v>600.226</v>
      </c>
      <c r="I620" s="10" t="n">
        <v>153.64</v>
      </c>
      <c r="J620" s="10" t="n">
        <v>112.759</v>
      </c>
      <c r="K620" s="10" t="n">
        <v>40.881</v>
      </c>
      <c r="L620" s="8" t="inlineStr">
        <is>
          <t>五部</t>
        </is>
      </c>
      <c r="M620" s="8" t="inlineStr">
        <is>
          <t>谢峰</t>
        </is>
      </c>
      <c r="N620" s="8" t="inlineStr">
        <is>
          <t>1-2年</t>
        </is>
      </c>
      <c r="O620" s="8" t="n"/>
    </row>
    <row r="621">
      <c r="A621" s="5" t="n">
        <v>619</v>
      </c>
      <c r="B621" s="5" t="inlineStr">
        <is>
          <t>西南-四川</t>
        </is>
      </c>
      <c r="C621" s="5" t="inlineStr">
        <is>
          <t>监察司法机关</t>
        </is>
      </c>
      <c r="D621" s="6" t="inlineStr">
        <is>
          <t>HT20260122</t>
        </is>
      </c>
      <c r="E621" s="6" t="inlineStr">
        <is>
          <t>20260804</t>
        </is>
      </c>
      <c r="F621" s="10" t="n">
        <v>1119.497</v>
      </c>
      <c r="G621" s="8" t="n"/>
      <c r="H621" s="10" t="n">
        <v>56.818</v>
      </c>
      <c r="I621" s="10" t="n">
        <v>1062.679</v>
      </c>
      <c r="J621" s="10" t="n">
        <v>1031.323</v>
      </c>
      <c r="K621" s="10" t="n">
        <v>31.356</v>
      </c>
      <c r="L621" s="8" t="inlineStr">
        <is>
          <t>十部</t>
        </is>
      </c>
      <c r="M621" s="8" t="inlineStr">
        <is>
          <t>侯敏</t>
        </is>
      </c>
      <c r="N621" s="8" t="inlineStr">
        <is>
          <t>1年以内</t>
        </is>
      </c>
      <c r="O621" s="8" t="n"/>
    </row>
    <row r="622">
      <c r="A622" s="5" t="n">
        <v>620</v>
      </c>
      <c r="B622" s="5" t="inlineStr">
        <is>
          <t>西南-重庆</t>
        </is>
      </c>
      <c r="C622" s="5" t="inlineStr">
        <is>
          <t>政府机关</t>
        </is>
      </c>
      <c r="D622" s="6" t="inlineStr">
        <is>
          <t>HT20260122</t>
        </is>
      </c>
      <c r="E622" s="6" t="inlineStr">
        <is>
          <t>20260804</t>
        </is>
      </c>
      <c r="F622" s="10" t="n">
        <v>80.07299999999999</v>
      </c>
      <c r="G622" s="8" t="n"/>
      <c r="H622" s="10" t="n">
        <v>19.211</v>
      </c>
      <c r="I622" s="10" t="n">
        <v>60.862</v>
      </c>
      <c r="J622" s="10" t="n">
        <v>47.249</v>
      </c>
      <c r="K622" s="10" t="n">
        <v>13.613</v>
      </c>
      <c r="L622" s="8" t="inlineStr">
        <is>
          <t>四部</t>
        </is>
      </c>
      <c r="M622" s="8" t="inlineStr">
        <is>
          <t>何萍</t>
        </is>
      </c>
      <c r="N622" s="8" t="inlineStr">
        <is>
          <t>2-3年</t>
        </is>
      </c>
      <c r="O622" s="8" t="n"/>
    </row>
    <row r="623">
      <c r="A623" s="5" t="n">
        <v>621</v>
      </c>
      <c r="B623" s="5" t="inlineStr">
        <is>
          <t>西北-青海</t>
        </is>
      </c>
      <c r="C623" s="5" t="inlineStr">
        <is>
          <t>政府机关</t>
        </is>
      </c>
      <c r="D623" s="6" t="inlineStr">
        <is>
          <t>HT20260123</t>
        </is>
      </c>
      <c r="E623" s="6" t="inlineStr">
        <is>
          <t>20260810</t>
        </is>
      </c>
      <c r="F623" s="10" t="n">
        <v>478.44</v>
      </c>
      <c r="G623" s="8" t="n"/>
      <c r="H623" s="10" t="n">
        <v>394.433</v>
      </c>
      <c r="I623" s="10" t="n">
        <v>84.00700000000001</v>
      </c>
      <c r="J623" s="10" t="n">
        <v>23.246</v>
      </c>
      <c r="K623" s="10" t="n">
        <v>60.761</v>
      </c>
      <c r="L623" s="8" t="inlineStr">
        <is>
          <t>八部</t>
        </is>
      </c>
      <c r="M623" s="8" t="inlineStr">
        <is>
          <t>卢俊</t>
        </is>
      </c>
      <c r="N623" s="8" t="inlineStr">
        <is>
          <t>2-3年</t>
        </is>
      </c>
      <c r="O623" s="8" t="n"/>
    </row>
    <row r="624">
      <c r="A624" s="5" t="n">
        <v>622</v>
      </c>
      <c r="B624" s="5" t="inlineStr">
        <is>
          <t>华南-海南</t>
        </is>
      </c>
      <c r="C624" s="5" t="inlineStr">
        <is>
          <t>政府机关</t>
        </is>
      </c>
      <c r="D624" s="6" t="inlineStr">
        <is>
          <t>HT20260123</t>
        </is>
      </c>
      <c r="E624" s="6" t="inlineStr">
        <is>
          <t>20260810</t>
        </is>
      </c>
      <c r="F624" s="10" t="n">
        <v>69.80800000000001</v>
      </c>
      <c r="G624" s="8" t="n"/>
      <c r="H624" s="10" t="n">
        <v>46.654</v>
      </c>
      <c r="I624" s="10" t="n">
        <v>23.154</v>
      </c>
      <c r="J624" s="10" t="n">
        <v>22.1</v>
      </c>
      <c r="K624" s="10" t="n">
        <v>1.054</v>
      </c>
      <c r="L624" s="8" t="inlineStr">
        <is>
          <t>二部</t>
        </is>
      </c>
      <c r="M624" s="8" t="inlineStr">
        <is>
          <t>周杰</t>
        </is>
      </c>
      <c r="N624" s="8" t="inlineStr">
        <is>
          <t>1-2年</t>
        </is>
      </c>
      <c r="O624" s="8" t="n"/>
    </row>
    <row r="625">
      <c r="A625" s="5" t="n">
        <v>623</v>
      </c>
      <c r="B625" s="5" t="inlineStr">
        <is>
          <t>西南-四川</t>
        </is>
      </c>
      <c r="C625" s="5" t="inlineStr">
        <is>
          <t>政府机关</t>
        </is>
      </c>
      <c r="D625" s="6" t="inlineStr">
        <is>
          <t>HT20260124</t>
        </is>
      </c>
      <c r="E625" s="6" t="inlineStr">
        <is>
          <t>20260819</t>
        </is>
      </c>
      <c r="F625" s="10" t="n">
        <v>130.792</v>
      </c>
      <c r="G625" s="8" t="n"/>
      <c r="H625" s="10" t="n">
        <v>27.839</v>
      </c>
      <c r="I625" s="10" t="n">
        <v>102.953</v>
      </c>
      <c r="J625" s="10" t="n">
        <v>15.349</v>
      </c>
      <c r="K625" s="10" t="n">
        <v>87.604</v>
      </c>
      <c r="L625" s="8" t="inlineStr">
        <is>
          <t>九部</t>
        </is>
      </c>
      <c r="M625" s="8" t="inlineStr">
        <is>
          <t>魏红</t>
        </is>
      </c>
      <c r="N625" s="8" t="inlineStr">
        <is>
          <t>2-3年</t>
        </is>
      </c>
      <c r="O625" s="8" t="n"/>
    </row>
    <row r="626">
      <c r="A626" s="5" t="n">
        <v>624</v>
      </c>
      <c r="B626" s="5" t="inlineStr">
        <is>
          <t>东北-吉林</t>
        </is>
      </c>
      <c r="C626" s="5" t="inlineStr">
        <is>
          <t>国有企业</t>
        </is>
      </c>
      <c r="D626" s="6" t="inlineStr">
        <is>
          <t>HT20260124</t>
        </is>
      </c>
      <c r="E626" s="6" t="inlineStr">
        <is>
          <t>20260819</t>
        </is>
      </c>
      <c r="F626" s="10" t="n">
        <v>227.026</v>
      </c>
      <c r="G626" s="8" t="n"/>
      <c r="H626" s="10" t="n">
        <v>32.532</v>
      </c>
      <c r="I626" s="10" t="n">
        <v>194.494</v>
      </c>
      <c r="J626" s="10" t="n">
        <v>107.095</v>
      </c>
      <c r="K626" s="10" t="n">
        <v>87.399</v>
      </c>
      <c r="L626" s="8" t="inlineStr">
        <is>
          <t>九部</t>
        </is>
      </c>
      <c r="M626" s="8" t="inlineStr">
        <is>
          <t>丁磊</t>
        </is>
      </c>
      <c r="N626" s="8" t="inlineStr">
        <is>
          <t>1年以内</t>
        </is>
      </c>
      <c r="O626" s="8" t="n"/>
    </row>
    <row r="627">
      <c r="A627" s="5" t="n">
        <v>625</v>
      </c>
      <c r="B627" s="5" t="inlineStr">
        <is>
          <t>华南-澳门</t>
        </is>
      </c>
      <c r="C627" s="5" t="inlineStr">
        <is>
          <t>事业单位</t>
        </is>
      </c>
      <c r="D627" s="6" t="inlineStr">
        <is>
          <t>HT20260124</t>
        </is>
      </c>
      <c r="E627" s="6" t="inlineStr">
        <is>
          <t>20260819</t>
        </is>
      </c>
      <c r="F627" s="10" t="n">
        <v>464.903</v>
      </c>
      <c r="G627" s="8" t="n"/>
      <c r="H627" s="10" t="n">
        <v>101.664</v>
      </c>
      <c r="I627" s="10" t="n">
        <v>363.239</v>
      </c>
      <c r="J627" s="10" t="n">
        <v>138.666</v>
      </c>
      <c r="K627" s="10" t="n">
        <v>224.573</v>
      </c>
      <c r="L627" s="8" t="inlineStr">
        <is>
          <t>五部</t>
        </is>
      </c>
      <c r="M627" s="8" t="inlineStr">
        <is>
          <t>谢峰</t>
        </is>
      </c>
      <c r="N627" s="8" t="inlineStr">
        <is>
          <t>1年以内</t>
        </is>
      </c>
      <c r="O627" s="8" t="n"/>
    </row>
    <row r="628">
      <c r="A628" s="5" t="n">
        <v>626</v>
      </c>
      <c r="B628" s="5" t="inlineStr">
        <is>
          <t>东北-辽宁</t>
        </is>
      </c>
      <c r="C628" s="5" t="inlineStr">
        <is>
          <t>人大政协</t>
        </is>
      </c>
      <c r="D628" s="6" t="inlineStr">
        <is>
          <t>HT20260124</t>
        </is>
      </c>
      <c r="E628" s="6" t="inlineStr">
        <is>
          <t>20260819</t>
        </is>
      </c>
      <c r="F628" s="10" t="n">
        <v>645.09</v>
      </c>
      <c r="G628" s="8" t="n"/>
      <c r="H628" s="10" t="n">
        <v>467.994</v>
      </c>
      <c r="I628" s="10" t="n">
        <v>177.096</v>
      </c>
      <c r="J628" s="10" t="n">
        <v>88.01900000000001</v>
      </c>
      <c r="K628" s="10" t="n">
        <v>89.077</v>
      </c>
      <c r="L628" s="8" t="inlineStr">
        <is>
          <t>七部</t>
        </is>
      </c>
      <c r="M628" s="8" t="inlineStr">
        <is>
          <t>沈刚</t>
        </is>
      </c>
      <c r="N628" s="8" t="inlineStr">
        <is>
          <t>1-2年</t>
        </is>
      </c>
      <c r="O628" s="8" t="n"/>
    </row>
    <row r="629">
      <c r="A629" s="5" t="n">
        <v>627</v>
      </c>
      <c r="B629" s="5" t="inlineStr">
        <is>
          <t>华东-安徽</t>
        </is>
      </c>
      <c r="C629" s="5" t="inlineStr">
        <is>
          <t>事业单位</t>
        </is>
      </c>
      <c r="D629" s="6" t="inlineStr">
        <is>
          <t>HT20260124</t>
        </is>
      </c>
      <c r="E629" s="6" t="inlineStr">
        <is>
          <t>20260819</t>
        </is>
      </c>
      <c r="F629" s="10" t="n">
        <v>346.145</v>
      </c>
      <c r="G629" s="8" t="n"/>
      <c r="H629" s="10" t="n">
        <v>109.431</v>
      </c>
      <c r="I629" s="10" t="n">
        <v>236.714</v>
      </c>
      <c r="J629" s="10" t="n">
        <v>126.246</v>
      </c>
      <c r="K629" s="10" t="n">
        <v>110.468</v>
      </c>
      <c r="L629" s="8" t="inlineStr">
        <is>
          <t>五部</t>
        </is>
      </c>
      <c r="M629" s="8" t="inlineStr">
        <is>
          <t>郑浩</t>
        </is>
      </c>
      <c r="N629" s="8" t="inlineStr">
        <is>
          <t>1-2年</t>
        </is>
      </c>
      <c r="O629" s="8" t="n"/>
    </row>
    <row r="630">
      <c r="A630" s="5" t="n">
        <v>628</v>
      </c>
      <c r="B630" s="5" t="inlineStr">
        <is>
          <t>华东-浙江</t>
        </is>
      </c>
      <c r="C630" s="5" t="inlineStr">
        <is>
          <t>国有企业</t>
        </is>
      </c>
      <c r="D630" s="6" t="inlineStr">
        <is>
          <t>HT20260124</t>
        </is>
      </c>
      <c r="E630" s="6" t="inlineStr">
        <is>
          <t>20260819</t>
        </is>
      </c>
      <c r="F630" s="10" t="n">
        <v>449.546</v>
      </c>
      <c r="G630" s="8" t="n"/>
      <c r="H630" s="10" t="n">
        <v>262.404</v>
      </c>
      <c r="I630" s="10" t="n">
        <v>187.142</v>
      </c>
      <c r="J630" s="10" t="n">
        <v>10.027</v>
      </c>
      <c r="K630" s="10" t="n">
        <v>177.115</v>
      </c>
      <c r="L630" s="8" t="inlineStr">
        <is>
          <t>八部</t>
        </is>
      </c>
      <c r="M630" s="8" t="inlineStr">
        <is>
          <t>吕强</t>
        </is>
      </c>
      <c r="N630" s="8" t="inlineStr">
        <is>
          <t>1年以内</t>
        </is>
      </c>
      <c r="O630" s="8" t="n"/>
    </row>
    <row r="631">
      <c r="A631" s="5" t="n">
        <v>629</v>
      </c>
      <c r="B631" s="5" t="inlineStr">
        <is>
          <t>华南-香港</t>
        </is>
      </c>
      <c r="C631" s="5" t="inlineStr">
        <is>
          <t>党委机关</t>
        </is>
      </c>
      <c r="D631" s="6" t="inlineStr">
        <is>
          <t>HT20260124</t>
        </is>
      </c>
      <c r="E631" s="6" t="inlineStr">
        <is>
          <t>20260819</t>
        </is>
      </c>
      <c r="F631" s="10" t="n">
        <v>984.683</v>
      </c>
      <c r="G631" s="8" t="n"/>
      <c r="H631" s="10" t="n">
        <v>969.111</v>
      </c>
      <c r="I631" s="10" t="n">
        <v>15.572</v>
      </c>
      <c r="J631" s="10" t="n">
        <v>2.999</v>
      </c>
      <c r="K631" s="10" t="n">
        <v>12.573</v>
      </c>
      <c r="L631" s="8" t="inlineStr">
        <is>
          <t>四部</t>
        </is>
      </c>
      <c r="M631" s="8" t="inlineStr">
        <is>
          <t>高翔</t>
        </is>
      </c>
      <c r="N631" s="8" t="inlineStr">
        <is>
          <t>1年以内</t>
        </is>
      </c>
      <c r="O631" s="8" t="n"/>
    </row>
    <row r="632">
      <c r="A632" s="5" t="n">
        <v>630</v>
      </c>
      <c r="B632" s="5" t="inlineStr">
        <is>
          <t>华东-江西</t>
        </is>
      </c>
      <c r="C632" s="5" t="inlineStr">
        <is>
          <t>群团组织</t>
        </is>
      </c>
      <c r="D632" s="6" t="inlineStr">
        <is>
          <t>HT20260124</t>
        </is>
      </c>
      <c r="E632" s="6" t="inlineStr">
        <is>
          <t>20260819</t>
        </is>
      </c>
      <c r="F632" s="10" t="n">
        <v>99.65000000000001</v>
      </c>
      <c r="G632" s="8" t="n"/>
      <c r="H632" s="10" t="n">
        <v>32.746</v>
      </c>
      <c r="I632" s="10" t="n">
        <v>66.904</v>
      </c>
      <c r="J632" s="10" t="n">
        <v>38.878</v>
      </c>
      <c r="K632" s="10" t="n">
        <v>28.026</v>
      </c>
      <c r="L632" s="8" t="inlineStr">
        <is>
          <t>七部</t>
        </is>
      </c>
      <c r="M632" s="8" t="inlineStr">
        <is>
          <t>袁博</t>
        </is>
      </c>
      <c r="N632" s="8" t="inlineStr">
        <is>
          <t>2-3年</t>
        </is>
      </c>
      <c r="O632" s="8" t="n"/>
    </row>
    <row r="633">
      <c r="A633" s="5" t="n">
        <v>631</v>
      </c>
      <c r="B633" s="5" t="inlineStr">
        <is>
          <t>华东-江西</t>
        </is>
      </c>
      <c r="C633" s="5" t="inlineStr">
        <is>
          <t>群团组织</t>
        </is>
      </c>
      <c r="D633" s="6" t="inlineStr">
        <is>
          <t>HT20260124</t>
        </is>
      </c>
      <c r="E633" s="6" t="inlineStr">
        <is>
          <t>20260819</t>
        </is>
      </c>
      <c r="F633" s="10" t="n">
        <v>51.844</v>
      </c>
      <c r="G633" s="8" t="n"/>
      <c r="H633" s="10" t="n">
        <v>8.971</v>
      </c>
      <c r="I633" s="10" t="n">
        <v>42.873</v>
      </c>
      <c r="J633" s="10" t="n">
        <v>10.814</v>
      </c>
      <c r="K633" s="10" t="n">
        <v>32.059</v>
      </c>
      <c r="L633" s="8" t="inlineStr">
        <is>
          <t>七部</t>
        </is>
      </c>
      <c r="M633" s="8" t="inlineStr">
        <is>
          <t>邓丽</t>
        </is>
      </c>
      <c r="N633" s="8" t="inlineStr">
        <is>
          <t>1年以内</t>
        </is>
      </c>
      <c r="O633" s="8" t="n"/>
    </row>
    <row r="634">
      <c r="A634" s="5" t="n">
        <v>632</v>
      </c>
      <c r="B634" s="5" t="inlineStr">
        <is>
          <t>华东-安徽</t>
        </is>
      </c>
      <c r="C634" s="5" t="inlineStr">
        <is>
          <t>群团组织</t>
        </is>
      </c>
      <c r="D634" s="6" t="inlineStr">
        <is>
          <t>HT20260124</t>
        </is>
      </c>
      <c r="E634" s="6" t="inlineStr">
        <is>
          <t>20260819</t>
        </is>
      </c>
      <c r="F634" s="10" t="n">
        <v>357.138</v>
      </c>
      <c r="G634" s="8" t="n"/>
      <c r="H634" s="10" t="n">
        <v>140.616</v>
      </c>
      <c r="I634" s="10" t="n">
        <v>216.522</v>
      </c>
      <c r="J634" s="10" t="n">
        <v>144.504</v>
      </c>
      <c r="K634" s="10" t="n">
        <v>72.018</v>
      </c>
      <c r="L634" s="8" t="inlineStr">
        <is>
          <t>七部</t>
        </is>
      </c>
      <c r="M634" s="8" t="inlineStr">
        <is>
          <t>袁博</t>
        </is>
      </c>
      <c r="N634" s="8" t="inlineStr">
        <is>
          <t>2-3年</t>
        </is>
      </c>
      <c r="O634" s="8" t="n"/>
    </row>
    <row r="635">
      <c r="A635" s="5" t="n">
        <v>633</v>
      </c>
      <c r="B635" s="5" t="inlineStr">
        <is>
          <t>西北-新疆</t>
        </is>
      </c>
      <c r="C635" s="5" t="inlineStr">
        <is>
          <t>政府机关</t>
        </is>
      </c>
      <c r="D635" s="6" t="inlineStr">
        <is>
          <t>HT20260125</t>
        </is>
      </c>
      <c r="E635" s="6" t="inlineStr">
        <is>
          <t>20260113</t>
        </is>
      </c>
      <c r="F635" s="10" t="n">
        <v>227.037</v>
      </c>
      <c r="G635" s="8" t="n"/>
      <c r="H635" s="10" t="n">
        <v>134.594</v>
      </c>
      <c r="I635" s="10" t="n">
        <v>92.443</v>
      </c>
      <c r="J635" s="10" t="n">
        <v>16.473</v>
      </c>
      <c r="K635" s="10" t="n">
        <v>75.97</v>
      </c>
      <c r="L635" s="8" t="inlineStr">
        <is>
          <t>八部</t>
        </is>
      </c>
      <c r="M635" s="8" t="inlineStr">
        <is>
          <t>曾辉</t>
        </is>
      </c>
      <c r="N635" s="8" t="inlineStr">
        <is>
          <t>1-2年</t>
        </is>
      </c>
      <c r="O635" s="8" t="n"/>
    </row>
    <row r="636">
      <c r="A636" s="5" t="n">
        <v>634</v>
      </c>
      <c r="B636" s="5" t="inlineStr">
        <is>
          <t>华北-北京</t>
        </is>
      </c>
      <c r="C636" s="5" t="inlineStr">
        <is>
          <t>人大政协</t>
        </is>
      </c>
      <c r="D636" s="6" t="inlineStr">
        <is>
          <t>HT20260126</t>
        </is>
      </c>
      <c r="E636" s="6" t="inlineStr">
        <is>
          <t>20260613</t>
        </is>
      </c>
      <c r="F636" s="10" t="n">
        <v>250.183</v>
      </c>
      <c r="G636" s="8" t="n"/>
      <c r="H636" s="10" t="n">
        <v>33.779</v>
      </c>
      <c r="I636" s="10" t="n">
        <v>216.404</v>
      </c>
      <c r="J636" s="10" t="n">
        <v>37.722</v>
      </c>
      <c r="K636" s="10" t="n">
        <v>178.682</v>
      </c>
      <c r="L636" s="8" t="inlineStr">
        <is>
          <t>三部</t>
        </is>
      </c>
      <c r="M636" s="8" t="inlineStr">
        <is>
          <t>胡蓉</t>
        </is>
      </c>
      <c r="N636" s="8" t="inlineStr">
        <is>
          <t>2-3年</t>
        </is>
      </c>
      <c r="O636" s="8" t="n"/>
    </row>
    <row r="637">
      <c r="A637" s="5" t="n">
        <v>635</v>
      </c>
      <c r="B637" s="5" t="inlineStr">
        <is>
          <t>西北-青海</t>
        </is>
      </c>
      <c r="C637" s="5" t="inlineStr">
        <is>
          <t>国有企业</t>
        </is>
      </c>
      <c r="D637" s="6" t="inlineStr">
        <is>
          <t>HT20260128</t>
        </is>
      </c>
      <c r="E637" s="6" t="inlineStr">
        <is>
          <t>20260127</t>
        </is>
      </c>
      <c r="F637" s="10" t="n">
        <v>29.811</v>
      </c>
      <c r="G637" s="8" t="n"/>
      <c r="H637" s="10" t="n">
        <v>7.763</v>
      </c>
      <c r="I637" s="10" t="n">
        <v>22.048</v>
      </c>
      <c r="J637" s="10" t="n">
        <v>8.477</v>
      </c>
      <c r="K637" s="10" t="n">
        <v>13.571</v>
      </c>
      <c r="L637" s="8" t="inlineStr">
        <is>
          <t>一部</t>
        </is>
      </c>
      <c r="M637" s="8" t="inlineStr">
        <is>
          <t>李娜</t>
        </is>
      </c>
      <c r="N637" s="8" t="inlineStr">
        <is>
          <t>2-3年</t>
        </is>
      </c>
      <c r="O637" s="8" t="n"/>
    </row>
    <row r="638">
      <c r="A638" s="5" t="n">
        <v>636</v>
      </c>
      <c r="B638" s="5" t="inlineStr">
        <is>
          <t>西北-宁夏</t>
        </is>
      </c>
      <c r="C638" s="5" t="inlineStr">
        <is>
          <t>事业单位</t>
        </is>
      </c>
      <c r="D638" s="6" t="inlineStr">
        <is>
          <t>HT20260129</t>
        </is>
      </c>
      <c r="E638" s="6" t="inlineStr">
        <is>
          <t>20260328</t>
        </is>
      </c>
      <c r="F638" s="10" t="n">
        <v>358.897</v>
      </c>
      <c r="G638" s="8" t="n"/>
      <c r="H638" s="10" t="n">
        <v>290.1</v>
      </c>
      <c r="I638" s="10" t="n">
        <v>68.797</v>
      </c>
      <c r="J638" s="10" t="n">
        <v>56.097</v>
      </c>
      <c r="K638" s="10" t="n">
        <v>12.7</v>
      </c>
      <c r="L638" s="8" t="inlineStr">
        <is>
          <t>十部</t>
        </is>
      </c>
      <c r="M638" s="8" t="inlineStr">
        <is>
          <t>段勇</t>
        </is>
      </c>
      <c r="N638" s="8" t="inlineStr">
        <is>
          <t>2-3年</t>
        </is>
      </c>
      <c r="O638" s="8" t="n"/>
    </row>
    <row r="639">
      <c r="A639" s="5" t="n">
        <v>637</v>
      </c>
      <c r="B639" s="5" t="inlineStr">
        <is>
          <t>华北-山西</t>
        </is>
      </c>
      <c r="C639" s="5" t="inlineStr">
        <is>
          <t>党委机关</t>
        </is>
      </c>
      <c r="D639" s="6" t="inlineStr">
        <is>
          <t>HT20260130</t>
        </is>
      </c>
      <c r="E639" s="6" t="inlineStr">
        <is>
          <t>20260619</t>
        </is>
      </c>
      <c r="F639" s="10" t="n">
        <v>503.898</v>
      </c>
      <c r="G639" s="8" t="n"/>
      <c r="H639" s="10" t="n">
        <v>482.888</v>
      </c>
      <c r="I639" s="10" t="n">
        <v>21.01</v>
      </c>
      <c r="J639" s="10" t="n">
        <v>4.664</v>
      </c>
      <c r="K639" s="10" t="n">
        <v>16.346</v>
      </c>
      <c r="L639" s="8" t="inlineStr">
        <is>
          <t>七部</t>
        </is>
      </c>
      <c r="M639" s="8" t="inlineStr">
        <is>
          <t>袁博</t>
        </is>
      </c>
      <c r="N639" s="8" t="inlineStr">
        <is>
          <t>2-3年</t>
        </is>
      </c>
      <c r="O639" s="8" t="n"/>
    </row>
    <row r="640">
      <c r="A640" s="5" t="n">
        <v>638</v>
      </c>
      <c r="B640" s="5" t="inlineStr">
        <is>
          <t>华北-天津</t>
        </is>
      </c>
      <c r="C640" s="5" t="inlineStr">
        <is>
          <t>国有企业</t>
        </is>
      </c>
      <c r="D640" s="6" t="inlineStr">
        <is>
          <t>HT20260201</t>
        </is>
      </c>
      <c r="E640" s="6" t="inlineStr">
        <is>
          <t>20260310</t>
        </is>
      </c>
      <c r="F640" s="10" t="n">
        <v>426.399</v>
      </c>
      <c r="G640" s="8" t="n"/>
      <c r="H640" s="10" t="n">
        <v>367.405</v>
      </c>
      <c r="I640" s="10" t="n">
        <v>58.994</v>
      </c>
      <c r="J640" s="10" t="n">
        <v>6.366</v>
      </c>
      <c r="K640" s="10" t="n">
        <v>52.628</v>
      </c>
      <c r="L640" s="8" t="inlineStr">
        <is>
          <t>十部</t>
        </is>
      </c>
      <c r="M640" s="8" t="inlineStr">
        <is>
          <t>侯敏</t>
        </is>
      </c>
      <c r="N640" s="8" t="inlineStr">
        <is>
          <t>1-2年</t>
        </is>
      </c>
      <c r="O640" s="8" t="n"/>
    </row>
    <row r="641">
      <c r="A641" s="5" t="n">
        <v>639</v>
      </c>
      <c r="B641" s="5" t="inlineStr">
        <is>
          <t>西北-甘肃</t>
        </is>
      </c>
      <c r="C641" s="5" t="inlineStr">
        <is>
          <t>党委机关</t>
        </is>
      </c>
      <c r="D641" s="6" t="inlineStr">
        <is>
          <t>HT20260202</t>
        </is>
      </c>
      <c r="E641" s="6" t="inlineStr">
        <is>
          <t>20260610</t>
        </is>
      </c>
      <c r="F641" s="10" t="n">
        <v>489.054</v>
      </c>
      <c r="G641" s="8" t="n"/>
      <c r="H641" s="10" t="n">
        <v>267.904</v>
      </c>
      <c r="I641" s="10" t="n">
        <v>221.15</v>
      </c>
      <c r="J641" s="10" t="n">
        <v>57.925</v>
      </c>
      <c r="K641" s="10" t="n">
        <v>163.225</v>
      </c>
      <c r="L641" s="8" t="inlineStr">
        <is>
          <t>十部</t>
        </is>
      </c>
      <c r="M641" s="8" t="inlineStr">
        <is>
          <t>薛峰</t>
        </is>
      </c>
      <c r="N641" s="8" t="inlineStr">
        <is>
          <t>2-3年</t>
        </is>
      </c>
      <c r="O641" s="8" t="n"/>
    </row>
    <row r="642">
      <c r="A642" s="5" t="n">
        <v>640</v>
      </c>
      <c r="B642" s="5" t="inlineStr">
        <is>
          <t>华东-浙江</t>
        </is>
      </c>
      <c r="C642" s="5" t="inlineStr">
        <is>
          <t>人大政协</t>
        </is>
      </c>
      <c r="D642" s="6" t="inlineStr">
        <is>
          <t>HT20260202</t>
        </is>
      </c>
      <c r="E642" s="6" t="inlineStr">
        <is>
          <t>20260610</t>
        </is>
      </c>
      <c r="F642" s="10" t="n">
        <v>881.215</v>
      </c>
      <c r="G642" s="8" t="n"/>
      <c r="H642" s="10" t="n">
        <v>550.0410000000001</v>
      </c>
      <c r="I642" s="10" t="n">
        <v>331.174</v>
      </c>
      <c r="J642" s="10" t="n">
        <v>193.301</v>
      </c>
      <c r="K642" s="10" t="n">
        <v>137.873</v>
      </c>
      <c r="L642" s="8" t="inlineStr">
        <is>
          <t>九部</t>
        </is>
      </c>
      <c r="M642" s="8" t="inlineStr">
        <is>
          <t>丁磊</t>
        </is>
      </c>
      <c r="N642" s="8" t="inlineStr">
        <is>
          <t>1年以内</t>
        </is>
      </c>
      <c r="O642" s="8" t="n"/>
    </row>
    <row r="643">
      <c r="A643" s="5" t="n">
        <v>641</v>
      </c>
      <c r="B643" s="5" t="inlineStr">
        <is>
          <t>西南-云南</t>
        </is>
      </c>
      <c r="C643" s="5" t="inlineStr">
        <is>
          <t>群团组织</t>
        </is>
      </c>
      <c r="D643" s="6" t="inlineStr">
        <is>
          <t>HT20260202</t>
        </is>
      </c>
      <c r="E643" s="6" t="inlineStr">
        <is>
          <t>20260610</t>
        </is>
      </c>
      <c r="F643" s="10" t="n">
        <v>343.401</v>
      </c>
      <c r="G643" s="8" t="n"/>
      <c r="H643" s="10" t="n">
        <v>186.632</v>
      </c>
      <c r="I643" s="10" t="n">
        <v>156.769</v>
      </c>
      <c r="J643" s="10" t="n">
        <v>16.219</v>
      </c>
      <c r="K643" s="10" t="n">
        <v>140.55</v>
      </c>
      <c r="L643" s="8" t="inlineStr">
        <is>
          <t>七部</t>
        </is>
      </c>
      <c r="M643" s="8" t="inlineStr">
        <is>
          <t>沈刚</t>
        </is>
      </c>
      <c r="N643" s="8" t="inlineStr">
        <is>
          <t>2-3年</t>
        </is>
      </c>
      <c r="O643" s="8" t="n"/>
    </row>
    <row r="644">
      <c r="A644" s="5" t="n">
        <v>642</v>
      </c>
      <c r="B644" s="5" t="inlineStr">
        <is>
          <t>华东-山东</t>
        </is>
      </c>
      <c r="C644" s="5" t="inlineStr">
        <is>
          <t>政府机关</t>
        </is>
      </c>
      <c r="D644" s="6" t="inlineStr">
        <is>
          <t>HT20260203</t>
        </is>
      </c>
      <c r="E644" s="6" t="inlineStr">
        <is>
          <t>20260809</t>
        </is>
      </c>
      <c r="F644" s="10" t="n">
        <v>231.154</v>
      </c>
      <c r="G644" s="8" t="n"/>
      <c r="H644" s="10" t="n">
        <v>121.728</v>
      </c>
      <c r="I644" s="10" t="n">
        <v>109.426</v>
      </c>
      <c r="J644" s="10" t="n">
        <v>35.235</v>
      </c>
      <c r="K644" s="10" t="n">
        <v>74.191</v>
      </c>
      <c r="L644" s="8" t="inlineStr">
        <is>
          <t>六部</t>
        </is>
      </c>
      <c r="M644" s="8" t="inlineStr">
        <is>
          <t>曹阳</t>
        </is>
      </c>
      <c r="N644" s="8" t="inlineStr">
        <is>
          <t>1-2年</t>
        </is>
      </c>
      <c r="O644" s="8" t="n"/>
    </row>
    <row r="645">
      <c r="A645" s="5" t="n">
        <v>643</v>
      </c>
      <c r="B645" s="5" t="inlineStr">
        <is>
          <t>华东-江苏</t>
        </is>
      </c>
      <c r="C645" s="5" t="inlineStr">
        <is>
          <t>基层自治组织</t>
        </is>
      </c>
      <c r="D645" s="6" t="inlineStr">
        <is>
          <t>HT20260203</t>
        </is>
      </c>
      <c r="E645" s="6" t="inlineStr">
        <is>
          <t>20260809</t>
        </is>
      </c>
      <c r="F645" s="10" t="n">
        <v>452.549</v>
      </c>
      <c r="G645" s="8" t="n"/>
      <c r="H645" s="10" t="n">
        <v>0.215</v>
      </c>
      <c r="I645" s="10" t="n">
        <v>452.334</v>
      </c>
      <c r="J645" s="10" t="n">
        <v>34.26</v>
      </c>
      <c r="K645" s="10" t="n">
        <v>418.074</v>
      </c>
      <c r="L645" s="8" t="inlineStr">
        <is>
          <t>十部</t>
        </is>
      </c>
      <c r="M645" s="8" t="inlineStr">
        <is>
          <t>雷声</t>
        </is>
      </c>
      <c r="N645" s="8" t="inlineStr">
        <is>
          <t>1-2年</t>
        </is>
      </c>
      <c r="O645" s="8" t="n"/>
    </row>
    <row r="646">
      <c r="A646" s="5" t="n">
        <v>644</v>
      </c>
      <c r="B646" s="5" t="inlineStr">
        <is>
          <t>东北-吉林</t>
        </is>
      </c>
      <c r="C646" s="5" t="inlineStr">
        <is>
          <t>事业单位</t>
        </is>
      </c>
      <c r="D646" s="6" t="inlineStr">
        <is>
          <t>HT20260204</t>
        </is>
      </c>
      <c r="E646" s="6" t="inlineStr">
        <is>
          <t>20260718</t>
        </is>
      </c>
      <c r="F646" s="10" t="n">
        <v>202.689</v>
      </c>
      <c r="G646" s="8" t="n"/>
      <c r="H646" s="10" t="n">
        <v>181.22</v>
      </c>
      <c r="I646" s="10" t="n">
        <v>21.469</v>
      </c>
      <c r="J646" s="10" t="n">
        <v>9.553000000000001</v>
      </c>
      <c r="K646" s="10" t="n">
        <v>11.916</v>
      </c>
      <c r="L646" s="8" t="inlineStr">
        <is>
          <t>二部</t>
        </is>
      </c>
      <c r="M646" s="8" t="inlineStr">
        <is>
          <t>赵敏</t>
        </is>
      </c>
      <c r="N646" s="8" t="inlineStr">
        <is>
          <t>1-2年</t>
        </is>
      </c>
      <c r="O646" s="8" t="n"/>
    </row>
    <row r="647">
      <c r="A647" s="5" t="n">
        <v>645</v>
      </c>
      <c r="B647" s="5" t="inlineStr">
        <is>
          <t>西南-重庆</t>
        </is>
      </c>
      <c r="C647" s="5" t="inlineStr">
        <is>
          <t>人大政协</t>
        </is>
      </c>
      <c r="D647" s="6" t="inlineStr">
        <is>
          <t>HT20260204</t>
        </is>
      </c>
      <c r="E647" s="6" t="inlineStr">
        <is>
          <t>20260718</t>
        </is>
      </c>
      <c r="F647" s="10" t="n">
        <v>37.617</v>
      </c>
      <c r="G647" s="8" t="n"/>
      <c r="H647" s="10" t="n">
        <v>24.103</v>
      </c>
      <c r="I647" s="10" t="n">
        <v>13.514</v>
      </c>
      <c r="J647" s="10" t="n">
        <v>10.41</v>
      </c>
      <c r="K647" s="10" t="n">
        <v>3.104</v>
      </c>
      <c r="L647" s="8" t="inlineStr">
        <is>
          <t>八部</t>
        </is>
      </c>
      <c r="M647" s="8" t="inlineStr">
        <is>
          <t>卢俊</t>
        </is>
      </c>
      <c r="N647" s="8" t="inlineStr">
        <is>
          <t>2-3年</t>
        </is>
      </c>
      <c r="O647" s="8" t="n"/>
    </row>
    <row r="648">
      <c r="A648" s="5" t="n">
        <v>646</v>
      </c>
      <c r="B648" s="5" t="inlineStr">
        <is>
          <t>西北-甘肃</t>
        </is>
      </c>
      <c r="C648" s="5" t="inlineStr">
        <is>
          <t>群团组织</t>
        </is>
      </c>
      <c r="D648" s="6" t="inlineStr">
        <is>
          <t>HT20260205</t>
        </is>
      </c>
      <c r="E648" s="6" t="inlineStr">
        <is>
          <t>20260331</t>
        </is>
      </c>
      <c r="F648" s="10" t="n">
        <v>576.405</v>
      </c>
      <c r="G648" s="8" t="n"/>
      <c r="H648" s="10" t="n">
        <v>426.449</v>
      </c>
      <c r="I648" s="10" t="n">
        <v>149.956</v>
      </c>
      <c r="J648" s="10" t="n">
        <v>70.461</v>
      </c>
      <c r="K648" s="10" t="n">
        <v>79.495</v>
      </c>
      <c r="L648" s="8" t="inlineStr">
        <is>
          <t>八部</t>
        </is>
      </c>
      <c r="M648" s="8" t="inlineStr">
        <is>
          <t>苏珊</t>
        </is>
      </c>
      <c r="N648" s="8" t="inlineStr">
        <is>
          <t>1年以内</t>
        </is>
      </c>
      <c r="O648" s="8" t="n"/>
    </row>
    <row r="649">
      <c r="A649" s="5" t="n">
        <v>647</v>
      </c>
      <c r="B649" s="5" t="inlineStr">
        <is>
          <t>西北-青海</t>
        </is>
      </c>
      <c r="C649" s="5" t="inlineStr">
        <is>
          <t>党委机关</t>
        </is>
      </c>
      <c r="D649" s="6" t="inlineStr">
        <is>
          <t>HT20260205</t>
        </is>
      </c>
      <c r="E649" s="6" t="inlineStr">
        <is>
          <t>20260331</t>
        </is>
      </c>
      <c r="F649" s="10" t="n">
        <v>749.502</v>
      </c>
      <c r="G649" s="8" t="n"/>
      <c r="H649" s="10" t="n">
        <v>132.503</v>
      </c>
      <c r="I649" s="10" t="n">
        <v>616.999</v>
      </c>
      <c r="J649" s="10" t="n">
        <v>14.696</v>
      </c>
      <c r="K649" s="10" t="n">
        <v>602.303</v>
      </c>
      <c r="L649" s="8" t="inlineStr">
        <is>
          <t>四部</t>
        </is>
      </c>
      <c r="M649" s="8" t="inlineStr">
        <is>
          <t>高翔</t>
        </is>
      </c>
      <c r="N649" s="8" t="inlineStr">
        <is>
          <t>2-3年</t>
        </is>
      </c>
      <c r="O649" s="8" t="n"/>
    </row>
    <row r="650">
      <c r="A650" s="5" t="n">
        <v>648</v>
      </c>
      <c r="B650" s="5" t="inlineStr">
        <is>
          <t>西北-青海</t>
        </is>
      </c>
      <c r="C650" s="5" t="inlineStr">
        <is>
          <t>党委机关</t>
        </is>
      </c>
      <c r="D650" s="6" t="inlineStr">
        <is>
          <t>HT20260205</t>
        </is>
      </c>
      <c r="E650" s="6" t="inlineStr">
        <is>
          <t>20260331</t>
        </is>
      </c>
      <c r="F650" s="10" t="n">
        <v>688.777</v>
      </c>
      <c r="G650" s="8" t="n"/>
      <c r="H650" s="10" t="n">
        <v>214.948</v>
      </c>
      <c r="I650" s="10" t="n">
        <v>473.829</v>
      </c>
      <c r="J650" s="10" t="n">
        <v>252.768</v>
      </c>
      <c r="K650" s="10" t="n">
        <v>221.061</v>
      </c>
      <c r="L650" s="8" t="inlineStr">
        <is>
          <t>七部</t>
        </is>
      </c>
      <c r="M650" s="8" t="inlineStr">
        <is>
          <t>许涛</t>
        </is>
      </c>
      <c r="N650" s="8" t="inlineStr">
        <is>
          <t>1年以内</t>
        </is>
      </c>
      <c r="O650" s="8" t="n"/>
    </row>
    <row r="651">
      <c r="A651" s="5" t="n">
        <v>649</v>
      </c>
      <c r="B651" s="5" t="inlineStr">
        <is>
          <t>华东-上海</t>
        </is>
      </c>
      <c r="C651" s="5" t="inlineStr">
        <is>
          <t>基层自治组织</t>
        </is>
      </c>
      <c r="D651" s="6" t="inlineStr">
        <is>
          <t>HT20260205</t>
        </is>
      </c>
      <c r="E651" s="6" t="inlineStr">
        <is>
          <t>20260331</t>
        </is>
      </c>
      <c r="F651" s="10" t="n">
        <v>65.523</v>
      </c>
      <c r="G651" s="8" t="n"/>
      <c r="H651" s="10" t="n">
        <v>20.025</v>
      </c>
      <c r="I651" s="10" t="n">
        <v>45.498</v>
      </c>
      <c r="J651" s="10" t="n">
        <v>5.913</v>
      </c>
      <c r="K651" s="10" t="n">
        <v>39.585</v>
      </c>
      <c r="L651" s="8" t="inlineStr">
        <is>
          <t>三部</t>
        </is>
      </c>
      <c r="M651" s="8" t="inlineStr">
        <is>
          <t>胡蓉</t>
        </is>
      </c>
      <c r="N651" s="8" t="inlineStr">
        <is>
          <t>1年以内</t>
        </is>
      </c>
      <c r="O651" s="8" t="n"/>
    </row>
    <row r="652">
      <c r="A652" s="5" t="n">
        <v>650</v>
      </c>
      <c r="B652" s="5" t="inlineStr">
        <is>
          <t>西北-新疆</t>
        </is>
      </c>
      <c r="C652" s="5" t="inlineStr">
        <is>
          <t>党委机关</t>
        </is>
      </c>
      <c r="D652" s="6" t="inlineStr">
        <is>
          <t>HT20260205</t>
        </is>
      </c>
      <c r="E652" s="6" t="inlineStr">
        <is>
          <t>20260331</t>
        </is>
      </c>
      <c r="F652" s="10" t="n">
        <v>954.854</v>
      </c>
      <c r="G652" s="8" t="n"/>
      <c r="H652" s="10" t="n">
        <v>213.001</v>
      </c>
      <c r="I652" s="10" t="n">
        <v>741.853</v>
      </c>
      <c r="J652" s="10" t="n">
        <v>599.672</v>
      </c>
      <c r="K652" s="10" t="n">
        <v>142.181</v>
      </c>
      <c r="L652" s="8" t="inlineStr">
        <is>
          <t>四部</t>
        </is>
      </c>
      <c r="M652" s="8" t="inlineStr">
        <is>
          <t>高翔</t>
        </is>
      </c>
      <c r="N652" s="8" t="inlineStr">
        <is>
          <t>1-2年</t>
        </is>
      </c>
      <c r="O652" s="8" t="n"/>
    </row>
    <row r="653">
      <c r="A653" s="5" t="n">
        <v>651</v>
      </c>
      <c r="B653" s="5" t="inlineStr">
        <is>
          <t>华南-广西</t>
        </is>
      </c>
      <c r="C653" s="5" t="inlineStr">
        <is>
          <t>基层自治组织</t>
        </is>
      </c>
      <c r="D653" s="6" t="inlineStr">
        <is>
          <t>HT20260206</t>
        </is>
      </c>
      <c r="E653" s="6" t="inlineStr">
        <is>
          <t>20260801</t>
        </is>
      </c>
      <c r="F653" s="10" t="n">
        <v>279.952</v>
      </c>
      <c r="G653" s="8" t="n"/>
      <c r="H653" s="10" t="n">
        <v>253.842</v>
      </c>
      <c r="I653" s="10" t="n">
        <v>26.11</v>
      </c>
      <c r="J653" s="10" t="n">
        <v>0.323</v>
      </c>
      <c r="K653" s="10" t="n">
        <v>25.787</v>
      </c>
      <c r="L653" s="8" t="inlineStr">
        <is>
          <t>一部</t>
        </is>
      </c>
      <c r="M653" s="8" t="inlineStr">
        <is>
          <t>刘洋</t>
        </is>
      </c>
      <c r="N653" s="8" t="inlineStr">
        <is>
          <t>2-3年</t>
        </is>
      </c>
      <c r="O653" s="8" t="n"/>
    </row>
    <row r="654">
      <c r="A654" s="5" t="n">
        <v>652</v>
      </c>
      <c r="B654" s="5" t="inlineStr">
        <is>
          <t>华东-山东</t>
        </is>
      </c>
      <c r="C654" s="5" t="inlineStr">
        <is>
          <t>事业单位</t>
        </is>
      </c>
      <c r="D654" s="6" t="inlineStr">
        <is>
          <t>HT20260206</t>
        </is>
      </c>
      <c r="E654" s="6" t="inlineStr">
        <is>
          <t>20260801</t>
        </is>
      </c>
      <c r="F654" s="10" t="n">
        <v>480.881</v>
      </c>
      <c r="G654" s="8" t="n"/>
      <c r="H654" s="10" t="n">
        <v>270.378</v>
      </c>
      <c r="I654" s="10" t="n">
        <v>210.503</v>
      </c>
      <c r="J654" s="10" t="n">
        <v>34.826</v>
      </c>
      <c r="K654" s="10" t="n">
        <v>175.677</v>
      </c>
      <c r="L654" s="8" t="inlineStr">
        <is>
          <t>二部</t>
        </is>
      </c>
      <c r="M654" s="8" t="inlineStr">
        <is>
          <t>黄强</t>
        </is>
      </c>
      <c r="N654" s="8" t="inlineStr">
        <is>
          <t>1年以内</t>
        </is>
      </c>
      <c r="O654" s="8" t="n"/>
    </row>
    <row r="655">
      <c r="A655" s="5" t="n">
        <v>653</v>
      </c>
      <c r="B655" s="5" t="inlineStr">
        <is>
          <t>华东-江西</t>
        </is>
      </c>
      <c r="C655" s="5" t="inlineStr">
        <is>
          <t>国有企业</t>
        </is>
      </c>
      <c r="D655" s="6" t="inlineStr">
        <is>
          <t>HT20260206</t>
        </is>
      </c>
      <c r="E655" s="6" t="inlineStr">
        <is>
          <t>20260801</t>
        </is>
      </c>
      <c r="F655" s="10" t="n">
        <v>247.199</v>
      </c>
      <c r="G655" s="8" t="n"/>
      <c r="H655" s="10" t="n">
        <v>124.529</v>
      </c>
      <c r="I655" s="10" t="n">
        <v>122.67</v>
      </c>
      <c r="J655" s="10" t="n">
        <v>23.727</v>
      </c>
      <c r="K655" s="10" t="n">
        <v>98.943</v>
      </c>
      <c r="L655" s="8" t="inlineStr">
        <is>
          <t>五部</t>
        </is>
      </c>
      <c r="M655" s="8" t="inlineStr">
        <is>
          <t>宋佳</t>
        </is>
      </c>
      <c r="N655" s="8" t="inlineStr">
        <is>
          <t>1-2年</t>
        </is>
      </c>
      <c r="O655" s="8" t="n"/>
    </row>
    <row r="656">
      <c r="A656" s="5" t="n">
        <v>654</v>
      </c>
      <c r="B656" s="5" t="inlineStr">
        <is>
          <t>西南-重庆</t>
        </is>
      </c>
      <c r="C656" s="5" t="inlineStr">
        <is>
          <t>基层自治组织</t>
        </is>
      </c>
      <c r="D656" s="6" t="inlineStr">
        <is>
          <t>HT20260207</t>
        </is>
      </c>
      <c r="E656" s="6" t="inlineStr">
        <is>
          <t>20260523</t>
        </is>
      </c>
      <c r="F656" s="10" t="n">
        <v>178.53</v>
      </c>
      <c r="G656" s="8" t="n"/>
      <c r="H656" s="10" t="n">
        <v>131.906</v>
      </c>
      <c r="I656" s="10" t="n">
        <v>46.624</v>
      </c>
      <c r="J656" s="10" t="n">
        <v>37.912</v>
      </c>
      <c r="K656" s="10" t="n">
        <v>8.712</v>
      </c>
      <c r="L656" s="8" t="inlineStr">
        <is>
          <t>十部</t>
        </is>
      </c>
      <c r="M656" s="8" t="inlineStr">
        <is>
          <t>薛峰</t>
        </is>
      </c>
      <c r="N656" s="8" t="inlineStr">
        <is>
          <t>1年以内</t>
        </is>
      </c>
      <c r="O656" s="8" t="n"/>
    </row>
    <row r="657">
      <c r="A657" s="5" t="n">
        <v>655</v>
      </c>
      <c r="B657" s="5" t="inlineStr">
        <is>
          <t>华南-澳门</t>
        </is>
      </c>
      <c r="C657" s="5" t="inlineStr">
        <is>
          <t>党委机关</t>
        </is>
      </c>
      <c r="D657" s="6" t="inlineStr">
        <is>
          <t>HT20260207</t>
        </is>
      </c>
      <c r="E657" s="6" t="inlineStr">
        <is>
          <t>20260523</t>
        </is>
      </c>
      <c r="F657" s="10" t="n">
        <v>983.88</v>
      </c>
      <c r="G657" s="8" t="n"/>
      <c r="H657" s="10" t="n">
        <v>83.547</v>
      </c>
      <c r="I657" s="10" t="n">
        <v>900.333</v>
      </c>
      <c r="J657" s="10" t="n">
        <v>879.069</v>
      </c>
      <c r="K657" s="10" t="n">
        <v>21.264</v>
      </c>
      <c r="L657" s="8" t="inlineStr">
        <is>
          <t>五部</t>
        </is>
      </c>
      <c r="M657" s="8" t="inlineStr">
        <is>
          <t>郑浩</t>
        </is>
      </c>
      <c r="N657" s="8" t="inlineStr">
        <is>
          <t>1-2年</t>
        </is>
      </c>
      <c r="O657" s="8" t="n"/>
    </row>
    <row r="658">
      <c r="A658" s="5" t="n">
        <v>656</v>
      </c>
      <c r="B658" s="5" t="inlineStr">
        <is>
          <t>华中-河南</t>
        </is>
      </c>
      <c r="C658" s="5" t="inlineStr">
        <is>
          <t>人大政协</t>
        </is>
      </c>
      <c r="D658" s="6" t="inlineStr">
        <is>
          <t>HT20260208</t>
        </is>
      </c>
      <c r="E658" s="6" t="inlineStr">
        <is>
          <t>20260308</t>
        </is>
      </c>
      <c r="F658" s="10" t="n">
        <v>559.365</v>
      </c>
      <c r="G658" s="8" t="n"/>
      <c r="H658" s="10" t="n">
        <v>185.69</v>
      </c>
      <c r="I658" s="10" t="n">
        <v>373.675</v>
      </c>
      <c r="J658" s="10" t="n">
        <v>121.368</v>
      </c>
      <c r="K658" s="10" t="n">
        <v>252.307</v>
      </c>
      <c r="L658" s="8" t="inlineStr">
        <is>
          <t>一部</t>
        </is>
      </c>
      <c r="M658" s="8" t="inlineStr">
        <is>
          <t>李娜</t>
        </is>
      </c>
      <c r="N658" s="8" t="inlineStr">
        <is>
          <t>2-3年</t>
        </is>
      </c>
      <c r="O658" s="8" t="n"/>
    </row>
    <row r="659">
      <c r="A659" s="5" t="n">
        <v>657</v>
      </c>
      <c r="B659" s="5" t="inlineStr">
        <is>
          <t>华北-河北</t>
        </is>
      </c>
      <c r="C659" s="5" t="inlineStr">
        <is>
          <t>政府机关</t>
        </is>
      </c>
      <c r="D659" s="6" t="inlineStr">
        <is>
          <t>HT20260209</t>
        </is>
      </c>
      <c r="E659" s="6" t="inlineStr">
        <is>
          <t>20260629</t>
        </is>
      </c>
      <c r="F659" s="10" t="n">
        <v>80.024</v>
      </c>
      <c r="G659" s="8" t="n"/>
      <c r="H659" s="10" t="n">
        <v>72.702</v>
      </c>
      <c r="I659" s="10" t="n">
        <v>7.322</v>
      </c>
      <c r="J659" s="10" t="n">
        <v>3.52</v>
      </c>
      <c r="K659" s="10" t="n">
        <v>3.802</v>
      </c>
      <c r="L659" s="8" t="inlineStr">
        <is>
          <t>三部</t>
        </is>
      </c>
      <c r="M659" s="8" t="inlineStr">
        <is>
          <t>孙艳</t>
        </is>
      </c>
      <c r="N659" s="8" t="inlineStr">
        <is>
          <t>1-2年</t>
        </is>
      </c>
      <c r="O659" s="8" t="n"/>
    </row>
    <row r="660">
      <c r="A660" s="5" t="n">
        <v>658</v>
      </c>
      <c r="B660" s="5" t="inlineStr">
        <is>
          <t>华东-上海</t>
        </is>
      </c>
      <c r="C660" s="5" t="inlineStr">
        <is>
          <t>人大政协</t>
        </is>
      </c>
      <c r="D660" s="6" t="inlineStr">
        <is>
          <t>HT20260212</t>
        </is>
      </c>
      <c r="E660" s="6" t="inlineStr">
        <is>
          <t>20260511</t>
        </is>
      </c>
      <c r="F660" s="10" t="n">
        <v>652.066</v>
      </c>
      <c r="G660" s="8" t="n"/>
      <c r="H660" s="10" t="n">
        <v>439.334</v>
      </c>
      <c r="I660" s="10" t="n">
        <v>212.732</v>
      </c>
      <c r="J660" s="10" t="n">
        <v>172.865</v>
      </c>
      <c r="K660" s="10" t="n">
        <v>39.867</v>
      </c>
      <c r="L660" s="8" t="inlineStr">
        <is>
          <t>三部</t>
        </is>
      </c>
      <c r="M660" s="8" t="inlineStr">
        <is>
          <t>朱军</t>
        </is>
      </c>
      <c r="N660" s="8" t="inlineStr">
        <is>
          <t>2-3年</t>
        </is>
      </c>
      <c r="O660" s="8" t="n"/>
    </row>
    <row r="661">
      <c r="A661" s="5" t="n">
        <v>659</v>
      </c>
      <c r="B661" s="5" t="inlineStr">
        <is>
          <t>华北-河北</t>
        </is>
      </c>
      <c r="C661" s="5" t="inlineStr">
        <is>
          <t>党委机关</t>
        </is>
      </c>
      <c r="D661" s="6" t="inlineStr">
        <is>
          <t>HT20260213</t>
        </is>
      </c>
      <c r="E661" s="6" t="inlineStr">
        <is>
          <t>20260607</t>
        </is>
      </c>
      <c r="F661" s="10" t="n">
        <v>511.15</v>
      </c>
      <c r="G661" s="8" t="n"/>
      <c r="H661" s="10" t="n">
        <v>271.689</v>
      </c>
      <c r="I661" s="10" t="n">
        <v>239.461</v>
      </c>
      <c r="J661" s="10" t="n">
        <v>107.667</v>
      </c>
      <c r="K661" s="10" t="n">
        <v>131.794</v>
      </c>
      <c r="L661" s="8" t="inlineStr">
        <is>
          <t>二部</t>
        </is>
      </c>
      <c r="M661" s="8" t="inlineStr">
        <is>
          <t>黄强</t>
        </is>
      </c>
      <c r="N661" s="8" t="inlineStr">
        <is>
          <t>1-2年</t>
        </is>
      </c>
      <c r="O661" s="8" t="n"/>
    </row>
    <row r="662">
      <c r="A662" s="5" t="n">
        <v>660</v>
      </c>
      <c r="B662" s="5" t="inlineStr">
        <is>
          <t>西南-四川</t>
        </is>
      </c>
      <c r="C662" s="5" t="inlineStr">
        <is>
          <t>监察司法机关</t>
        </is>
      </c>
      <c r="D662" s="6" t="inlineStr">
        <is>
          <t>HT20260213</t>
        </is>
      </c>
      <c r="E662" s="6" t="inlineStr">
        <is>
          <t>20260607</t>
        </is>
      </c>
      <c r="F662" s="10" t="n">
        <v>320.738</v>
      </c>
      <c r="G662" s="8" t="n"/>
      <c r="H662" s="10" t="n">
        <v>161.881</v>
      </c>
      <c r="I662" s="10" t="n">
        <v>158.857</v>
      </c>
      <c r="J662" s="10" t="n">
        <v>143.833</v>
      </c>
      <c r="K662" s="10" t="n">
        <v>15.024</v>
      </c>
      <c r="L662" s="8" t="inlineStr">
        <is>
          <t>七部</t>
        </is>
      </c>
      <c r="M662" s="8" t="inlineStr">
        <is>
          <t>邓丽</t>
        </is>
      </c>
      <c r="N662" s="8" t="inlineStr">
        <is>
          <t>1-2年</t>
        </is>
      </c>
      <c r="O662" s="8" t="n"/>
    </row>
    <row r="663">
      <c r="A663" s="5" t="n">
        <v>661</v>
      </c>
      <c r="B663" s="5" t="inlineStr">
        <is>
          <t>华北-山西</t>
        </is>
      </c>
      <c r="C663" s="5" t="inlineStr">
        <is>
          <t>党委机关</t>
        </is>
      </c>
      <c r="D663" s="6" t="inlineStr">
        <is>
          <t>HT20260213</t>
        </is>
      </c>
      <c r="E663" s="6" t="inlineStr">
        <is>
          <t>20260607</t>
        </is>
      </c>
      <c r="F663" s="10" t="n">
        <v>61.026</v>
      </c>
      <c r="G663" s="8" t="n"/>
      <c r="H663" s="10" t="n">
        <v>60.058</v>
      </c>
      <c r="I663" s="10" t="n">
        <v>0.968</v>
      </c>
      <c r="J663" s="10" t="n">
        <v>0.285</v>
      </c>
      <c r="K663" s="10" t="n">
        <v>0.6830000000000001</v>
      </c>
      <c r="L663" s="8" t="inlineStr">
        <is>
          <t>七部</t>
        </is>
      </c>
      <c r="M663" s="8" t="inlineStr">
        <is>
          <t>傅蓉</t>
        </is>
      </c>
      <c r="N663" s="8" t="inlineStr">
        <is>
          <t>2-3年</t>
        </is>
      </c>
      <c r="O663" s="8" t="n"/>
    </row>
    <row r="664">
      <c r="A664" s="5" t="n">
        <v>662</v>
      </c>
      <c r="B664" s="5" t="inlineStr">
        <is>
          <t>东北-辽宁</t>
        </is>
      </c>
      <c r="C664" s="5" t="inlineStr">
        <is>
          <t>事业单位</t>
        </is>
      </c>
      <c r="D664" s="6" t="inlineStr">
        <is>
          <t>HT20260213</t>
        </is>
      </c>
      <c r="E664" s="6" t="inlineStr">
        <is>
          <t>20260607</t>
        </is>
      </c>
      <c r="F664" s="10" t="n">
        <v>420.092</v>
      </c>
      <c r="G664" s="8" t="n"/>
      <c r="H664" s="10" t="n">
        <v>81.59</v>
      </c>
      <c r="I664" s="10" t="n">
        <v>338.502</v>
      </c>
      <c r="J664" s="10" t="n">
        <v>128.246</v>
      </c>
      <c r="K664" s="10" t="n">
        <v>210.256</v>
      </c>
      <c r="L664" s="8" t="inlineStr">
        <is>
          <t>七部</t>
        </is>
      </c>
      <c r="M664" s="8" t="inlineStr">
        <is>
          <t>傅蓉</t>
        </is>
      </c>
      <c r="N664" s="8" t="inlineStr">
        <is>
          <t>1年以内</t>
        </is>
      </c>
      <c r="O664" s="8" t="n"/>
    </row>
    <row r="665">
      <c r="A665" s="5" t="n">
        <v>663</v>
      </c>
      <c r="B665" s="5" t="inlineStr">
        <is>
          <t>华东-安徽</t>
        </is>
      </c>
      <c r="C665" s="5" t="inlineStr">
        <is>
          <t>基层自治组织</t>
        </is>
      </c>
      <c r="D665" s="6" t="inlineStr">
        <is>
          <t>HT20260213</t>
        </is>
      </c>
      <c r="E665" s="6" t="inlineStr">
        <is>
          <t>20260607</t>
        </is>
      </c>
      <c r="F665" s="10" t="n">
        <v>470.38</v>
      </c>
      <c r="G665" s="8" t="n"/>
      <c r="H665" s="10" t="n">
        <v>310.573</v>
      </c>
      <c r="I665" s="10" t="n">
        <v>159.807</v>
      </c>
      <c r="J665" s="10" t="n">
        <v>80.839</v>
      </c>
      <c r="K665" s="10" t="n">
        <v>78.968</v>
      </c>
      <c r="L665" s="8" t="inlineStr">
        <is>
          <t>八部</t>
        </is>
      </c>
      <c r="M665" s="8" t="inlineStr">
        <is>
          <t>苏珊</t>
        </is>
      </c>
      <c r="N665" s="8" t="inlineStr">
        <is>
          <t>2-3年</t>
        </is>
      </c>
      <c r="O665" s="8" t="n"/>
    </row>
    <row r="666">
      <c r="A666" s="5" t="n">
        <v>664</v>
      </c>
      <c r="B666" s="5" t="inlineStr">
        <is>
          <t>华北-北京</t>
        </is>
      </c>
      <c r="C666" s="5" t="inlineStr">
        <is>
          <t>群团组织</t>
        </is>
      </c>
      <c r="D666" s="6" t="inlineStr">
        <is>
          <t>HT20260214</t>
        </is>
      </c>
      <c r="E666" s="6" t="inlineStr">
        <is>
          <t>20260624</t>
        </is>
      </c>
      <c r="F666" s="10" t="n">
        <v>884.9880000000001</v>
      </c>
      <c r="G666" s="8" t="n"/>
      <c r="H666" s="10" t="n">
        <v>48.096</v>
      </c>
      <c r="I666" s="10" t="n">
        <v>836.8920000000001</v>
      </c>
      <c r="J666" s="10" t="n">
        <v>699.817</v>
      </c>
      <c r="K666" s="10" t="n">
        <v>137.075</v>
      </c>
      <c r="L666" s="8" t="inlineStr">
        <is>
          <t>四部</t>
        </is>
      </c>
      <c r="M666" s="8" t="inlineStr">
        <is>
          <t>高翔</t>
        </is>
      </c>
      <c r="N666" s="8" t="inlineStr">
        <is>
          <t>2-3年</t>
        </is>
      </c>
      <c r="O666" s="8" t="n"/>
    </row>
    <row r="667">
      <c r="A667" s="5" t="n">
        <v>665</v>
      </c>
      <c r="B667" s="5" t="inlineStr">
        <is>
          <t>华东-福建</t>
        </is>
      </c>
      <c r="C667" s="5" t="inlineStr">
        <is>
          <t>国有企业</t>
        </is>
      </c>
      <c r="D667" s="6" t="inlineStr">
        <is>
          <t>HT20260215</t>
        </is>
      </c>
      <c r="E667" s="6" t="inlineStr">
        <is>
          <t>20260820</t>
        </is>
      </c>
      <c r="F667" s="10" t="n">
        <v>299.476</v>
      </c>
      <c r="G667" s="8" t="n"/>
      <c r="H667" s="10" t="n">
        <v>124.235</v>
      </c>
      <c r="I667" s="10" t="n">
        <v>175.241</v>
      </c>
      <c r="J667" s="10" t="n">
        <v>112.47</v>
      </c>
      <c r="K667" s="10" t="n">
        <v>62.771</v>
      </c>
      <c r="L667" s="8" t="inlineStr">
        <is>
          <t>五部</t>
        </is>
      </c>
      <c r="M667" s="8" t="inlineStr">
        <is>
          <t>宋佳</t>
        </is>
      </c>
      <c r="N667" s="8" t="inlineStr">
        <is>
          <t>1年以内</t>
        </is>
      </c>
      <c r="O667" s="8" t="n"/>
    </row>
    <row r="668">
      <c r="A668" s="5" t="n">
        <v>666</v>
      </c>
      <c r="B668" s="5" t="inlineStr">
        <is>
          <t>华南-广西</t>
        </is>
      </c>
      <c r="C668" s="5" t="inlineStr">
        <is>
          <t>政府机关</t>
        </is>
      </c>
      <c r="D668" s="6" t="inlineStr">
        <is>
          <t>HT20260215</t>
        </is>
      </c>
      <c r="E668" s="6" t="inlineStr">
        <is>
          <t>20260820</t>
        </is>
      </c>
      <c r="F668" s="10" t="n">
        <v>598.799</v>
      </c>
      <c r="G668" s="8" t="n"/>
      <c r="H668" s="10" t="n">
        <v>579.598</v>
      </c>
      <c r="I668" s="10" t="n">
        <v>19.201</v>
      </c>
      <c r="J668" s="10" t="n">
        <v>14.673</v>
      </c>
      <c r="K668" s="10" t="n">
        <v>4.528</v>
      </c>
      <c r="L668" s="8" t="inlineStr">
        <is>
          <t>三部</t>
        </is>
      </c>
      <c r="M668" s="8" t="inlineStr">
        <is>
          <t>朱军</t>
        </is>
      </c>
      <c r="N668" s="8" t="inlineStr">
        <is>
          <t>2-3年</t>
        </is>
      </c>
      <c r="O668" s="8" t="n"/>
    </row>
    <row r="669">
      <c r="A669" s="5" t="n">
        <v>667</v>
      </c>
      <c r="B669" s="5" t="inlineStr">
        <is>
          <t>西南-四川</t>
        </is>
      </c>
      <c r="C669" s="5" t="inlineStr">
        <is>
          <t>基层自治组织</t>
        </is>
      </c>
      <c r="D669" s="6" t="inlineStr">
        <is>
          <t>HT20260216</t>
        </is>
      </c>
      <c r="E669" s="6" t="inlineStr">
        <is>
          <t>20260203</t>
        </is>
      </c>
      <c r="F669" s="10" t="n">
        <v>858.03</v>
      </c>
      <c r="G669" s="8" t="n"/>
      <c r="H669" s="10" t="n">
        <v>734.789</v>
      </c>
      <c r="I669" s="10" t="n">
        <v>123.241</v>
      </c>
      <c r="J669" s="10" t="n">
        <v>60.641</v>
      </c>
      <c r="K669" s="10" t="n">
        <v>62.6</v>
      </c>
      <c r="L669" s="8" t="inlineStr">
        <is>
          <t>二部</t>
        </is>
      </c>
      <c r="M669" s="8" t="inlineStr">
        <is>
          <t>杨磊</t>
        </is>
      </c>
      <c r="N669" s="8" t="inlineStr">
        <is>
          <t>2-3年</t>
        </is>
      </c>
      <c r="O669" s="8" t="n"/>
    </row>
    <row r="670">
      <c r="A670" s="5" t="n">
        <v>668</v>
      </c>
      <c r="B670" s="5" t="inlineStr">
        <is>
          <t>西南-重庆</t>
        </is>
      </c>
      <c r="C670" s="5" t="inlineStr">
        <is>
          <t>政府机关</t>
        </is>
      </c>
      <c r="D670" s="6" t="inlineStr">
        <is>
          <t>HT20260216</t>
        </is>
      </c>
      <c r="E670" s="6" t="inlineStr">
        <is>
          <t>20260203</t>
        </is>
      </c>
      <c r="F670" s="10" t="n">
        <v>682.322</v>
      </c>
      <c r="G670" s="8" t="n"/>
      <c r="H670" s="10" t="n">
        <v>39.705</v>
      </c>
      <c r="I670" s="10" t="n">
        <v>642.617</v>
      </c>
      <c r="J670" s="10" t="n">
        <v>174.402</v>
      </c>
      <c r="K670" s="10" t="n">
        <v>468.215</v>
      </c>
      <c r="L670" s="8" t="inlineStr">
        <is>
          <t>八部</t>
        </is>
      </c>
      <c r="M670" s="8" t="inlineStr">
        <is>
          <t>彭燕</t>
        </is>
      </c>
      <c r="N670" s="8" t="inlineStr">
        <is>
          <t>1-2年</t>
        </is>
      </c>
      <c r="O670" s="8" t="n"/>
    </row>
    <row r="671">
      <c r="A671" s="5" t="n">
        <v>669</v>
      </c>
      <c r="B671" s="5" t="inlineStr">
        <is>
          <t>华中-湖北</t>
        </is>
      </c>
      <c r="C671" s="5" t="inlineStr">
        <is>
          <t>基层自治组织</t>
        </is>
      </c>
      <c r="D671" s="6" t="inlineStr">
        <is>
          <t>HT20260217</t>
        </is>
      </c>
      <c r="E671" s="6" t="inlineStr">
        <is>
          <t>20260608</t>
        </is>
      </c>
      <c r="F671" s="10" t="n">
        <v>74.754</v>
      </c>
      <c r="G671" s="8" t="n"/>
      <c r="H671" s="10" t="n">
        <v>56.534</v>
      </c>
      <c r="I671" s="10" t="n">
        <v>18.22</v>
      </c>
      <c r="J671" s="10" t="n">
        <v>0.96</v>
      </c>
      <c r="K671" s="10" t="n">
        <v>17.26</v>
      </c>
      <c r="L671" s="8" t="inlineStr">
        <is>
          <t>九部</t>
        </is>
      </c>
      <c r="M671" s="8" t="inlineStr">
        <is>
          <t>丁磊</t>
        </is>
      </c>
      <c r="N671" s="8" t="inlineStr">
        <is>
          <t>1-2年</t>
        </is>
      </c>
      <c r="O671" s="8" t="n"/>
    </row>
    <row r="672">
      <c r="A672" s="5" t="n">
        <v>670</v>
      </c>
      <c r="B672" s="5" t="inlineStr">
        <is>
          <t>华东-安徽</t>
        </is>
      </c>
      <c r="C672" s="5" t="inlineStr">
        <is>
          <t>群团组织</t>
        </is>
      </c>
      <c r="D672" s="6" t="inlineStr">
        <is>
          <t>HT20260218</t>
        </is>
      </c>
      <c r="E672" s="6" t="inlineStr">
        <is>
          <t>20260823</t>
        </is>
      </c>
      <c r="F672" s="10" t="n">
        <v>327.501</v>
      </c>
      <c r="G672" s="8" t="n"/>
      <c r="H672" s="10" t="n">
        <v>144.838</v>
      </c>
      <c r="I672" s="10" t="n">
        <v>182.663</v>
      </c>
      <c r="J672" s="10" t="n">
        <v>6.331</v>
      </c>
      <c r="K672" s="10" t="n">
        <v>176.332</v>
      </c>
      <c r="L672" s="8" t="inlineStr">
        <is>
          <t>三部</t>
        </is>
      </c>
      <c r="M672" s="8" t="inlineStr">
        <is>
          <t>徐涛</t>
        </is>
      </c>
      <c r="N672" s="8" t="inlineStr">
        <is>
          <t>1年以内</t>
        </is>
      </c>
      <c r="O672" s="8" t="n"/>
    </row>
    <row r="673">
      <c r="A673" s="5" t="n">
        <v>671</v>
      </c>
      <c r="B673" s="5" t="inlineStr">
        <is>
          <t>华南-香港</t>
        </is>
      </c>
      <c r="C673" s="5" t="inlineStr">
        <is>
          <t>事业单位</t>
        </is>
      </c>
      <c r="D673" s="6" t="inlineStr">
        <is>
          <t>HT20260218</t>
        </is>
      </c>
      <c r="E673" s="6" t="inlineStr">
        <is>
          <t>20260823</t>
        </is>
      </c>
      <c r="F673" s="10" t="n">
        <v>859.992</v>
      </c>
      <c r="G673" s="8" t="n"/>
      <c r="H673" s="10" t="n">
        <v>396.272</v>
      </c>
      <c r="I673" s="10" t="n">
        <v>463.72</v>
      </c>
      <c r="J673" s="10" t="n">
        <v>256.768</v>
      </c>
      <c r="K673" s="10" t="n">
        <v>206.952</v>
      </c>
      <c r="L673" s="8" t="inlineStr">
        <is>
          <t>一部</t>
        </is>
      </c>
      <c r="M673" s="8" t="inlineStr">
        <is>
          <t>陈静</t>
        </is>
      </c>
      <c r="N673" s="8" t="inlineStr">
        <is>
          <t>2-3年</t>
        </is>
      </c>
      <c r="O673" s="8" t="n"/>
    </row>
    <row r="674">
      <c r="A674" s="5" t="n">
        <v>672</v>
      </c>
      <c r="B674" s="5" t="inlineStr">
        <is>
          <t>西北-青海</t>
        </is>
      </c>
      <c r="C674" s="5" t="inlineStr">
        <is>
          <t>事业单位</t>
        </is>
      </c>
      <c r="D674" s="6" t="inlineStr">
        <is>
          <t>HT20260219</t>
        </is>
      </c>
      <c r="E674" s="6" t="inlineStr">
        <is>
          <t>20260119</t>
        </is>
      </c>
      <c r="F674" s="10" t="n">
        <v>6277.369</v>
      </c>
      <c r="G674" s="8" t="n"/>
      <c r="H674" s="10" t="n">
        <v>4662.536</v>
      </c>
      <c r="I674" s="10" t="n">
        <v>1614.833</v>
      </c>
      <c r="J674" s="10" t="n">
        <v>420.368</v>
      </c>
      <c r="K674" s="10" t="n">
        <v>1194.465</v>
      </c>
      <c r="L674" s="8" t="inlineStr">
        <is>
          <t>九部</t>
        </is>
      </c>
      <c r="M674" s="8" t="inlineStr">
        <is>
          <t>蒋涛</t>
        </is>
      </c>
      <c r="N674" s="8" t="inlineStr">
        <is>
          <t>1-2年</t>
        </is>
      </c>
      <c r="O674" s="8" t="n"/>
    </row>
    <row r="675">
      <c r="A675" s="5" t="n">
        <v>673</v>
      </c>
      <c r="B675" s="5" t="inlineStr">
        <is>
          <t>华北-北京</t>
        </is>
      </c>
      <c r="C675" s="5" t="inlineStr">
        <is>
          <t>基层自治组织</t>
        </is>
      </c>
      <c r="D675" s="6" t="inlineStr">
        <is>
          <t>HT20260220</t>
        </is>
      </c>
      <c r="E675" s="6" t="inlineStr">
        <is>
          <t>20260815</t>
        </is>
      </c>
      <c r="F675" s="10" t="n">
        <v>5535.13</v>
      </c>
      <c r="G675" s="8" t="n"/>
      <c r="H675" s="10" t="n">
        <v>4737.475</v>
      </c>
      <c r="I675" s="10" t="n">
        <v>797.655</v>
      </c>
      <c r="J675" s="10" t="n">
        <v>113.027</v>
      </c>
      <c r="K675" s="10" t="n">
        <v>684.628</v>
      </c>
      <c r="L675" s="8" t="inlineStr">
        <is>
          <t>四部</t>
        </is>
      </c>
      <c r="M675" s="8" t="inlineStr">
        <is>
          <t>高翔</t>
        </is>
      </c>
      <c r="N675" s="8" t="inlineStr">
        <is>
          <t>1年以内</t>
        </is>
      </c>
      <c r="O675" s="8" t="n"/>
    </row>
    <row r="676">
      <c r="A676" s="5" t="n">
        <v>674</v>
      </c>
      <c r="B676" s="5" t="inlineStr">
        <is>
          <t>华南-海南</t>
        </is>
      </c>
      <c r="C676" s="5" t="inlineStr">
        <is>
          <t>基层自治组织</t>
        </is>
      </c>
      <c r="D676" s="6" t="inlineStr">
        <is>
          <t>HT20260221</t>
        </is>
      </c>
      <c r="E676" s="6" t="inlineStr">
        <is>
          <t>20260814</t>
        </is>
      </c>
      <c r="F676" s="10" t="n">
        <v>90.095</v>
      </c>
      <c r="G676" s="8" t="n"/>
      <c r="H676" s="10" t="n">
        <v>31.585</v>
      </c>
      <c r="I676" s="10" t="n">
        <v>58.51</v>
      </c>
      <c r="J676" s="10" t="n">
        <v>16.256</v>
      </c>
      <c r="K676" s="10" t="n">
        <v>42.254</v>
      </c>
      <c r="L676" s="8" t="inlineStr">
        <is>
          <t>二部</t>
        </is>
      </c>
      <c r="M676" s="8" t="inlineStr">
        <is>
          <t>赵敏</t>
        </is>
      </c>
      <c r="N676" s="8" t="inlineStr">
        <is>
          <t>1年以内</t>
        </is>
      </c>
      <c r="O676" s="8" t="n"/>
    </row>
    <row r="677">
      <c r="A677" s="5" t="n">
        <v>675</v>
      </c>
      <c r="B677" s="5" t="inlineStr">
        <is>
          <t>东北-吉林</t>
        </is>
      </c>
      <c r="C677" s="5" t="inlineStr">
        <is>
          <t>政府机关</t>
        </is>
      </c>
      <c r="D677" s="6" t="inlineStr">
        <is>
          <t>HT20260221</t>
        </is>
      </c>
      <c r="E677" s="6" t="inlineStr">
        <is>
          <t>20260814</t>
        </is>
      </c>
      <c r="F677" s="10" t="n">
        <v>164.351</v>
      </c>
      <c r="G677" s="8" t="n"/>
      <c r="H677" s="10" t="n">
        <v>128.921</v>
      </c>
      <c r="I677" s="10" t="n">
        <v>35.43</v>
      </c>
      <c r="J677" s="10" t="n">
        <v>31.949</v>
      </c>
      <c r="K677" s="10" t="n">
        <v>3.481</v>
      </c>
      <c r="L677" s="8" t="inlineStr">
        <is>
          <t>九部</t>
        </is>
      </c>
      <c r="M677" s="8" t="inlineStr">
        <is>
          <t>丁磊</t>
        </is>
      </c>
      <c r="N677" s="8" t="inlineStr">
        <is>
          <t>1-2年</t>
        </is>
      </c>
      <c r="O677" s="8" t="n"/>
    </row>
    <row r="678">
      <c r="A678" s="5" t="n">
        <v>676</v>
      </c>
      <c r="B678" s="5" t="inlineStr">
        <is>
          <t>西南-重庆</t>
        </is>
      </c>
      <c r="C678" s="5" t="inlineStr">
        <is>
          <t>国有企业</t>
        </is>
      </c>
      <c r="D678" s="6" t="inlineStr">
        <is>
          <t>HT20260222</t>
        </is>
      </c>
      <c r="E678" s="6" t="inlineStr">
        <is>
          <t>20260909</t>
        </is>
      </c>
      <c r="F678" s="10" t="n">
        <v>885.471</v>
      </c>
      <c r="G678" s="8" t="n"/>
      <c r="H678" s="10" t="n">
        <v>191.041</v>
      </c>
      <c r="I678" s="10" t="n">
        <v>694.4299999999999</v>
      </c>
      <c r="J678" s="10" t="n">
        <v>220.929</v>
      </c>
      <c r="K678" s="10" t="n">
        <v>473.501</v>
      </c>
      <c r="L678" s="8" t="inlineStr">
        <is>
          <t>五部</t>
        </is>
      </c>
      <c r="M678" s="8" t="inlineStr">
        <is>
          <t>郑浩</t>
        </is>
      </c>
      <c r="N678" s="8" t="inlineStr">
        <is>
          <t>2-3年</t>
        </is>
      </c>
      <c r="O678" s="8" t="n"/>
    </row>
    <row r="679">
      <c r="A679" s="5" t="n">
        <v>677</v>
      </c>
      <c r="B679" s="5" t="inlineStr">
        <is>
          <t>西南-云南</t>
        </is>
      </c>
      <c r="C679" s="5" t="inlineStr">
        <is>
          <t>基层自治组织</t>
        </is>
      </c>
      <c r="D679" s="6" t="inlineStr">
        <is>
          <t>HT20260224</t>
        </is>
      </c>
      <c r="E679" s="6" t="inlineStr">
        <is>
          <t>20260616</t>
        </is>
      </c>
      <c r="F679" s="10" t="n">
        <v>402.114</v>
      </c>
      <c r="G679" s="8" t="n"/>
      <c r="H679" s="10" t="n">
        <v>401.774</v>
      </c>
      <c r="I679" s="10" t="n">
        <v>0.34</v>
      </c>
      <c r="J679" s="10" t="n">
        <v>0.317</v>
      </c>
      <c r="K679" s="10" t="n">
        <v>0.023</v>
      </c>
      <c r="L679" s="8" t="inlineStr">
        <is>
          <t>九部</t>
        </is>
      </c>
      <c r="M679" s="8" t="inlineStr">
        <is>
          <t>蔡明</t>
        </is>
      </c>
      <c r="N679" s="8" t="inlineStr">
        <is>
          <t>2-3年</t>
        </is>
      </c>
      <c r="O679" s="8" t="n"/>
    </row>
    <row r="680">
      <c r="A680" s="5" t="n">
        <v>678</v>
      </c>
      <c r="B680" s="5" t="inlineStr">
        <is>
          <t>西北-陕西</t>
        </is>
      </c>
      <c r="C680" s="5" t="inlineStr">
        <is>
          <t>事业单位</t>
        </is>
      </c>
      <c r="D680" s="6" t="inlineStr">
        <is>
          <t>HT20260224</t>
        </is>
      </c>
      <c r="E680" s="6" t="inlineStr">
        <is>
          <t>20260616</t>
        </is>
      </c>
      <c r="F680" s="10" t="n">
        <v>407.687</v>
      </c>
      <c r="G680" s="8" t="n"/>
      <c r="H680" s="10" t="n">
        <v>397.137</v>
      </c>
      <c r="I680" s="10" t="n">
        <v>10.55</v>
      </c>
      <c r="J680" s="10" t="n">
        <v>10.288</v>
      </c>
      <c r="K680" s="10" t="n">
        <v>0.262</v>
      </c>
      <c r="L680" s="8" t="inlineStr">
        <is>
          <t>八部</t>
        </is>
      </c>
      <c r="M680" s="8" t="inlineStr">
        <is>
          <t>卢俊</t>
        </is>
      </c>
      <c r="N680" s="8" t="inlineStr">
        <is>
          <t>2-3年</t>
        </is>
      </c>
      <c r="O680" s="8" t="n"/>
    </row>
    <row r="681">
      <c r="A681" s="5" t="n">
        <v>679</v>
      </c>
      <c r="B681" s="5" t="inlineStr">
        <is>
          <t>西南-四川</t>
        </is>
      </c>
      <c r="C681" s="5" t="inlineStr">
        <is>
          <t>事业单位</t>
        </is>
      </c>
      <c r="D681" s="6" t="inlineStr">
        <is>
          <t>HT20260226</t>
        </is>
      </c>
      <c r="E681" s="6" t="inlineStr">
        <is>
          <t>20260131</t>
        </is>
      </c>
      <c r="F681" s="10" t="n">
        <v>159.893</v>
      </c>
      <c r="G681" s="8" t="n"/>
      <c r="H681" s="10" t="n">
        <v>62.377</v>
      </c>
      <c r="I681" s="10" t="n">
        <v>97.51600000000001</v>
      </c>
      <c r="J681" s="10" t="n">
        <v>91.38500000000001</v>
      </c>
      <c r="K681" s="10" t="n">
        <v>6.131</v>
      </c>
      <c r="L681" s="8" t="inlineStr">
        <is>
          <t>八部</t>
        </is>
      </c>
      <c r="M681" s="8" t="inlineStr">
        <is>
          <t>彭燕</t>
        </is>
      </c>
      <c r="N681" s="8" t="inlineStr">
        <is>
          <t>1-2年</t>
        </is>
      </c>
      <c r="O681" s="8" t="n"/>
    </row>
    <row r="682">
      <c r="A682" s="5" t="n">
        <v>680</v>
      </c>
      <c r="B682" s="5" t="inlineStr">
        <is>
          <t>华中-湖北</t>
        </is>
      </c>
      <c r="C682" s="5" t="inlineStr">
        <is>
          <t>政府机关</t>
        </is>
      </c>
      <c r="D682" s="6" t="inlineStr">
        <is>
          <t>HT20260227</t>
        </is>
      </c>
      <c r="E682" s="6" t="inlineStr">
        <is>
          <t>20260409</t>
        </is>
      </c>
      <c r="F682" s="10" t="n">
        <v>687.64</v>
      </c>
      <c r="G682" s="8" t="n"/>
      <c r="H682" s="10" t="n">
        <v>268.574</v>
      </c>
      <c r="I682" s="10" t="n">
        <v>419.066</v>
      </c>
      <c r="J682" s="10" t="n">
        <v>128.905</v>
      </c>
      <c r="K682" s="10" t="n">
        <v>290.161</v>
      </c>
      <c r="L682" s="8" t="inlineStr">
        <is>
          <t>三部</t>
        </is>
      </c>
      <c r="M682" s="8" t="inlineStr">
        <is>
          <t>孙艳</t>
        </is>
      </c>
      <c r="N682" s="8" t="inlineStr">
        <is>
          <t>1-2年</t>
        </is>
      </c>
      <c r="O682" s="8" t="n"/>
    </row>
    <row r="683">
      <c r="A683" s="5" t="n">
        <v>681</v>
      </c>
      <c r="B683" s="5" t="inlineStr">
        <is>
          <t>华南-香港</t>
        </is>
      </c>
      <c r="C683" s="5" t="inlineStr">
        <is>
          <t>政府机关</t>
        </is>
      </c>
      <c r="D683" s="6" t="inlineStr">
        <is>
          <t>HT20260227</t>
        </is>
      </c>
      <c r="E683" s="6" t="inlineStr">
        <is>
          <t>20260409</t>
        </is>
      </c>
      <c r="F683" s="10" t="n">
        <v>527.591</v>
      </c>
      <c r="G683" s="8" t="n"/>
      <c r="H683" s="10" t="n">
        <v>288.178</v>
      </c>
      <c r="I683" s="10" t="n">
        <v>239.413</v>
      </c>
      <c r="J683" s="10" t="n">
        <v>5.017</v>
      </c>
      <c r="K683" s="10" t="n">
        <v>234.396</v>
      </c>
      <c r="L683" s="8" t="inlineStr">
        <is>
          <t>四部</t>
        </is>
      </c>
      <c r="M683" s="8" t="inlineStr">
        <is>
          <t>林燕</t>
        </is>
      </c>
      <c r="N683" s="8" t="inlineStr">
        <is>
          <t>1-2年</t>
        </is>
      </c>
      <c r="O683" s="8" t="n"/>
    </row>
    <row r="684">
      <c r="A684" s="5" t="n">
        <v>682</v>
      </c>
      <c r="B684" s="5" t="inlineStr">
        <is>
          <t>华南-广东</t>
        </is>
      </c>
      <c r="C684" s="5" t="inlineStr">
        <is>
          <t>群团组织</t>
        </is>
      </c>
      <c r="D684" s="6" t="inlineStr">
        <is>
          <t>HT20260228</t>
        </is>
      </c>
      <c r="E684" s="6" t="inlineStr">
        <is>
          <t>20260517</t>
        </is>
      </c>
      <c r="F684" s="10" t="n">
        <v>659.11</v>
      </c>
      <c r="G684" s="8" t="n"/>
      <c r="H684" s="10" t="n">
        <v>457.116</v>
      </c>
      <c r="I684" s="10" t="n">
        <v>201.994</v>
      </c>
      <c r="J684" s="10" t="n">
        <v>92.53</v>
      </c>
      <c r="K684" s="10" t="n">
        <v>109.464</v>
      </c>
      <c r="L684" s="8" t="inlineStr">
        <is>
          <t>二部</t>
        </is>
      </c>
      <c r="M684" s="8" t="inlineStr">
        <is>
          <t>周杰</t>
        </is>
      </c>
      <c r="N684" s="8" t="inlineStr">
        <is>
          <t>2-3年</t>
        </is>
      </c>
      <c r="O684" s="8" t="n"/>
    </row>
    <row r="685">
      <c r="A685" s="5" t="n">
        <v>683</v>
      </c>
      <c r="B685" s="5" t="inlineStr">
        <is>
          <t>华北-河北</t>
        </is>
      </c>
      <c r="C685" s="5" t="inlineStr">
        <is>
          <t>监察司法机关</t>
        </is>
      </c>
      <c r="D685" s="6" t="inlineStr">
        <is>
          <t>HT20260228</t>
        </is>
      </c>
      <c r="E685" s="6" t="inlineStr">
        <is>
          <t>20260517</t>
        </is>
      </c>
      <c r="F685" s="10" t="n">
        <v>887.7809999999999</v>
      </c>
      <c r="G685" s="8" t="n"/>
      <c r="H685" s="10" t="n">
        <v>679.9109999999999</v>
      </c>
      <c r="I685" s="10" t="n">
        <v>207.87</v>
      </c>
      <c r="J685" s="10" t="n">
        <v>24.796</v>
      </c>
      <c r="K685" s="10" t="n">
        <v>183.074</v>
      </c>
      <c r="L685" s="8" t="inlineStr">
        <is>
          <t>一部</t>
        </is>
      </c>
      <c r="M685" s="8" t="inlineStr">
        <is>
          <t>陈静</t>
        </is>
      </c>
      <c r="N685" s="8" t="inlineStr">
        <is>
          <t>1年以内</t>
        </is>
      </c>
      <c r="O685" s="8" t="n"/>
    </row>
    <row r="686">
      <c r="A686" s="5" t="n">
        <v>684</v>
      </c>
      <c r="B686" s="5" t="inlineStr">
        <is>
          <t>华南-广东</t>
        </is>
      </c>
      <c r="C686" s="5" t="inlineStr">
        <is>
          <t>人大政协</t>
        </is>
      </c>
      <c r="D686" s="6" t="inlineStr">
        <is>
          <t>HT20260228</t>
        </is>
      </c>
      <c r="E686" s="6" t="inlineStr">
        <is>
          <t>20260517</t>
        </is>
      </c>
      <c r="F686" s="10" t="n">
        <v>936.2190000000001</v>
      </c>
      <c r="G686" s="8" t="n"/>
      <c r="H686" s="10" t="n">
        <v>856.735</v>
      </c>
      <c r="I686" s="10" t="n">
        <v>79.48399999999999</v>
      </c>
      <c r="J686" s="10" t="n">
        <v>27.374</v>
      </c>
      <c r="K686" s="10" t="n">
        <v>52.11</v>
      </c>
      <c r="L686" s="8" t="inlineStr">
        <is>
          <t>四部</t>
        </is>
      </c>
      <c r="M686" s="8" t="inlineStr">
        <is>
          <t>何萍</t>
        </is>
      </c>
      <c r="N686" s="8" t="inlineStr">
        <is>
          <t>1-2年</t>
        </is>
      </c>
      <c r="O686" s="8" t="n"/>
    </row>
    <row r="687">
      <c r="A687" s="5" t="n">
        <v>685</v>
      </c>
      <c r="B687" s="5" t="inlineStr">
        <is>
          <t>华南-广西</t>
        </is>
      </c>
      <c r="C687" s="5" t="inlineStr">
        <is>
          <t>基层自治组织</t>
        </is>
      </c>
      <c r="D687" s="6" t="inlineStr">
        <is>
          <t>HT20260228</t>
        </is>
      </c>
      <c r="E687" s="6" t="inlineStr">
        <is>
          <t>20260517</t>
        </is>
      </c>
      <c r="F687" s="10" t="n">
        <v>383.507</v>
      </c>
      <c r="G687" s="8" t="n"/>
      <c r="H687" s="10" t="n">
        <v>230.211</v>
      </c>
      <c r="I687" s="10" t="n">
        <v>153.296</v>
      </c>
      <c r="J687" s="10" t="n">
        <v>85.867</v>
      </c>
      <c r="K687" s="10" t="n">
        <v>67.429</v>
      </c>
      <c r="L687" s="8" t="inlineStr">
        <is>
          <t>三部</t>
        </is>
      </c>
      <c r="M687" s="8" t="inlineStr">
        <is>
          <t>孙艳</t>
        </is>
      </c>
      <c r="N687" s="8" t="inlineStr">
        <is>
          <t>1-2年</t>
        </is>
      </c>
      <c r="O687" s="8" t="n"/>
    </row>
    <row r="688">
      <c r="A688" s="5" t="n">
        <v>686</v>
      </c>
      <c r="B688" s="5" t="inlineStr">
        <is>
          <t>华东-台湾</t>
        </is>
      </c>
      <c r="C688" s="5" t="inlineStr">
        <is>
          <t>监察司法机关</t>
        </is>
      </c>
      <c r="D688" s="6" t="inlineStr">
        <is>
          <t>HT20260301</t>
        </is>
      </c>
      <c r="E688" s="6" t="inlineStr">
        <is>
          <t>20260907</t>
        </is>
      </c>
      <c r="F688" s="10" t="n">
        <v>23.557</v>
      </c>
      <c r="G688" s="8" t="n"/>
      <c r="H688" s="10" t="n">
        <v>22.122</v>
      </c>
      <c r="I688" s="10" t="n">
        <v>1.435</v>
      </c>
      <c r="J688" s="10" t="n">
        <v>0.8110000000000001</v>
      </c>
      <c r="K688" s="10" t="n">
        <v>0.624</v>
      </c>
      <c r="L688" s="8" t="inlineStr">
        <is>
          <t>一部</t>
        </is>
      </c>
      <c r="M688" s="8" t="inlineStr">
        <is>
          <t>刘洋</t>
        </is>
      </c>
      <c r="N688" s="8" t="inlineStr">
        <is>
          <t>1年以内</t>
        </is>
      </c>
      <c r="O688" s="8" t="n"/>
    </row>
    <row r="689">
      <c r="A689" s="5" t="n">
        <v>687</v>
      </c>
      <c r="B689" s="5" t="inlineStr">
        <is>
          <t>华东-山东</t>
        </is>
      </c>
      <c r="C689" s="5" t="inlineStr">
        <is>
          <t>基层自治组织</t>
        </is>
      </c>
      <c r="D689" s="6" t="inlineStr">
        <is>
          <t>HT20260302</t>
        </is>
      </c>
      <c r="E689" s="6" t="inlineStr">
        <is>
          <t>20260328</t>
        </is>
      </c>
      <c r="F689" s="10" t="n">
        <v>580.528</v>
      </c>
      <c r="G689" s="8" t="n"/>
      <c r="H689" s="10" t="n">
        <v>168.608</v>
      </c>
      <c r="I689" s="10" t="n">
        <v>411.92</v>
      </c>
      <c r="J689" s="10" t="n">
        <v>112.256</v>
      </c>
      <c r="K689" s="10" t="n">
        <v>299.664</v>
      </c>
      <c r="L689" s="8" t="inlineStr">
        <is>
          <t>七部</t>
        </is>
      </c>
      <c r="M689" s="8" t="inlineStr">
        <is>
          <t>邓丽</t>
        </is>
      </c>
      <c r="N689" s="8" t="inlineStr">
        <is>
          <t>2-3年</t>
        </is>
      </c>
      <c r="O689" s="8" t="n"/>
    </row>
    <row r="690">
      <c r="A690" s="5" t="n">
        <v>688</v>
      </c>
      <c r="B690" s="5" t="inlineStr">
        <is>
          <t>东北-吉林</t>
        </is>
      </c>
      <c r="C690" s="5" t="inlineStr">
        <is>
          <t>人大政协</t>
        </is>
      </c>
      <c r="D690" s="6" t="inlineStr">
        <is>
          <t>HT20260302</t>
        </is>
      </c>
      <c r="E690" s="6" t="inlineStr">
        <is>
          <t>20260328</t>
        </is>
      </c>
      <c r="F690" s="10" t="n">
        <v>109.975</v>
      </c>
      <c r="G690" s="8" t="n"/>
      <c r="H690" s="10" t="n">
        <v>16.791</v>
      </c>
      <c r="I690" s="10" t="n">
        <v>93.184</v>
      </c>
      <c r="J690" s="10" t="n">
        <v>50.45</v>
      </c>
      <c r="K690" s="10" t="n">
        <v>42.734</v>
      </c>
      <c r="L690" s="8" t="inlineStr">
        <is>
          <t>十部</t>
        </is>
      </c>
      <c r="M690" s="8" t="inlineStr">
        <is>
          <t>侯敏</t>
        </is>
      </c>
      <c r="N690" s="8" t="inlineStr">
        <is>
          <t>1-2年</t>
        </is>
      </c>
      <c r="O690" s="8" t="n"/>
    </row>
    <row r="691">
      <c r="A691" s="5" t="n">
        <v>689</v>
      </c>
      <c r="B691" s="5" t="inlineStr">
        <is>
          <t>华北-内蒙古</t>
        </is>
      </c>
      <c r="C691" s="5" t="inlineStr">
        <is>
          <t>政府机关</t>
        </is>
      </c>
      <c r="D691" s="6" t="inlineStr">
        <is>
          <t>HT20260303</t>
        </is>
      </c>
      <c r="E691" s="6" t="inlineStr">
        <is>
          <t>20260226</t>
        </is>
      </c>
      <c r="F691" s="10" t="n">
        <v>647.4589999999999</v>
      </c>
      <c r="G691" s="8" t="n"/>
      <c r="H691" s="10" t="n">
        <v>595.197</v>
      </c>
      <c r="I691" s="10" t="n">
        <v>52.262</v>
      </c>
      <c r="J691" s="10" t="n">
        <v>37.601</v>
      </c>
      <c r="K691" s="10" t="n">
        <v>14.661</v>
      </c>
      <c r="L691" s="8" t="inlineStr">
        <is>
          <t>三部</t>
        </is>
      </c>
      <c r="M691" s="8" t="inlineStr">
        <is>
          <t>孙艳</t>
        </is>
      </c>
      <c r="N691" s="8" t="inlineStr">
        <is>
          <t>1-2年</t>
        </is>
      </c>
      <c r="O691" s="8" t="n"/>
    </row>
    <row r="692">
      <c r="A692" s="5" t="n">
        <v>690</v>
      </c>
      <c r="B692" s="5" t="inlineStr">
        <is>
          <t>华东-福建</t>
        </is>
      </c>
      <c r="C692" s="5" t="inlineStr">
        <is>
          <t>党委机关</t>
        </is>
      </c>
      <c r="D692" s="6" t="inlineStr">
        <is>
          <t>HT20260306</t>
        </is>
      </c>
      <c r="E692" s="6" t="inlineStr">
        <is>
          <t>20260622</t>
        </is>
      </c>
      <c r="F692" s="10" t="n">
        <v>965.773</v>
      </c>
      <c r="G692" s="8" t="n"/>
      <c r="H692" s="10" t="n">
        <v>678.349</v>
      </c>
      <c r="I692" s="10" t="n">
        <v>287.424</v>
      </c>
      <c r="J692" s="10" t="n">
        <v>198.133</v>
      </c>
      <c r="K692" s="10" t="n">
        <v>89.291</v>
      </c>
      <c r="L692" s="8" t="inlineStr">
        <is>
          <t>一部</t>
        </is>
      </c>
      <c r="M692" s="8" t="inlineStr">
        <is>
          <t>刘洋</t>
        </is>
      </c>
      <c r="N692" s="8" t="inlineStr">
        <is>
          <t>1年以内</t>
        </is>
      </c>
      <c r="O692" s="8" t="n"/>
    </row>
    <row r="693">
      <c r="A693" s="5" t="n">
        <v>691</v>
      </c>
      <c r="B693" s="5" t="inlineStr">
        <is>
          <t>华东-福建</t>
        </is>
      </c>
      <c r="C693" s="5" t="inlineStr">
        <is>
          <t>人大政协</t>
        </is>
      </c>
      <c r="D693" s="6" t="inlineStr">
        <is>
          <t>HT20260306</t>
        </is>
      </c>
      <c r="E693" s="6" t="inlineStr">
        <is>
          <t>20260622</t>
        </is>
      </c>
      <c r="F693" s="10" t="n">
        <v>309.982</v>
      </c>
      <c r="G693" s="8" t="n"/>
      <c r="H693" s="10" t="n">
        <v>195.682</v>
      </c>
      <c r="I693" s="10" t="n">
        <v>114.3</v>
      </c>
      <c r="J693" s="10" t="n">
        <v>43.28</v>
      </c>
      <c r="K693" s="10" t="n">
        <v>71.02</v>
      </c>
      <c r="L693" s="8" t="inlineStr">
        <is>
          <t>九部</t>
        </is>
      </c>
      <c r="M693" s="8" t="inlineStr">
        <is>
          <t>蔡明</t>
        </is>
      </c>
      <c r="N693" s="8" t="inlineStr">
        <is>
          <t>1年以内</t>
        </is>
      </c>
      <c r="O693" s="8" t="n"/>
    </row>
    <row r="694">
      <c r="A694" s="5" t="n">
        <v>692</v>
      </c>
      <c r="B694" s="5" t="inlineStr">
        <is>
          <t>东北-黑龙江</t>
        </is>
      </c>
      <c r="C694" s="5" t="inlineStr">
        <is>
          <t>事业单位</t>
        </is>
      </c>
      <c r="D694" s="6" t="inlineStr">
        <is>
          <t>HT20260307</t>
        </is>
      </c>
      <c r="E694" s="6" t="inlineStr">
        <is>
          <t>20260413</t>
        </is>
      </c>
      <c r="F694" s="10" t="n">
        <v>75.038</v>
      </c>
      <c r="G694" s="8" t="n"/>
      <c r="H694" s="10" t="n">
        <v>37.044</v>
      </c>
      <c r="I694" s="10" t="n">
        <v>37.994</v>
      </c>
      <c r="J694" s="10" t="n">
        <v>12.599</v>
      </c>
      <c r="K694" s="10" t="n">
        <v>25.395</v>
      </c>
      <c r="L694" s="8" t="inlineStr">
        <is>
          <t>八部</t>
        </is>
      </c>
      <c r="M694" s="8" t="inlineStr">
        <is>
          <t>卢俊</t>
        </is>
      </c>
      <c r="N694" s="8" t="inlineStr">
        <is>
          <t>1-2年</t>
        </is>
      </c>
      <c r="O694" s="8" t="n"/>
    </row>
    <row r="695">
      <c r="A695" s="5" t="n">
        <v>693</v>
      </c>
      <c r="B695" s="5" t="inlineStr">
        <is>
          <t>华北-河北</t>
        </is>
      </c>
      <c r="C695" s="5" t="inlineStr">
        <is>
          <t>监察司法机关</t>
        </is>
      </c>
      <c r="D695" s="6" t="inlineStr">
        <is>
          <t>HT20260309</t>
        </is>
      </c>
      <c r="E695" s="6" t="inlineStr">
        <is>
          <t>20260425</t>
        </is>
      </c>
      <c r="F695" s="10" t="n">
        <v>654.765</v>
      </c>
      <c r="G695" s="8" t="n"/>
      <c r="H695" s="10" t="n">
        <v>51.314</v>
      </c>
      <c r="I695" s="10" t="n">
        <v>603.451</v>
      </c>
      <c r="J695" s="10" t="n">
        <v>288.029</v>
      </c>
      <c r="K695" s="10" t="n">
        <v>315.422</v>
      </c>
      <c r="L695" s="8" t="inlineStr">
        <is>
          <t>二部</t>
        </is>
      </c>
      <c r="M695" s="8" t="inlineStr">
        <is>
          <t>黄强</t>
        </is>
      </c>
      <c r="N695" s="8" t="inlineStr">
        <is>
          <t>2-3年</t>
        </is>
      </c>
      <c r="O695" s="8" t="n"/>
    </row>
    <row r="696">
      <c r="A696" s="5" t="n">
        <v>694</v>
      </c>
      <c r="B696" s="5" t="inlineStr">
        <is>
          <t>东北-黑龙江</t>
        </is>
      </c>
      <c r="C696" s="5" t="inlineStr">
        <is>
          <t>监察司法机关</t>
        </is>
      </c>
      <c r="D696" s="6" t="inlineStr">
        <is>
          <t>HT20260309</t>
        </is>
      </c>
      <c r="E696" s="6" t="inlineStr">
        <is>
          <t>20260425</t>
        </is>
      </c>
      <c r="F696" s="10" t="n">
        <v>612.494</v>
      </c>
      <c r="G696" s="8" t="n"/>
      <c r="H696" s="10" t="n">
        <v>86.179</v>
      </c>
      <c r="I696" s="10" t="n">
        <v>526.3150000000001</v>
      </c>
      <c r="J696" s="10" t="n">
        <v>14.952</v>
      </c>
      <c r="K696" s="10" t="n">
        <v>511.363</v>
      </c>
      <c r="L696" s="8" t="inlineStr">
        <is>
          <t>六部</t>
        </is>
      </c>
      <c r="M696" s="8" t="inlineStr">
        <is>
          <t>董辉</t>
        </is>
      </c>
      <c r="N696" s="8" t="inlineStr">
        <is>
          <t>1-2年</t>
        </is>
      </c>
      <c r="O696" s="8" t="n"/>
    </row>
    <row r="697">
      <c r="A697" s="5" t="n">
        <v>695</v>
      </c>
      <c r="B697" s="5" t="inlineStr">
        <is>
          <t>华东-福建</t>
        </is>
      </c>
      <c r="C697" s="5" t="inlineStr">
        <is>
          <t>事业单位</t>
        </is>
      </c>
      <c r="D697" s="6" t="inlineStr">
        <is>
          <t>HT20260309</t>
        </is>
      </c>
      <c r="E697" s="6" t="inlineStr">
        <is>
          <t>20260425</t>
        </is>
      </c>
      <c r="F697" s="10" t="n">
        <v>474.223</v>
      </c>
      <c r="G697" s="8" t="n"/>
      <c r="H697" s="10" t="n">
        <v>285.94</v>
      </c>
      <c r="I697" s="10" t="n">
        <v>188.283</v>
      </c>
      <c r="J697" s="10" t="n">
        <v>95.465</v>
      </c>
      <c r="K697" s="10" t="n">
        <v>92.818</v>
      </c>
      <c r="L697" s="8" t="inlineStr">
        <is>
          <t>五部</t>
        </is>
      </c>
      <c r="M697" s="8" t="inlineStr">
        <is>
          <t>宋佳</t>
        </is>
      </c>
      <c r="N697" s="8" t="inlineStr">
        <is>
          <t>2-3年</t>
        </is>
      </c>
      <c r="O697" s="8" t="n"/>
    </row>
    <row r="698">
      <c r="A698" s="5" t="n">
        <v>696</v>
      </c>
      <c r="B698" s="5" t="inlineStr">
        <is>
          <t>华南-海南</t>
        </is>
      </c>
      <c r="C698" s="5" t="inlineStr">
        <is>
          <t>党委机关</t>
        </is>
      </c>
      <c r="D698" s="6" t="inlineStr">
        <is>
          <t>HT20260309</t>
        </is>
      </c>
      <c r="E698" s="6" t="inlineStr">
        <is>
          <t>20260425</t>
        </is>
      </c>
      <c r="F698" s="10" t="n">
        <v>636.99</v>
      </c>
      <c r="G698" s="8" t="n"/>
      <c r="H698" s="10" t="n">
        <v>213.798</v>
      </c>
      <c r="I698" s="10" t="n">
        <v>423.192</v>
      </c>
      <c r="J698" s="10" t="n">
        <v>223.142</v>
      </c>
      <c r="K698" s="10" t="n">
        <v>200.05</v>
      </c>
      <c r="L698" s="8" t="inlineStr">
        <is>
          <t>二部</t>
        </is>
      </c>
      <c r="M698" s="8" t="inlineStr">
        <is>
          <t>杨磊</t>
        </is>
      </c>
      <c r="N698" s="8" t="inlineStr">
        <is>
          <t>1-2年</t>
        </is>
      </c>
      <c r="O698" s="8" t="n"/>
    </row>
    <row r="699">
      <c r="A699" s="5" t="n">
        <v>697</v>
      </c>
      <c r="B699" s="5" t="inlineStr">
        <is>
          <t>华东-山东</t>
        </is>
      </c>
      <c r="C699" s="5" t="inlineStr">
        <is>
          <t>人大政协</t>
        </is>
      </c>
      <c r="D699" s="6" t="inlineStr">
        <is>
          <t>HT20260311</t>
        </is>
      </c>
      <c r="E699" s="6" t="inlineStr">
        <is>
          <t>20260913</t>
        </is>
      </c>
      <c r="F699" s="10" t="n">
        <v>475.28</v>
      </c>
      <c r="G699" s="8" t="n"/>
      <c r="H699" s="10" t="n">
        <v>329.831</v>
      </c>
      <c r="I699" s="10" t="n">
        <v>145.449</v>
      </c>
      <c r="J699" s="10" t="n">
        <v>60.442</v>
      </c>
      <c r="K699" s="10" t="n">
        <v>85.00700000000001</v>
      </c>
      <c r="L699" s="8" t="inlineStr">
        <is>
          <t>六部</t>
        </is>
      </c>
      <c r="M699" s="8" t="inlineStr">
        <is>
          <t>董辉</t>
        </is>
      </c>
      <c r="N699" s="8" t="inlineStr">
        <is>
          <t>1-2年</t>
        </is>
      </c>
      <c r="O699" s="8" t="n"/>
    </row>
    <row r="700">
      <c r="A700" s="5" t="n">
        <v>698</v>
      </c>
      <c r="B700" s="5" t="inlineStr">
        <is>
          <t>西北-陕西</t>
        </is>
      </c>
      <c r="C700" s="5" t="inlineStr">
        <is>
          <t>国有企业</t>
        </is>
      </c>
      <c r="D700" s="6" t="inlineStr">
        <is>
          <t>HT20260311</t>
        </is>
      </c>
      <c r="E700" s="6" t="inlineStr">
        <is>
          <t>20260913</t>
        </is>
      </c>
      <c r="F700" s="10" t="n">
        <v>3598.062</v>
      </c>
      <c r="G700" s="8" t="n"/>
      <c r="H700" s="10" t="n">
        <v>2014.597</v>
      </c>
      <c r="I700" s="10" t="n">
        <v>1583.465</v>
      </c>
      <c r="J700" s="10" t="n">
        <v>352.399</v>
      </c>
      <c r="K700" s="10" t="n">
        <v>1231.066</v>
      </c>
      <c r="L700" s="8" t="inlineStr">
        <is>
          <t>二部</t>
        </is>
      </c>
      <c r="M700" s="8" t="inlineStr">
        <is>
          <t>吴丽</t>
        </is>
      </c>
      <c r="N700" s="8" t="inlineStr">
        <is>
          <t>1-2年</t>
        </is>
      </c>
      <c r="O700" s="8" t="n"/>
    </row>
    <row r="701">
      <c r="A701" s="5" t="n">
        <v>699</v>
      </c>
      <c r="B701" s="5" t="inlineStr">
        <is>
          <t>西北-青海</t>
        </is>
      </c>
      <c r="C701" s="5" t="inlineStr">
        <is>
          <t>国有企业</t>
        </is>
      </c>
      <c r="D701" s="6" t="inlineStr">
        <is>
          <t>HT20260312</t>
        </is>
      </c>
      <c r="E701" s="6" t="inlineStr">
        <is>
          <t>20260621</t>
        </is>
      </c>
      <c r="F701" s="10" t="n">
        <v>517.431</v>
      </c>
      <c r="G701" s="8" t="n"/>
      <c r="H701" s="10" t="n">
        <v>358.195</v>
      </c>
      <c r="I701" s="10" t="n">
        <v>159.236</v>
      </c>
      <c r="J701" s="10" t="n">
        <v>130.183</v>
      </c>
      <c r="K701" s="10" t="n">
        <v>29.053</v>
      </c>
      <c r="L701" s="8" t="inlineStr">
        <is>
          <t>十部</t>
        </is>
      </c>
      <c r="M701" s="8" t="inlineStr">
        <is>
          <t>段勇</t>
        </is>
      </c>
      <c r="N701" s="8" t="inlineStr">
        <is>
          <t>2-3年</t>
        </is>
      </c>
      <c r="O701" s="8" t="n"/>
    </row>
    <row r="702">
      <c r="A702" s="5" t="n">
        <v>700</v>
      </c>
      <c r="B702" s="5" t="inlineStr">
        <is>
          <t>华北-天津</t>
        </is>
      </c>
      <c r="C702" s="5" t="inlineStr">
        <is>
          <t>党委机关</t>
        </is>
      </c>
      <c r="D702" s="6" t="inlineStr">
        <is>
          <t>HT20260312</t>
        </is>
      </c>
      <c r="E702" s="6" t="inlineStr">
        <is>
          <t>20260621</t>
        </is>
      </c>
      <c r="F702" s="10" t="n">
        <v>2187.77</v>
      </c>
      <c r="G702" s="8" t="n"/>
      <c r="H702" s="10" t="n">
        <v>606.918</v>
      </c>
      <c r="I702" s="10" t="n">
        <v>1580.852</v>
      </c>
      <c r="J702" s="10" t="n">
        <v>431.095</v>
      </c>
      <c r="K702" s="10" t="n">
        <v>1149.757</v>
      </c>
      <c r="L702" s="8" t="inlineStr">
        <is>
          <t>七部</t>
        </is>
      </c>
      <c r="M702" s="8" t="inlineStr">
        <is>
          <t>袁博</t>
        </is>
      </c>
      <c r="N702" s="8" t="inlineStr">
        <is>
          <t>2-3年</t>
        </is>
      </c>
      <c r="O702" s="8" t="n"/>
    </row>
    <row r="703">
      <c r="A703" s="5" t="n">
        <v>701</v>
      </c>
      <c r="B703" s="5" t="inlineStr">
        <is>
          <t>西南-重庆</t>
        </is>
      </c>
      <c r="C703" s="5" t="inlineStr">
        <is>
          <t>人大政协</t>
        </is>
      </c>
      <c r="D703" s="6" t="inlineStr">
        <is>
          <t>HT20260313</t>
        </is>
      </c>
      <c r="E703" s="6" t="inlineStr">
        <is>
          <t>20260111</t>
        </is>
      </c>
      <c r="F703" s="10" t="n">
        <v>259.188</v>
      </c>
      <c r="G703" s="8" t="n"/>
      <c r="H703" s="10" t="n">
        <v>38.278</v>
      </c>
      <c r="I703" s="10" t="n">
        <v>220.91</v>
      </c>
      <c r="J703" s="10" t="n">
        <v>48.412</v>
      </c>
      <c r="K703" s="10" t="n">
        <v>172.498</v>
      </c>
      <c r="L703" s="8" t="inlineStr">
        <is>
          <t>五部</t>
        </is>
      </c>
      <c r="M703" s="8" t="inlineStr">
        <is>
          <t>谢峰</t>
        </is>
      </c>
      <c r="N703" s="8" t="inlineStr">
        <is>
          <t>1-2年</t>
        </is>
      </c>
      <c r="O703" s="8" t="n"/>
    </row>
    <row r="704">
      <c r="A704" s="5" t="n">
        <v>702</v>
      </c>
      <c r="B704" s="5" t="inlineStr">
        <is>
          <t>华北-河北</t>
        </is>
      </c>
      <c r="C704" s="5" t="inlineStr">
        <is>
          <t>政府机关</t>
        </is>
      </c>
      <c r="D704" s="6" t="inlineStr">
        <is>
          <t>HT20260315</t>
        </is>
      </c>
      <c r="E704" s="6" t="inlineStr">
        <is>
          <t>20260902</t>
        </is>
      </c>
      <c r="F704" s="10" t="n">
        <v>118.212</v>
      </c>
      <c r="G704" s="8" t="n"/>
      <c r="H704" s="10" t="n">
        <v>17.708</v>
      </c>
      <c r="I704" s="10" t="n">
        <v>100.504</v>
      </c>
      <c r="J704" s="10" t="n">
        <v>47.071</v>
      </c>
      <c r="K704" s="10" t="n">
        <v>53.433</v>
      </c>
      <c r="L704" s="8" t="inlineStr">
        <is>
          <t>五部</t>
        </is>
      </c>
      <c r="M704" s="8" t="inlineStr">
        <is>
          <t>宋佳</t>
        </is>
      </c>
      <c r="N704" s="8" t="inlineStr">
        <is>
          <t>1年以内</t>
        </is>
      </c>
      <c r="O704" s="8" t="n"/>
    </row>
    <row r="705">
      <c r="A705" s="5" t="n">
        <v>703</v>
      </c>
      <c r="B705" s="5" t="inlineStr">
        <is>
          <t>西南-重庆</t>
        </is>
      </c>
      <c r="C705" s="5" t="inlineStr">
        <is>
          <t>监察司法机关</t>
        </is>
      </c>
      <c r="D705" s="6" t="inlineStr">
        <is>
          <t>HT20260315</t>
        </is>
      </c>
      <c r="E705" s="6" t="inlineStr">
        <is>
          <t>20260902</t>
        </is>
      </c>
      <c r="F705" s="10" t="n">
        <v>5689.912</v>
      </c>
      <c r="G705" s="8" t="n"/>
      <c r="H705" s="10" t="n">
        <v>1027.778</v>
      </c>
      <c r="I705" s="10" t="n">
        <v>4662.134</v>
      </c>
      <c r="J705" s="10" t="n">
        <v>4334.673</v>
      </c>
      <c r="K705" s="10" t="n">
        <v>327.461</v>
      </c>
      <c r="L705" s="8" t="inlineStr">
        <is>
          <t>一部</t>
        </is>
      </c>
      <c r="M705" s="8" t="inlineStr">
        <is>
          <t>王芳</t>
        </is>
      </c>
      <c r="N705" s="8" t="inlineStr">
        <is>
          <t>2-3年</t>
        </is>
      </c>
      <c r="O705" s="8" t="n"/>
    </row>
    <row r="706">
      <c r="A706" s="5" t="n">
        <v>704</v>
      </c>
      <c r="B706" s="5" t="inlineStr">
        <is>
          <t>西南-云南</t>
        </is>
      </c>
      <c r="C706" s="5" t="inlineStr">
        <is>
          <t>群团组织</t>
        </is>
      </c>
      <c r="D706" s="6" t="inlineStr">
        <is>
          <t>HT20260315</t>
        </is>
      </c>
      <c r="E706" s="6" t="inlineStr">
        <is>
          <t>20260902</t>
        </is>
      </c>
      <c r="F706" s="10" t="n">
        <v>978.8390000000001</v>
      </c>
      <c r="G706" s="8" t="n"/>
      <c r="H706" s="10" t="n">
        <v>668.3049999999999</v>
      </c>
      <c r="I706" s="10" t="n">
        <v>310.534</v>
      </c>
      <c r="J706" s="10" t="n">
        <v>68.21599999999999</v>
      </c>
      <c r="K706" s="10" t="n">
        <v>242.318</v>
      </c>
      <c r="L706" s="8" t="inlineStr">
        <is>
          <t>八部</t>
        </is>
      </c>
      <c r="M706" s="8" t="inlineStr">
        <is>
          <t>曾辉</t>
        </is>
      </c>
      <c r="N706" s="8" t="inlineStr">
        <is>
          <t>1年以内</t>
        </is>
      </c>
      <c r="O706" s="8" t="n"/>
    </row>
    <row r="707">
      <c r="A707" s="5" t="n">
        <v>705</v>
      </c>
      <c r="B707" s="5" t="inlineStr">
        <is>
          <t>华南-广西</t>
        </is>
      </c>
      <c r="C707" s="5" t="inlineStr">
        <is>
          <t>国有企业</t>
        </is>
      </c>
      <c r="D707" s="6" t="inlineStr">
        <is>
          <t>HT20260315</t>
        </is>
      </c>
      <c r="E707" s="6" t="inlineStr">
        <is>
          <t>20260902</t>
        </is>
      </c>
      <c r="F707" s="10" t="n">
        <v>55.716</v>
      </c>
      <c r="G707" s="8" t="n"/>
      <c r="H707" s="10" t="n">
        <v>1.004</v>
      </c>
      <c r="I707" s="10" t="n">
        <v>54.712</v>
      </c>
      <c r="J707" s="10" t="n">
        <v>39.582</v>
      </c>
      <c r="K707" s="10" t="n">
        <v>15.13</v>
      </c>
      <c r="L707" s="8" t="inlineStr">
        <is>
          <t>四部</t>
        </is>
      </c>
      <c r="M707" s="8" t="inlineStr">
        <is>
          <t>林燕</t>
        </is>
      </c>
      <c r="N707" s="8" t="inlineStr">
        <is>
          <t>2-3年</t>
        </is>
      </c>
      <c r="O707" s="8" t="n"/>
    </row>
    <row r="708">
      <c r="A708" s="5" t="n">
        <v>706</v>
      </c>
      <c r="B708" s="5" t="inlineStr">
        <is>
          <t>西南-云南</t>
        </is>
      </c>
      <c r="C708" s="5" t="inlineStr">
        <is>
          <t>基层自治组织</t>
        </is>
      </c>
      <c r="D708" s="6" t="inlineStr">
        <is>
          <t>HT20260315</t>
        </is>
      </c>
      <c r="E708" s="6" t="inlineStr">
        <is>
          <t>20260902</t>
        </is>
      </c>
      <c r="F708" s="10" t="n">
        <v>761.417</v>
      </c>
      <c r="G708" s="8" t="n"/>
      <c r="H708" s="10" t="n">
        <v>8.893000000000001</v>
      </c>
      <c r="I708" s="10" t="n">
        <v>752.524</v>
      </c>
      <c r="J708" s="10" t="n">
        <v>711.211</v>
      </c>
      <c r="K708" s="10" t="n">
        <v>41.313</v>
      </c>
      <c r="L708" s="8" t="inlineStr">
        <is>
          <t>二部</t>
        </is>
      </c>
      <c r="M708" s="8" t="inlineStr">
        <is>
          <t>吴丽</t>
        </is>
      </c>
      <c r="N708" s="8" t="inlineStr">
        <is>
          <t>1-2年</t>
        </is>
      </c>
      <c r="O708" s="8" t="n"/>
    </row>
    <row r="709">
      <c r="A709" s="5" t="n">
        <v>707</v>
      </c>
      <c r="B709" s="5" t="inlineStr">
        <is>
          <t>华东-江西</t>
        </is>
      </c>
      <c r="C709" s="5" t="inlineStr">
        <is>
          <t>群团组织</t>
        </is>
      </c>
      <c r="D709" s="6" t="inlineStr">
        <is>
          <t>HT20260315</t>
        </is>
      </c>
      <c r="E709" s="6" t="inlineStr">
        <is>
          <t>20260902</t>
        </is>
      </c>
      <c r="F709" s="10" t="n">
        <v>863.7140000000001</v>
      </c>
      <c r="G709" s="8" t="n"/>
      <c r="H709" s="10" t="n">
        <v>486.382</v>
      </c>
      <c r="I709" s="10" t="n">
        <v>377.332</v>
      </c>
      <c r="J709" s="10" t="n">
        <v>372.406</v>
      </c>
      <c r="K709" s="10" t="n">
        <v>4.926</v>
      </c>
      <c r="L709" s="8" t="inlineStr">
        <is>
          <t>五部</t>
        </is>
      </c>
      <c r="M709" s="8" t="inlineStr">
        <is>
          <t>宋佳</t>
        </is>
      </c>
      <c r="N709" s="8" t="inlineStr">
        <is>
          <t>1年以内</t>
        </is>
      </c>
      <c r="O709" s="8" t="n"/>
    </row>
    <row r="710">
      <c r="A710" s="5" t="n">
        <v>708</v>
      </c>
      <c r="B710" s="5" t="inlineStr">
        <is>
          <t>华北-内蒙古</t>
        </is>
      </c>
      <c r="C710" s="5" t="inlineStr">
        <is>
          <t>事业单位</t>
        </is>
      </c>
      <c r="D710" s="6" t="inlineStr">
        <is>
          <t>HT20260315</t>
        </is>
      </c>
      <c r="E710" s="6" t="inlineStr">
        <is>
          <t>20260902</t>
        </is>
      </c>
      <c r="F710" s="10" t="n">
        <v>239.47</v>
      </c>
      <c r="G710" s="8" t="n"/>
      <c r="H710" s="10" t="n">
        <v>205.873</v>
      </c>
      <c r="I710" s="10" t="n">
        <v>33.597</v>
      </c>
      <c r="J710" s="10" t="n">
        <v>14.588</v>
      </c>
      <c r="K710" s="10" t="n">
        <v>19.009</v>
      </c>
      <c r="L710" s="8" t="inlineStr">
        <is>
          <t>二部</t>
        </is>
      </c>
      <c r="M710" s="8" t="inlineStr">
        <is>
          <t>黄强</t>
        </is>
      </c>
      <c r="N710" s="8" t="inlineStr">
        <is>
          <t>1年以内</t>
        </is>
      </c>
      <c r="O710" s="8" t="n"/>
    </row>
    <row r="711">
      <c r="A711" s="5" t="n">
        <v>709</v>
      </c>
      <c r="B711" s="5" t="inlineStr">
        <is>
          <t>西南-云南</t>
        </is>
      </c>
      <c r="C711" s="5" t="inlineStr">
        <is>
          <t>监察司法机关</t>
        </is>
      </c>
      <c r="D711" s="6" t="inlineStr">
        <is>
          <t>HT20260315</t>
        </is>
      </c>
      <c r="E711" s="6" t="inlineStr">
        <is>
          <t>20260902</t>
        </is>
      </c>
      <c r="F711" s="10" t="n">
        <v>951.511</v>
      </c>
      <c r="G711" s="8" t="n"/>
      <c r="H711" s="10" t="n">
        <v>766.6609999999999</v>
      </c>
      <c r="I711" s="10" t="n">
        <v>184.85</v>
      </c>
      <c r="J711" s="10" t="n">
        <v>146.113</v>
      </c>
      <c r="K711" s="10" t="n">
        <v>38.737</v>
      </c>
      <c r="L711" s="8" t="inlineStr">
        <is>
          <t>四部</t>
        </is>
      </c>
      <c r="M711" s="8" t="inlineStr">
        <is>
          <t>高翔</t>
        </is>
      </c>
      <c r="N711" s="8" t="inlineStr">
        <is>
          <t>1年以内</t>
        </is>
      </c>
      <c r="O711" s="8" t="n"/>
    </row>
    <row r="712">
      <c r="A712" s="5" t="n">
        <v>710</v>
      </c>
      <c r="B712" s="5" t="inlineStr">
        <is>
          <t>东北-吉林</t>
        </is>
      </c>
      <c r="C712" s="5" t="inlineStr">
        <is>
          <t>国有企业</t>
        </is>
      </c>
      <c r="D712" s="6" t="inlineStr">
        <is>
          <t>HT20260316</t>
        </is>
      </c>
      <c r="E712" s="6" t="inlineStr">
        <is>
          <t>20260823</t>
        </is>
      </c>
      <c r="F712" s="10" t="n">
        <v>785.246</v>
      </c>
      <c r="G712" s="8" t="n"/>
      <c r="H712" s="10" t="n">
        <v>650.701</v>
      </c>
      <c r="I712" s="10" t="n">
        <v>134.545</v>
      </c>
      <c r="J712" s="10" t="n">
        <v>103.852</v>
      </c>
      <c r="K712" s="10" t="n">
        <v>30.693</v>
      </c>
      <c r="L712" s="8" t="inlineStr">
        <is>
          <t>六部</t>
        </is>
      </c>
      <c r="M712" s="8" t="inlineStr">
        <is>
          <t>冯倩</t>
        </is>
      </c>
      <c r="N712" s="8" t="inlineStr">
        <is>
          <t>2-3年</t>
        </is>
      </c>
      <c r="O712" s="8" t="n"/>
    </row>
    <row r="713">
      <c r="A713" s="5" t="n">
        <v>711</v>
      </c>
      <c r="B713" s="5" t="inlineStr">
        <is>
          <t>华中-湖北</t>
        </is>
      </c>
      <c r="C713" s="5" t="inlineStr">
        <is>
          <t>监察司法机关</t>
        </is>
      </c>
      <c r="D713" s="6" t="inlineStr">
        <is>
          <t>HT20260318</t>
        </is>
      </c>
      <c r="E713" s="6" t="inlineStr">
        <is>
          <t>20260722</t>
        </is>
      </c>
      <c r="F713" s="10" t="n">
        <v>149.523</v>
      </c>
      <c r="G713" s="8" t="n"/>
      <c r="H713" s="10" t="n">
        <v>29.563</v>
      </c>
      <c r="I713" s="10" t="n">
        <v>119.96</v>
      </c>
      <c r="J713" s="10" t="n">
        <v>90.23</v>
      </c>
      <c r="K713" s="10" t="n">
        <v>29.73</v>
      </c>
      <c r="L713" s="8" t="inlineStr">
        <is>
          <t>一部</t>
        </is>
      </c>
      <c r="M713" s="8" t="inlineStr">
        <is>
          <t>王芳</t>
        </is>
      </c>
      <c r="N713" s="8" t="inlineStr">
        <is>
          <t>2-3年</t>
        </is>
      </c>
      <c r="O713" s="8" t="n"/>
    </row>
    <row r="714">
      <c r="A714" s="5" t="n">
        <v>712</v>
      </c>
      <c r="B714" s="5" t="inlineStr">
        <is>
          <t>西北-陕西</t>
        </is>
      </c>
      <c r="C714" s="5" t="inlineStr">
        <is>
          <t>党委机关</t>
        </is>
      </c>
      <c r="D714" s="6" t="inlineStr">
        <is>
          <t>HT20260319</t>
        </is>
      </c>
      <c r="E714" s="6" t="inlineStr">
        <is>
          <t>20260816</t>
        </is>
      </c>
      <c r="F714" s="10" t="n">
        <v>2096.672</v>
      </c>
      <c r="G714" s="8" t="n"/>
      <c r="H714" s="10" t="n">
        <v>406.773</v>
      </c>
      <c r="I714" s="10" t="n">
        <v>1689.899</v>
      </c>
      <c r="J714" s="10" t="n">
        <v>680.684</v>
      </c>
      <c r="K714" s="10" t="n">
        <v>1009.215</v>
      </c>
      <c r="L714" s="8" t="inlineStr">
        <is>
          <t>三部</t>
        </is>
      </c>
      <c r="M714" s="8" t="inlineStr">
        <is>
          <t>徐涛</t>
        </is>
      </c>
      <c r="N714" s="8" t="inlineStr">
        <is>
          <t>1年以内</t>
        </is>
      </c>
      <c r="O714" s="8" t="n"/>
    </row>
    <row r="715">
      <c r="A715" s="5" t="n">
        <v>713</v>
      </c>
      <c r="B715" s="5" t="inlineStr">
        <is>
          <t>华南-香港</t>
        </is>
      </c>
      <c r="C715" s="5" t="inlineStr">
        <is>
          <t>事业单位</t>
        </is>
      </c>
      <c r="D715" s="6" t="inlineStr">
        <is>
          <t>HT20260320</t>
        </is>
      </c>
      <c r="E715" s="6" t="inlineStr">
        <is>
          <t>20260124</t>
        </is>
      </c>
      <c r="F715" s="10" t="n">
        <v>61.332</v>
      </c>
      <c r="G715" s="8" t="n"/>
      <c r="H715" s="10" t="n">
        <v>17.413</v>
      </c>
      <c r="I715" s="10" t="n">
        <v>43.919</v>
      </c>
      <c r="J715" s="10" t="n">
        <v>9.928000000000001</v>
      </c>
      <c r="K715" s="10" t="n">
        <v>33.991</v>
      </c>
      <c r="L715" s="8" t="inlineStr">
        <is>
          <t>九部</t>
        </is>
      </c>
      <c r="M715" s="8" t="inlineStr">
        <is>
          <t>丁磊</t>
        </is>
      </c>
      <c r="N715" s="8" t="inlineStr">
        <is>
          <t>1年以内</t>
        </is>
      </c>
      <c r="O715" s="8" t="n"/>
    </row>
    <row r="716">
      <c r="A716" s="5" t="n">
        <v>714</v>
      </c>
      <c r="B716" s="5" t="inlineStr">
        <is>
          <t>华北-北京</t>
        </is>
      </c>
      <c r="C716" s="5" t="inlineStr">
        <is>
          <t>事业单位</t>
        </is>
      </c>
      <c r="D716" s="6" t="inlineStr">
        <is>
          <t>HT20260321</t>
        </is>
      </c>
      <c r="E716" s="6" t="inlineStr">
        <is>
          <t>20260309</t>
        </is>
      </c>
      <c r="F716" s="10" t="n">
        <v>534.304</v>
      </c>
      <c r="G716" s="8" t="n"/>
      <c r="H716" s="10" t="n">
        <v>483.474</v>
      </c>
      <c r="I716" s="10" t="n">
        <v>50.83</v>
      </c>
      <c r="J716" s="10" t="n">
        <v>39.913</v>
      </c>
      <c r="K716" s="10" t="n">
        <v>10.917</v>
      </c>
      <c r="L716" s="8" t="inlineStr">
        <is>
          <t>一部</t>
        </is>
      </c>
      <c r="M716" s="8" t="inlineStr">
        <is>
          <t>陈静</t>
        </is>
      </c>
      <c r="N716" s="8" t="inlineStr">
        <is>
          <t>1年以内</t>
        </is>
      </c>
      <c r="O716" s="8" t="n"/>
    </row>
    <row r="717">
      <c r="A717" s="5" t="n">
        <v>715</v>
      </c>
      <c r="B717" s="5" t="inlineStr">
        <is>
          <t>华东-上海</t>
        </is>
      </c>
      <c r="C717" s="5" t="inlineStr">
        <is>
          <t>国有企业</t>
        </is>
      </c>
      <c r="D717" s="6" t="inlineStr">
        <is>
          <t>HT20260322</t>
        </is>
      </c>
      <c r="E717" s="6" t="inlineStr">
        <is>
          <t>20260614</t>
        </is>
      </c>
      <c r="F717" s="10" t="n">
        <v>482.32</v>
      </c>
      <c r="G717" s="8" t="n"/>
      <c r="H717" s="10" t="n">
        <v>249.188</v>
      </c>
      <c r="I717" s="10" t="n">
        <v>233.132</v>
      </c>
      <c r="J717" s="10" t="n">
        <v>196.295</v>
      </c>
      <c r="K717" s="10" t="n">
        <v>36.837</v>
      </c>
      <c r="L717" s="8" t="inlineStr">
        <is>
          <t>七部</t>
        </is>
      </c>
      <c r="M717" s="8" t="inlineStr">
        <is>
          <t>许涛</t>
        </is>
      </c>
      <c r="N717" s="8" t="inlineStr">
        <is>
          <t>1年以内</t>
        </is>
      </c>
      <c r="O717" s="8" t="n"/>
    </row>
    <row r="718">
      <c r="A718" s="5" t="n">
        <v>716</v>
      </c>
      <c r="B718" s="5" t="inlineStr">
        <is>
          <t>西南-西藏</t>
        </is>
      </c>
      <c r="C718" s="5" t="inlineStr">
        <is>
          <t>党委机关</t>
        </is>
      </c>
      <c r="D718" s="6" t="inlineStr">
        <is>
          <t>HT20260322</t>
        </is>
      </c>
      <c r="E718" s="6" t="inlineStr">
        <is>
          <t>20260614</t>
        </is>
      </c>
      <c r="F718" s="10" t="n">
        <v>654.104</v>
      </c>
      <c r="G718" s="8" t="n"/>
      <c r="H718" s="10" t="n">
        <v>65.166</v>
      </c>
      <c r="I718" s="10" t="n">
        <v>588.938</v>
      </c>
      <c r="J718" s="10" t="n">
        <v>579.1799999999999</v>
      </c>
      <c r="K718" s="10" t="n">
        <v>9.757999999999999</v>
      </c>
      <c r="L718" s="8" t="inlineStr">
        <is>
          <t>二部</t>
        </is>
      </c>
      <c r="M718" s="8" t="inlineStr">
        <is>
          <t>赵敏</t>
        </is>
      </c>
      <c r="N718" s="8" t="inlineStr">
        <is>
          <t>2-3年</t>
        </is>
      </c>
      <c r="O718" s="8" t="n"/>
    </row>
    <row r="719">
      <c r="A719" s="5" t="n">
        <v>717</v>
      </c>
      <c r="B719" s="5" t="inlineStr">
        <is>
          <t>华北-天津</t>
        </is>
      </c>
      <c r="C719" s="5" t="inlineStr">
        <is>
          <t>政府机关</t>
        </is>
      </c>
      <c r="D719" s="6" t="inlineStr">
        <is>
          <t>HT20260322</t>
        </is>
      </c>
      <c r="E719" s="6" t="inlineStr">
        <is>
          <t>20260614</t>
        </is>
      </c>
      <c r="F719" s="10" t="n">
        <v>106.309</v>
      </c>
      <c r="G719" s="8" t="n"/>
      <c r="H719" s="10" t="n">
        <v>27.243</v>
      </c>
      <c r="I719" s="10" t="n">
        <v>79.066</v>
      </c>
      <c r="J719" s="10" t="n">
        <v>5.516</v>
      </c>
      <c r="K719" s="10" t="n">
        <v>73.55</v>
      </c>
      <c r="L719" s="8" t="inlineStr">
        <is>
          <t>五部</t>
        </is>
      </c>
      <c r="M719" s="8" t="inlineStr">
        <is>
          <t>韩梅</t>
        </is>
      </c>
      <c r="N719" s="8" t="inlineStr">
        <is>
          <t>2-3年</t>
        </is>
      </c>
      <c r="O719" s="8" t="n"/>
    </row>
    <row r="720">
      <c r="A720" s="5" t="n">
        <v>718</v>
      </c>
      <c r="B720" s="5" t="inlineStr">
        <is>
          <t>西北-青海</t>
        </is>
      </c>
      <c r="C720" s="5" t="inlineStr">
        <is>
          <t>基层自治组织</t>
        </is>
      </c>
      <c r="D720" s="6" t="inlineStr">
        <is>
          <t>HT20260323</t>
        </is>
      </c>
      <c r="E720" s="6" t="inlineStr">
        <is>
          <t>20260716</t>
        </is>
      </c>
      <c r="F720" s="10" t="n">
        <v>374.647</v>
      </c>
      <c r="G720" s="8" t="n"/>
      <c r="H720" s="10" t="n">
        <v>272.529</v>
      </c>
      <c r="I720" s="10" t="n">
        <v>102.118</v>
      </c>
      <c r="J720" s="10" t="n">
        <v>3.632</v>
      </c>
      <c r="K720" s="10" t="n">
        <v>98.486</v>
      </c>
      <c r="L720" s="8" t="inlineStr">
        <is>
          <t>七部</t>
        </is>
      </c>
      <c r="M720" s="8" t="inlineStr">
        <is>
          <t>傅蓉</t>
        </is>
      </c>
      <c r="N720" s="8" t="inlineStr">
        <is>
          <t>1-2年</t>
        </is>
      </c>
      <c r="O720" s="8" t="n"/>
    </row>
    <row r="721">
      <c r="A721" s="5" t="n">
        <v>719</v>
      </c>
      <c r="B721" s="5" t="inlineStr">
        <is>
          <t>西南-云南</t>
        </is>
      </c>
      <c r="C721" s="5" t="inlineStr">
        <is>
          <t>事业单位</t>
        </is>
      </c>
      <c r="D721" s="6" t="inlineStr">
        <is>
          <t>HT20260323</t>
        </is>
      </c>
      <c r="E721" s="6" t="inlineStr">
        <is>
          <t>20260716</t>
        </is>
      </c>
      <c r="F721" s="10" t="n">
        <v>846.049</v>
      </c>
      <c r="G721" s="8" t="n"/>
      <c r="H721" s="10" t="n">
        <v>591.109</v>
      </c>
      <c r="I721" s="10" t="n">
        <v>254.94</v>
      </c>
      <c r="J721" s="10" t="n">
        <v>225.157</v>
      </c>
      <c r="K721" s="10" t="n">
        <v>29.783</v>
      </c>
      <c r="L721" s="8" t="inlineStr">
        <is>
          <t>七部</t>
        </is>
      </c>
      <c r="M721" s="8" t="inlineStr">
        <is>
          <t>袁博</t>
        </is>
      </c>
      <c r="N721" s="8" t="inlineStr">
        <is>
          <t>2-3年</t>
        </is>
      </c>
      <c r="O721" s="8" t="n"/>
    </row>
    <row r="722">
      <c r="A722" s="5" t="n">
        <v>720</v>
      </c>
      <c r="B722" s="5" t="inlineStr">
        <is>
          <t>东北-辽宁</t>
        </is>
      </c>
      <c r="C722" s="5" t="inlineStr">
        <is>
          <t>基层自治组织</t>
        </is>
      </c>
      <c r="D722" s="6" t="inlineStr">
        <is>
          <t>HT20260323</t>
        </is>
      </c>
      <c r="E722" s="6" t="inlineStr">
        <is>
          <t>20260716</t>
        </is>
      </c>
      <c r="F722" s="10" t="n">
        <v>41.972</v>
      </c>
      <c r="G722" s="8" t="n"/>
      <c r="H722" s="10" t="n">
        <v>33.627</v>
      </c>
      <c r="I722" s="10" t="n">
        <v>8.345000000000001</v>
      </c>
      <c r="J722" s="10" t="n">
        <v>4.994</v>
      </c>
      <c r="K722" s="10" t="n">
        <v>3.351</v>
      </c>
      <c r="L722" s="8" t="inlineStr">
        <is>
          <t>八部</t>
        </is>
      </c>
      <c r="M722" s="8" t="inlineStr">
        <is>
          <t>苏珊</t>
        </is>
      </c>
      <c r="N722" s="8" t="inlineStr">
        <is>
          <t>2-3年</t>
        </is>
      </c>
      <c r="O722" s="8" t="n"/>
    </row>
    <row r="723">
      <c r="A723" s="5" t="n">
        <v>721</v>
      </c>
      <c r="B723" s="5" t="inlineStr">
        <is>
          <t>华北-山西</t>
        </is>
      </c>
      <c r="C723" s="5" t="inlineStr">
        <is>
          <t>国有企业</t>
        </is>
      </c>
      <c r="D723" s="6" t="inlineStr">
        <is>
          <t>HT20260324</t>
        </is>
      </c>
      <c r="E723" s="6" t="inlineStr">
        <is>
          <t>20260122</t>
        </is>
      </c>
      <c r="F723" s="10" t="n">
        <v>450.86</v>
      </c>
      <c r="G723" s="8" t="n"/>
      <c r="H723" s="10" t="n">
        <v>246.451</v>
      </c>
      <c r="I723" s="10" t="n">
        <v>204.409</v>
      </c>
      <c r="J723" s="10" t="n">
        <v>181.448</v>
      </c>
      <c r="K723" s="10" t="n">
        <v>22.961</v>
      </c>
      <c r="L723" s="8" t="inlineStr">
        <is>
          <t>十部</t>
        </is>
      </c>
      <c r="M723" s="8" t="inlineStr">
        <is>
          <t>雷声</t>
        </is>
      </c>
      <c r="N723" s="8" t="inlineStr">
        <is>
          <t>2-3年</t>
        </is>
      </c>
      <c r="O723" s="8" t="n"/>
    </row>
    <row r="724">
      <c r="A724" s="5" t="n">
        <v>722</v>
      </c>
      <c r="B724" s="5" t="inlineStr">
        <is>
          <t>华南-广东</t>
        </is>
      </c>
      <c r="C724" s="5" t="inlineStr">
        <is>
          <t>国有企业</t>
        </is>
      </c>
      <c r="D724" s="6" t="inlineStr">
        <is>
          <t>HT20260324</t>
        </is>
      </c>
      <c r="E724" s="6" t="inlineStr">
        <is>
          <t>20260122</t>
        </is>
      </c>
      <c r="F724" s="10" t="n">
        <v>679.002</v>
      </c>
      <c r="G724" s="8" t="n"/>
      <c r="H724" s="10" t="n">
        <v>420.892</v>
      </c>
      <c r="I724" s="10" t="n">
        <v>258.11</v>
      </c>
      <c r="J724" s="10" t="n">
        <v>175.707</v>
      </c>
      <c r="K724" s="10" t="n">
        <v>82.40300000000001</v>
      </c>
      <c r="L724" s="8" t="inlineStr">
        <is>
          <t>十部</t>
        </is>
      </c>
      <c r="M724" s="8" t="inlineStr">
        <is>
          <t>侯敏</t>
        </is>
      </c>
      <c r="N724" s="8" t="inlineStr">
        <is>
          <t>2-3年</t>
        </is>
      </c>
      <c r="O724" s="8" t="n"/>
    </row>
    <row r="725">
      <c r="A725" s="5" t="n">
        <v>723</v>
      </c>
      <c r="B725" s="5" t="inlineStr">
        <is>
          <t>东北-黑龙江</t>
        </is>
      </c>
      <c r="C725" s="5" t="inlineStr">
        <is>
          <t>监察司法机关</t>
        </is>
      </c>
      <c r="D725" s="6" t="inlineStr">
        <is>
          <t>HT20260324</t>
        </is>
      </c>
      <c r="E725" s="6" t="inlineStr">
        <is>
          <t>20260122</t>
        </is>
      </c>
      <c r="F725" s="10" t="n">
        <v>335.973</v>
      </c>
      <c r="G725" s="8" t="n"/>
      <c r="H725" s="10" t="n">
        <v>175.105</v>
      </c>
      <c r="I725" s="10" t="n">
        <v>160.868</v>
      </c>
      <c r="J725" s="10" t="n">
        <v>81.169</v>
      </c>
      <c r="K725" s="10" t="n">
        <v>79.699</v>
      </c>
      <c r="L725" s="8" t="inlineStr">
        <is>
          <t>八部</t>
        </is>
      </c>
      <c r="M725" s="8" t="inlineStr">
        <is>
          <t>苏珊</t>
        </is>
      </c>
      <c r="N725" s="8" t="inlineStr">
        <is>
          <t>2-3年</t>
        </is>
      </c>
      <c r="O725" s="8" t="n"/>
    </row>
    <row r="726">
      <c r="A726" s="5" t="n">
        <v>724</v>
      </c>
      <c r="B726" s="5" t="inlineStr">
        <is>
          <t>华北-北京</t>
        </is>
      </c>
      <c r="C726" s="5" t="inlineStr">
        <is>
          <t>基层自治组织</t>
        </is>
      </c>
      <c r="D726" s="6" t="inlineStr">
        <is>
          <t>HT20260324</t>
        </is>
      </c>
      <c r="E726" s="6" t="inlineStr">
        <is>
          <t>20260122</t>
        </is>
      </c>
      <c r="F726" s="10" t="n">
        <v>4752.664</v>
      </c>
      <c r="G726" s="8" t="n"/>
      <c r="H726" s="10" t="n">
        <v>2566.752</v>
      </c>
      <c r="I726" s="10" t="n">
        <v>2185.912</v>
      </c>
      <c r="J726" s="10" t="n">
        <v>1766.65</v>
      </c>
      <c r="K726" s="10" t="n">
        <v>419.262</v>
      </c>
      <c r="L726" s="8" t="inlineStr">
        <is>
          <t>二部</t>
        </is>
      </c>
      <c r="M726" s="8" t="inlineStr">
        <is>
          <t>黄强</t>
        </is>
      </c>
      <c r="N726" s="8" t="inlineStr">
        <is>
          <t>1-2年</t>
        </is>
      </c>
      <c r="O726" s="8" t="n"/>
    </row>
    <row r="727">
      <c r="A727" s="5" t="n">
        <v>725</v>
      </c>
      <c r="B727" s="5" t="inlineStr">
        <is>
          <t>华南-香港</t>
        </is>
      </c>
      <c r="C727" s="5" t="inlineStr">
        <is>
          <t>人大政协</t>
        </is>
      </c>
      <c r="D727" s="6" t="inlineStr">
        <is>
          <t>HT20260324</t>
        </is>
      </c>
      <c r="E727" s="6" t="inlineStr">
        <is>
          <t>20260122</t>
        </is>
      </c>
      <c r="F727" s="10" t="n">
        <v>661.193</v>
      </c>
      <c r="G727" s="8" t="n"/>
      <c r="H727" s="10" t="n">
        <v>160.559</v>
      </c>
      <c r="I727" s="10" t="n">
        <v>500.634</v>
      </c>
      <c r="J727" s="10" t="n">
        <v>375.454</v>
      </c>
      <c r="K727" s="10" t="n">
        <v>125.18</v>
      </c>
      <c r="L727" s="8" t="inlineStr">
        <is>
          <t>五部</t>
        </is>
      </c>
      <c r="M727" s="8" t="inlineStr">
        <is>
          <t>梁雪</t>
        </is>
      </c>
      <c r="N727" s="8" t="inlineStr">
        <is>
          <t>1年以内</t>
        </is>
      </c>
      <c r="O727" s="8" t="n"/>
    </row>
    <row r="728">
      <c r="A728" s="5" t="n">
        <v>726</v>
      </c>
      <c r="B728" s="5" t="inlineStr">
        <is>
          <t>西北-新疆</t>
        </is>
      </c>
      <c r="C728" s="5" t="inlineStr">
        <is>
          <t>政府机关</t>
        </is>
      </c>
      <c r="D728" s="6" t="inlineStr">
        <is>
          <t>HT20260324</t>
        </is>
      </c>
      <c r="E728" s="6" t="inlineStr">
        <is>
          <t>20260122</t>
        </is>
      </c>
      <c r="F728" s="10" t="n">
        <v>453.509</v>
      </c>
      <c r="G728" s="8" t="n"/>
      <c r="H728" s="10" t="n">
        <v>360.852</v>
      </c>
      <c r="I728" s="10" t="n">
        <v>92.657</v>
      </c>
      <c r="J728" s="10" t="n">
        <v>86.79300000000001</v>
      </c>
      <c r="K728" s="10" t="n">
        <v>5.864</v>
      </c>
      <c r="L728" s="8" t="inlineStr">
        <is>
          <t>十部</t>
        </is>
      </c>
      <c r="M728" s="8" t="inlineStr">
        <is>
          <t>侯敏</t>
        </is>
      </c>
      <c r="N728" s="8" t="inlineStr">
        <is>
          <t>1年以内</t>
        </is>
      </c>
      <c r="O728" s="8" t="n"/>
    </row>
    <row r="729">
      <c r="A729" s="5" t="n">
        <v>727</v>
      </c>
      <c r="B729" s="5" t="inlineStr">
        <is>
          <t>华东-江西</t>
        </is>
      </c>
      <c r="C729" s="5" t="inlineStr">
        <is>
          <t>事业单位</t>
        </is>
      </c>
      <c r="D729" s="6" t="inlineStr">
        <is>
          <t>HT20260325</t>
        </is>
      </c>
      <c r="E729" s="6" t="inlineStr">
        <is>
          <t>20260725</t>
        </is>
      </c>
      <c r="F729" s="10" t="n">
        <v>144.031</v>
      </c>
      <c r="G729" s="8" t="n"/>
      <c r="H729" s="10" t="n">
        <v>95.598</v>
      </c>
      <c r="I729" s="10" t="n">
        <v>48.433</v>
      </c>
      <c r="J729" s="10" t="n">
        <v>41.483</v>
      </c>
      <c r="K729" s="10" t="n">
        <v>6.95</v>
      </c>
      <c r="L729" s="8" t="inlineStr">
        <is>
          <t>九部</t>
        </is>
      </c>
      <c r="M729" s="8" t="inlineStr">
        <is>
          <t>蔡明</t>
        </is>
      </c>
      <c r="N729" s="8" t="inlineStr">
        <is>
          <t>1-2年</t>
        </is>
      </c>
      <c r="O729" s="8" t="n"/>
    </row>
    <row r="730">
      <c r="A730" s="5" t="n">
        <v>728</v>
      </c>
      <c r="B730" s="5" t="inlineStr">
        <is>
          <t>华南-广东</t>
        </is>
      </c>
      <c r="C730" s="5" t="inlineStr">
        <is>
          <t>基层自治组织</t>
        </is>
      </c>
      <c r="D730" s="6" t="inlineStr">
        <is>
          <t>HT20260326</t>
        </is>
      </c>
      <c r="E730" s="6" t="inlineStr">
        <is>
          <t>20260801</t>
        </is>
      </c>
      <c r="F730" s="10" t="n">
        <v>170.171</v>
      </c>
      <c r="G730" s="8" t="n"/>
      <c r="H730" s="10" t="n">
        <v>106.188</v>
      </c>
      <c r="I730" s="10" t="n">
        <v>63.983</v>
      </c>
      <c r="J730" s="10" t="n">
        <v>46.354</v>
      </c>
      <c r="K730" s="10" t="n">
        <v>17.629</v>
      </c>
      <c r="L730" s="8" t="inlineStr">
        <is>
          <t>六部</t>
        </is>
      </c>
      <c r="M730" s="8" t="inlineStr">
        <is>
          <t>程琳</t>
        </is>
      </c>
      <c r="N730" s="8" t="inlineStr">
        <is>
          <t>1年以内</t>
        </is>
      </c>
      <c r="O730" s="8" t="n"/>
    </row>
    <row r="731">
      <c r="A731" s="5" t="n">
        <v>729</v>
      </c>
      <c r="B731" s="5" t="inlineStr">
        <is>
          <t>华东-福建</t>
        </is>
      </c>
      <c r="C731" s="5" t="inlineStr">
        <is>
          <t>党委机关</t>
        </is>
      </c>
      <c r="D731" s="6" t="inlineStr">
        <is>
          <t>HT20260326</t>
        </is>
      </c>
      <c r="E731" s="6" t="inlineStr">
        <is>
          <t>20260801</t>
        </is>
      </c>
      <c r="F731" s="10" t="n">
        <v>855.057</v>
      </c>
      <c r="G731" s="8" t="n"/>
      <c r="H731" s="10" t="n">
        <v>622.477</v>
      </c>
      <c r="I731" s="10" t="n">
        <v>232.58</v>
      </c>
      <c r="J731" s="10" t="n">
        <v>113.831</v>
      </c>
      <c r="K731" s="10" t="n">
        <v>118.749</v>
      </c>
      <c r="L731" s="8" t="inlineStr">
        <is>
          <t>六部</t>
        </is>
      </c>
      <c r="M731" s="8" t="inlineStr">
        <is>
          <t>唐亮</t>
        </is>
      </c>
      <c r="N731" s="8" t="inlineStr">
        <is>
          <t>2-3年</t>
        </is>
      </c>
      <c r="O731" s="8" t="n"/>
    </row>
    <row r="732">
      <c r="A732" s="5" t="n">
        <v>730</v>
      </c>
      <c r="B732" s="5" t="inlineStr">
        <is>
          <t>华东-浙江</t>
        </is>
      </c>
      <c r="C732" s="5" t="inlineStr">
        <is>
          <t>政府机关</t>
        </is>
      </c>
      <c r="D732" s="6" t="inlineStr">
        <is>
          <t>HT20260327</t>
        </is>
      </c>
      <c r="E732" s="6" t="inlineStr">
        <is>
          <t>20260403</t>
        </is>
      </c>
      <c r="F732" s="10" t="n">
        <v>80.22199999999999</v>
      </c>
      <c r="G732" s="8" t="n"/>
      <c r="H732" s="10" t="n">
        <v>44.922</v>
      </c>
      <c r="I732" s="10" t="n">
        <v>35.3</v>
      </c>
      <c r="J732" s="10" t="n">
        <v>26.41</v>
      </c>
      <c r="K732" s="10" t="n">
        <v>8.890000000000001</v>
      </c>
      <c r="L732" s="8" t="inlineStr">
        <is>
          <t>十部</t>
        </is>
      </c>
      <c r="M732" s="8" t="inlineStr">
        <is>
          <t>段勇</t>
        </is>
      </c>
      <c r="N732" s="8" t="inlineStr">
        <is>
          <t>1年以内</t>
        </is>
      </c>
      <c r="O732" s="8" t="n"/>
    </row>
    <row r="733">
      <c r="A733" s="5" t="n">
        <v>731</v>
      </c>
      <c r="B733" s="5" t="inlineStr">
        <is>
          <t>华南-广东</t>
        </is>
      </c>
      <c r="C733" s="5" t="inlineStr">
        <is>
          <t>人大政协</t>
        </is>
      </c>
      <c r="D733" s="6" t="inlineStr">
        <is>
          <t>HT20260329</t>
        </is>
      </c>
      <c r="E733" s="6" t="inlineStr">
        <is>
          <t>20260404</t>
        </is>
      </c>
      <c r="F733" s="10" t="n">
        <v>420.725</v>
      </c>
      <c r="G733" s="8" t="n"/>
      <c r="H733" s="10" t="n">
        <v>8.526999999999999</v>
      </c>
      <c r="I733" s="10" t="n">
        <v>412.198</v>
      </c>
      <c r="J733" s="10" t="n">
        <v>231.389</v>
      </c>
      <c r="K733" s="10" t="n">
        <v>180.809</v>
      </c>
      <c r="L733" s="8" t="inlineStr">
        <is>
          <t>九部</t>
        </is>
      </c>
      <c r="M733" s="8" t="inlineStr">
        <is>
          <t>贾静</t>
        </is>
      </c>
      <c r="N733" s="8" t="inlineStr">
        <is>
          <t>1年以内</t>
        </is>
      </c>
      <c r="O733" s="8" t="n"/>
    </row>
    <row r="734">
      <c r="A734" s="5" t="n">
        <v>732</v>
      </c>
      <c r="B734" s="5" t="inlineStr">
        <is>
          <t>西南-西藏</t>
        </is>
      </c>
      <c r="C734" s="5" t="inlineStr">
        <is>
          <t>事业单位</t>
        </is>
      </c>
      <c r="D734" s="6" t="inlineStr">
        <is>
          <t>HT20260329</t>
        </is>
      </c>
      <c r="E734" s="6" t="inlineStr">
        <is>
          <t>20260404</t>
        </is>
      </c>
      <c r="F734" s="10" t="n">
        <v>831.913</v>
      </c>
      <c r="G734" s="8" t="n"/>
      <c r="H734" s="10" t="n">
        <v>151.679</v>
      </c>
      <c r="I734" s="10" t="n">
        <v>680.234</v>
      </c>
      <c r="J734" s="10" t="n">
        <v>269.096</v>
      </c>
      <c r="K734" s="10" t="n">
        <v>411.138</v>
      </c>
      <c r="L734" s="8" t="inlineStr">
        <is>
          <t>一部</t>
        </is>
      </c>
      <c r="M734" s="8" t="inlineStr">
        <is>
          <t>王芳</t>
        </is>
      </c>
      <c r="N734" s="8" t="inlineStr">
        <is>
          <t>1年以内</t>
        </is>
      </c>
      <c r="O734" s="8" t="n"/>
    </row>
    <row r="735">
      <c r="A735" s="5" t="n">
        <v>733</v>
      </c>
      <c r="B735" s="5" t="inlineStr">
        <is>
          <t>西北-新疆</t>
        </is>
      </c>
      <c r="C735" s="5" t="inlineStr">
        <is>
          <t>群团组织</t>
        </is>
      </c>
      <c r="D735" s="6" t="inlineStr">
        <is>
          <t>HT20260329</t>
        </is>
      </c>
      <c r="E735" s="6" t="inlineStr">
        <is>
          <t>20260404</t>
        </is>
      </c>
      <c r="F735" s="10" t="n">
        <v>467.025</v>
      </c>
      <c r="G735" s="8" t="n"/>
      <c r="H735" s="10" t="n">
        <v>132.026</v>
      </c>
      <c r="I735" s="10" t="n">
        <v>334.999</v>
      </c>
      <c r="J735" s="10" t="n">
        <v>223.417</v>
      </c>
      <c r="K735" s="10" t="n">
        <v>111.582</v>
      </c>
      <c r="L735" s="8" t="inlineStr">
        <is>
          <t>七部</t>
        </is>
      </c>
      <c r="M735" s="8" t="inlineStr">
        <is>
          <t>许涛</t>
        </is>
      </c>
      <c r="N735" s="8" t="inlineStr">
        <is>
          <t>1-2年</t>
        </is>
      </c>
      <c r="O735" s="8" t="n"/>
    </row>
    <row r="736">
      <c r="A736" s="5" t="n">
        <v>734</v>
      </c>
      <c r="B736" s="5" t="inlineStr">
        <is>
          <t>华东-福建</t>
        </is>
      </c>
      <c r="C736" s="5" t="inlineStr">
        <is>
          <t>党委机关</t>
        </is>
      </c>
      <c r="D736" s="6" t="inlineStr">
        <is>
          <t>HT20260330</t>
        </is>
      </c>
      <c r="E736" s="6" t="inlineStr">
        <is>
          <t>20260402</t>
        </is>
      </c>
      <c r="F736" s="10" t="n">
        <v>654.019</v>
      </c>
      <c r="G736" s="8" t="n"/>
      <c r="H736" s="10" t="n">
        <v>316.724</v>
      </c>
      <c r="I736" s="10" t="n">
        <v>337.295</v>
      </c>
      <c r="J736" s="10" t="n">
        <v>148.928</v>
      </c>
      <c r="K736" s="10" t="n">
        <v>188.367</v>
      </c>
      <c r="L736" s="8" t="inlineStr">
        <is>
          <t>五部</t>
        </is>
      </c>
      <c r="M736" s="8" t="inlineStr">
        <is>
          <t>郑浩</t>
        </is>
      </c>
      <c r="N736" s="8" t="inlineStr">
        <is>
          <t>1年以内</t>
        </is>
      </c>
      <c r="O736" s="8" t="n"/>
    </row>
    <row r="737">
      <c r="A737" s="5" t="n">
        <v>735</v>
      </c>
      <c r="B737" s="5" t="inlineStr">
        <is>
          <t>东北-黑龙江</t>
        </is>
      </c>
      <c r="C737" s="5" t="inlineStr">
        <is>
          <t>群团组织</t>
        </is>
      </c>
      <c r="D737" s="6" t="inlineStr">
        <is>
          <t>HT20260330</t>
        </is>
      </c>
      <c r="E737" s="6" t="inlineStr">
        <is>
          <t>20260402</t>
        </is>
      </c>
      <c r="F737" s="10" t="n">
        <v>379.238</v>
      </c>
      <c r="G737" s="8" t="n"/>
      <c r="H737" s="10" t="n">
        <v>40.691</v>
      </c>
      <c r="I737" s="10" t="n">
        <v>338.547</v>
      </c>
      <c r="J737" s="10" t="n">
        <v>15.223</v>
      </c>
      <c r="K737" s="10" t="n">
        <v>323.324</v>
      </c>
      <c r="L737" s="8" t="inlineStr">
        <is>
          <t>五部</t>
        </is>
      </c>
      <c r="M737" s="8" t="inlineStr">
        <is>
          <t>宋佳</t>
        </is>
      </c>
      <c r="N737" s="8" t="inlineStr">
        <is>
          <t>2-3年</t>
        </is>
      </c>
      <c r="O737" s="8" t="n"/>
    </row>
    <row r="738">
      <c r="A738" s="5" t="n">
        <v>736</v>
      </c>
      <c r="B738" s="5" t="inlineStr">
        <is>
          <t>西南-重庆</t>
        </is>
      </c>
      <c r="C738" s="5" t="inlineStr">
        <is>
          <t>人大政协</t>
        </is>
      </c>
      <c r="D738" s="6" t="inlineStr">
        <is>
          <t>HT20260401</t>
        </is>
      </c>
      <c r="E738" s="6" t="inlineStr">
        <is>
          <t>20260820</t>
        </is>
      </c>
      <c r="F738" s="10" t="n">
        <v>115.519</v>
      </c>
      <c r="G738" s="8" t="n"/>
      <c r="H738" s="10" t="n">
        <v>88.929</v>
      </c>
      <c r="I738" s="10" t="n">
        <v>26.59</v>
      </c>
      <c r="J738" s="10" t="n">
        <v>25.699</v>
      </c>
      <c r="K738" s="10" t="n">
        <v>0.891</v>
      </c>
      <c r="L738" s="8" t="inlineStr">
        <is>
          <t>八部</t>
        </is>
      </c>
      <c r="M738" s="8" t="inlineStr">
        <is>
          <t>苏珊</t>
        </is>
      </c>
      <c r="N738" s="8" t="inlineStr">
        <is>
          <t>1年以内</t>
        </is>
      </c>
      <c r="O738" s="8" t="n"/>
    </row>
    <row r="739">
      <c r="A739" s="5" t="n">
        <v>737</v>
      </c>
      <c r="B739" s="5" t="inlineStr">
        <is>
          <t>华北-北京</t>
        </is>
      </c>
      <c r="C739" s="5" t="inlineStr">
        <is>
          <t>人大政协</t>
        </is>
      </c>
      <c r="D739" s="6" t="inlineStr">
        <is>
          <t>HT20260401</t>
        </is>
      </c>
      <c r="E739" s="6" t="inlineStr">
        <is>
          <t>20260820</t>
        </is>
      </c>
      <c r="F739" s="10" t="n">
        <v>860.5599999999999</v>
      </c>
      <c r="G739" s="8" t="n"/>
      <c r="H739" s="10" t="n">
        <v>456.328</v>
      </c>
      <c r="I739" s="10" t="n">
        <v>404.232</v>
      </c>
      <c r="J739" s="10" t="n">
        <v>187.613</v>
      </c>
      <c r="K739" s="10" t="n">
        <v>216.619</v>
      </c>
      <c r="L739" s="8" t="inlineStr">
        <is>
          <t>四部</t>
        </is>
      </c>
      <c r="M739" s="8" t="inlineStr">
        <is>
          <t>郭鹏</t>
        </is>
      </c>
      <c r="N739" s="8" t="inlineStr">
        <is>
          <t>2-3年</t>
        </is>
      </c>
      <c r="O739" s="8" t="n"/>
    </row>
    <row r="740">
      <c r="A740" s="5" t="n">
        <v>738</v>
      </c>
      <c r="B740" s="5" t="inlineStr">
        <is>
          <t>华东-浙江</t>
        </is>
      </c>
      <c r="C740" s="5" t="inlineStr">
        <is>
          <t>事业单位</t>
        </is>
      </c>
      <c r="D740" s="6" t="inlineStr">
        <is>
          <t>HT20260401</t>
        </is>
      </c>
      <c r="E740" s="6" t="inlineStr">
        <is>
          <t>20260820</t>
        </is>
      </c>
      <c r="F740" s="10" t="n">
        <v>347.908</v>
      </c>
      <c r="G740" s="8" t="n"/>
      <c r="H740" s="10" t="n">
        <v>43.573</v>
      </c>
      <c r="I740" s="10" t="n">
        <v>304.335</v>
      </c>
      <c r="J740" s="10" t="n">
        <v>122.457</v>
      </c>
      <c r="K740" s="10" t="n">
        <v>181.878</v>
      </c>
      <c r="L740" s="8" t="inlineStr">
        <is>
          <t>一部</t>
        </is>
      </c>
      <c r="M740" s="8" t="inlineStr">
        <is>
          <t>刘洋</t>
        </is>
      </c>
      <c r="N740" s="8" t="inlineStr">
        <is>
          <t>1年以内</t>
        </is>
      </c>
      <c r="O740" s="8" t="n"/>
    </row>
    <row r="741">
      <c r="A741" s="5" t="n">
        <v>739</v>
      </c>
      <c r="B741" s="5" t="inlineStr">
        <is>
          <t>东北-吉林</t>
        </is>
      </c>
      <c r="C741" s="5" t="inlineStr">
        <is>
          <t>事业单位</t>
        </is>
      </c>
      <c r="D741" s="6" t="inlineStr">
        <is>
          <t>HT20260401</t>
        </is>
      </c>
      <c r="E741" s="6" t="inlineStr">
        <is>
          <t>20260820</t>
        </is>
      </c>
      <c r="F741" s="10" t="n">
        <v>813.171</v>
      </c>
      <c r="G741" s="8" t="n"/>
      <c r="H741" s="10" t="n">
        <v>759.407</v>
      </c>
      <c r="I741" s="10" t="n">
        <v>53.764</v>
      </c>
      <c r="J741" s="10" t="n">
        <v>22.91</v>
      </c>
      <c r="K741" s="10" t="n">
        <v>30.854</v>
      </c>
      <c r="L741" s="8" t="inlineStr">
        <is>
          <t>一部</t>
        </is>
      </c>
      <c r="M741" s="8" t="inlineStr">
        <is>
          <t>陈静</t>
        </is>
      </c>
      <c r="N741" s="8" t="inlineStr">
        <is>
          <t>1-2年</t>
        </is>
      </c>
      <c r="O741" s="8" t="n"/>
    </row>
    <row r="742">
      <c r="A742" s="5" t="n">
        <v>740</v>
      </c>
      <c r="B742" s="5" t="inlineStr">
        <is>
          <t>东北-辽宁</t>
        </is>
      </c>
      <c r="C742" s="5" t="inlineStr">
        <is>
          <t>群团组织</t>
        </is>
      </c>
      <c r="D742" s="6" t="inlineStr">
        <is>
          <t>HT20260401</t>
        </is>
      </c>
      <c r="E742" s="6" t="inlineStr">
        <is>
          <t>20260820</t>
        </is>
      </c>
      <c r="F742" s="10" t="n">
        <v>90.026</v>
      </c>
      <c r="G742" s="8" t="n"/>
      <c r="H742" s="10" t="n">
        <v>10.576</v>
      </c>
      <c r="I742" s="10" t="n">
        <v>79.45</v>
      </c>
      <c r="J742" s="10" t="n">
        <v>0.424</v>
      </c>
      <c r="K742" s="10" t="n">
        <v>79.026</v>
      </c>
      <c r="L742" s="8" t="inlineStr">
        <is>
          <t>十部</t>
        </is>
      </c>
      <c r="M742" s="8" t="inlineStr">
        <is>
          <t>阎莉</t>
        </is>
      </c>
      <c r="N742" s="8" t="inlineStr">
        <is>
          <t>1年以内</t>
        </is>
      </c>
      <c r="O742" s="8" t="n"/>
    </row>
    <row r="743">
      <c r="A743" s="5" t="n">
        <v>741</v>
      </c>
      <c r="B743" s="5" t="inlineStr">
        <is>
          <t>华东-福建</t>
        </is>
      </c>
      <c r="C743" s="5" t="inlineStr">
        <is>
          <t>事业单位</t>
        </is>
      </c>
      <c r="D743" s="6" t="inlineStr">
        <is>
          <t>HT20260404</t>
        </is>
      </c>
      <c r="E743" s="6" t="inlineStr">
        <is>
          <t>20260304</t>
        </is>
      </c>
      <c r="F743" s="10" t="n">
        <v>505.159</v>
      </c>
      <c r="G743" s="8" t="n"/>
      <c r="H743" s="10" t="n">
        <v>11.553</v>
      </c>
      <c r="I743" s="10" t="n">
        <v>493.606</v>
      </c>
      <c r="J743" s="10" t="n">
        <v>109.223</v>
      </c>
      <c r="K743" s="10" t="n">
        <v>384.383</v>
      </c>
      <c r="L743" s="8" t="inlineStr">
        <is>
          <t>三部</t>
        </is>
      </c>
      <c r="M743" s="8" t="inlineStr">
        <is>
          <t>朱军</t>
        </is>
      </c>
      <c r="N743" s="8" t="inlineStr">
        <is>
          <t>1年以内</t>
        </is>
      </c>
      <c r="O743" s="8" t="n"/>
    </row>
    <row r="744">
      <c r="A744" s="5" t="n">
        <v>742</v>
      </c>
      <c r="B744" s="5" t="inlineStr">
        <is>
          <t>华东-山东</t>
        </is>
      </c>
      <c r="C744" s="5" t="inlineStr">
        <is>
          <t>事业单位</t>
        </is>
      </c>
      <c r="D744" s="6" t="inlineStr">
        <is>
          <t>HT20260405</t>
        </is>
      </c>
      <c r="E744" s="6" t="inlineStr">
        <is>
          <t>20260721</t>
        </is>
      </c>
      <c r="F744" s="10" t="n">
        <v>434.998</v>
      </c>
      <c r="G744" s="8" t="n"/>
      <c r="H744" s="10" t="n">
        <v>72.91200000000001</v>
      </c>
      <c r="I744" s="10" t="n">
        <v>362.086</v>
      </c>
      <c r="J744" s="10" t="n">
        <v>191.538</v>
      </c>
      <c r="K744" s="10" t="n">
        <v>170.548</v>
      </c>
      <c r="L744" s="8" t="inlineStr">
        <is>
          <t>十部</t>
        </is>
      </c>
      <c r="M744" s="8" t="inlineStr">
        <is>
          <t>薛峰</t>
        </is>
      </c>
      <c r="N744" s="8" t="inlineStr">
        <is>
          <t>2-3年</t>
        </is>
      </c>
      <c r="O744" s="8" t="n"/>
    </row>
    <row r="745">
      <c r="A745" s="5" t="n">
        <v>743</v>
      </c>
      <c r="B745" s="5" t="inlineStr">
        <is>
          <t>华东-安徽</t>
        </is>
      </c>
      <c r="C745" s="5" t="inlineStr">
        <is>
          <t>监察司法机关</t>
        </is>
      </c>
      <c r="D745" s="6" t="inlineStr">
        <is>
          <t>HT20260408</t>
        </is>
      </c>
      <c r="E745" s="6" t="inlineStr">
        <is>
          <t>20260322</t>
        </is>
      </c>
      <c r="F745" s="10" t="n">
        <v>160.023</v>
      </c>
      <c r="G745" s="8" t="n"/>
      <c r="H745" s="10" t="n">
        <v>133.358</v>
      </c>
      <c r="I745" s="10" t="n">
        <v>26.665</v>
      </c>
      <c r="J745" s="10" t="n">
        <v>2.682</v>
      </c>
      <c r="K745" s="10" t="n">
        <v>23.983</v>
      </c>
      <c r="L745" s="8" t="inlineStr">
        <is>
          <t>八部</t>
        </is>
      </c>
      <c r="M745" s="8" t="inlineStr">
        <is>
          <t>彭燕</t>
        </is>
      </c>
      <c r="N745" s="8" t="inlineStr">
        <is>
          <t>1-2年</t>
        </is>
      </c>
      <c r="O745" s="8" t="inlineStr">
        <is>
          <t>公司负债</t>
        </is>
      </c>
    </row>
    <row r="746">
      <c r="A746" s="5" t="n">
        <v>744</v>
      </c>
      <c r="B746" s="5" t="inlineStr">
        <is>
          <t>东北-黑龙江</t>
        </is>
      </c>
      <c r="C746" s="5" t="inlineStr">
        <is>
          <t>基层自治组织</t>
        </is>
      </c>
      <c r="D746" s="6" t="inlineStr">
        <is>
          <t>HT20260408</t>
        </is>
      </c>
      <c r="E746" s="6" t="inlineStr">
        <is>
          <t>20260322</t>
        </is>
      </c>
      <c r="F746" s="10" t="n">
        <v>389.997</v>
      </c>
      <c r="G746" s="8" t="n"/>
      <c r="H746" s="10" t="n">
        <v>197.128</v>
      </c>
      <c r="I746" s="10" t="n">
        <v>192.869</v>
      </c>
      <c r="J746" s="10" t="n">
        <v>189.507</v>
      </c>
      <c r="K746" s="10" t="n">
        <v>3.362</v>
      </c>
      <c r="L746" s="8" t="inlineStr">
        <is>
          <t>一部</t>
        </is>
      </c>
      <c r="M746" s="8" t="inlineStr">
        <is>
          <t>陈静</t>
        </is>
      </c>
      <c r="N746" s="8" t="inlineStr">
        <is>
          <t>1年以内</t>
        </is>
      </c>
      <c r="O746" s="8" t="n"/>
    </row>
    <row r="747">
      <c r="A747" s="5" t="n">
        <v>745</v>
      </c>
      <c r="B747" s="5" t="inlineStr">
        <is>
          <t>东北-吉林</t>
        </is>
      </c>
      <c r="C747" s="5" t="inlineStr">
        <is>
          <t>国有企业</t>
        </is>
      </c>
      <c r="D747" s="6" t="inlineStr">
        <is>
          <t>HT20260410</t>
        </is>
      </c>
      <c r="E747" s="6" t="inlineStr">
        <is>
          <t>20260418</t>
        </is>
      </c>
      <c r="F747" s="10" t="n">
        <v>6580.792</v>
      </c>
      <c r="G747" s="8" t="n"/>
      <c r="H747" s="10" t="n">
        <v>4308.551</v>
      </c>
      <c r="I747" s="10" t="n">
        <v>2272.241</v>
      </c>
      <c r="J747" s="10" t="n">
        <v>2091.48</v>
      </c>
      <c r="K747" s="10" t="n">
        <v>180.761</v>
      </c>
      <c r="L747" s="8" t="inlineStr">
        <is>
          <t>六部</t>
        </is>
      </c>
      <c r="M747" s="8" t="inlineStr">
        <is>
          <t>程琳</t>
        </is>
      </c>
      <c r="N747" s="8" t="inlineStr">
        <is>
          <t>1年以内</t>
        </is>
      </c>
      <c r="O747" s="8" t="n"/>
    </row>
    <row r="748">
      <c r="A748" s="5" t="n">
        <v>746</v>
      </c>
      <c r="B748" s="5" t="inlineStr">
        <is>
          <t>西北-新疆</t>
        </is>
      </c>
      <c r="C748" s="5" t="inlineStr">
        <is>
          <t>国有企业</t>
        </is>
      </c>
      <c r="D748" s="6" t="inlineStr">
        <is>
          <t>HT20260410</t>
        </is>
      </c>
      <c r="E748" s="6" t="inlineStr">
        <is>
          <t>20260418</t>
        </is>
      </c>
      <c r="F748" s="10" t="n">
        <v>768.765</v>
      </c>
      <c r="G748" s="8" t="n"/>
      <c r="H748" s="10" t="n">
        <v>419.979</v>
      </c>
      <c r="I748" s="10" t="n">
        <v>348.786</v>
      </c>
      <c r="J748" s="10" t="n">
        <v>338.674</v>
      </c>
      <c r="K748" s="10" t="n">
        <v>10.112</v>
      </c>
      <c r="L748" s="8" t="inlineStr">
        <is>
          <t>六部</t>
        </is>
      </c>
      <c r="M748" s="8" t="inlineStr">
        <is>
          <t>冯倩</t>
        </is>
      </c>
      <c r="N748" s="8" t="inlineStr">
        <is>
          <t>1年以内</t>
        </is>
      </c>
      <c r="O748" s="8" t="n"/>
    </row>
    <row r="749">
      <c r="A749" s="5" t="n">
        <v>747</v>
      </c>
      <c r="B749" s="5" t="inlineStr">
        <is>
          <t>华东-安徽</t>
        </is>
      </c>
      <c r="C749" s="5" t="inlineStr">
        <is>
          <t>监察司法机关</t>
        </is>
      </c>
      <c r="D749" s="6" t="inlineStr">
        <is>
          <t>HT20260412</t>
        </is>
      </c>
      <c r="E749" s="6" t="inlineStr">
        <is>
          <t>20260321</t>
        </is>
      </c>
      <c r="F749" s="10" t="n">
        <v>834.557</v>
      </c>
      <c r="G749" s="8" t="n"/>
      <c r="H749" s="10" t="n">
        <v>443.931</v>
      </c>
      <c r="I749" s="10" t="n">
        <v>390.626</v>
      </c>
      <c r="J749" s="10" t="n">
        <v>6.24</v>
      </c>
      <c r="K749" s="10" t="n">
        <v>384.386</v>
      </c>
      <c r="L749" s="8" t="inlineStr">
        <is>
          <t>六部</t>
        </is>
      </c>
      <c r="M749" s="8" t="inlineStr">
        <is>
          <t>董辉</t>
        </is>
      </c>
      <c r="N749" s="8" t="inlineStr">
        <is>
          <t>1年以内</t>
        </is>
      </c>
      <c r="O749" s="8" t="n"/>
    </row>
    <row r="750">
      <c r="A750" s="5" t="n">
        <v>748</v>
      </c>
      <c r="B750" s="5" t="inlineStr">
        <is>
          <t>华东-上海</t>
        </is>
      </c>
      <c r="C750" s="5" t="inlineStr">
        <is>
          <t>监察司法机关</t>
        </is>
      </c>
      <c r="D750" s="6" t="inlineStr">
        <is>
          <t>HT20260412</t>
        </is>
      </c>
      <c r="E750" s="6" t="inlineStr">
        <is>
          <t>20260321</t>
        </is>
      </c>
      <c r="F750" s="10" t="n">
        <v>243.555</v>
      </c>
      <c r="G750" s="8" t="n"/>
      <c r="H750" s="10" t="n">
        <v>148.755</v>
      </c>
      <c r="I750" s="10" t="n">
        <v>94.8</v>
      </c>
      <c r="J750" s="10" t="n">
        <v>53.652</v>
      </c>
      <c r="K750" s="10" t="n">
        <v>41.148</v>
      </c>
      <c r="L750" s="8" t="inlineStr">
        <is>
          <t>五部</t>
        </is>
      </c>
      <c r="M750" s="8" t="inlineStr">
        <is>
          <t>谢峰</t>
        </is>
      </c>
      <c r="N750" s="8" t="inlineStr">
        <is>
          <t>2-3年</t>
        </is>
      </c>
      <c r="O750" s="8" t="n"/>
    </row>
    <row r="751">
      <c r="A751" s="5" t="n">
        <v>749</v>
      </c>
      <c r="B751" s="5" t="inlineStr">
        <is>
          <t>西北-新疆</t>
        </is>
      </c>
      <c r="C751" s="5" t="inlineStr">
        <is>
          <t>基层自治组织</t>
        </is>
      </c>
      <c r="D751" s="6" t="inlineStr">
        <is>
          <t>HT20260412</t>
        </is>
      </c>
      <c r="E751" s="6" t="inlineStr">
        <is>
          <t>20260321</t>
        </is>
      </c>
      <c r="F751" s="10" t="n">
        <v>684.268</v>
      </c>
      <c r="G751" s="8" t="n"/>
      <c r="H751" s="10" t="n">
        <v>387.446</v>
      </c>
      <c r="I751" s="10" t="n">
        <v>296.822</v>
      </c>
      <c r="J751" s="10" t="n">
        <v>30.853</v>
      </c>
      <c r="K751" s="10" t="n">
        <v>265.969</v>
      </c>
      <c r="L751" s="8" t="inlineStr">
        <is>
          <t>三部</t>
        </is>
      </c>
      <c r="M751" s="8" t="inlineStr">
        <is>
          <t>马超</t>
        </is>
      </c>
      <c r="N751" s="8" t="inlineStr">
        <is>
          <t>1年以内</t>
        </is>
      </c>
      <c r="O751" s="8" t="n"/>
    </row>
    <row r="752">
      <c r="A752" s="5" t="n">
        <v>750</v>
      </c>
      <c r="B752" s="5" t="inlineStr">
        <is>
          <t>华东-江西</t>
        </is>
      </c>
      <c r="C752" s="5" t="inlineStr">
        <is>
          <t>政府机关</t>
        </is>
      </c>
      <c r="D752" s="6" t="inlineStr">
        <is>
          <t>HT20260413</t>
        </is>
      </c>
      <c r="E752" s="6" t="inlineStr">
        <is>
          <t>20260524</t>
        </is>
      </c>
      <c r="F752" s="10" t="n">
        <v>424.46</v>
      </c>
      <c r="G752" s="8" t="n"/>
      <c r="H752" s="10" t="n">
        <v>51.415</v>
      </c>
      <c r="I752" s="10" t="n">
        <v>373.045</v>
      </c>
      <c r="J752" s="10" t="n">
        <v>69.029</v>
      </c>
      <c r="K752" s="10" t="n">
        <v>304.016</v>
      </c>
      <c r="L752" s="8" t="inlineStr">
        <is>
          <t>一部</t>
        </is>
      </c>
      <c r="M752" s="8" t="inlineStr">
        <is>
          <t>陈静</t>
        </is>
      </c>
      <c r="N752" s="8" t="inlineStr">
        <is>
          <t>1年以内</t>
        </is>
      </c>
      <c r="O752" s="8" t="n"/>
    </row>
    <row r="753">
      <c r="A753" s="5" t="n">
        <v>751</v>
      </c>
      <c r="B753" s="5" t="inlineStr">
        <is>
          <t>华北-河北</t>
        </is>
      </c>
      <c r="C753" s="5" t="inlineStr">
        <is>
          <t>群团组织</t>
        </is>
      </c>
      <c r="D753" s="6" t="inlineStr">
        <is>
          <t>HT20260414</t>
        </is>
      </c>
      <c r="E753" s="6" t="inlineStr">
        <is>
          <t>20260124</t>
        </is>
      </c>
      <c r="F753" s="10" t="n">
        <v>211.956</v>
      </c>
      <c r="G753" s="8" t="n"/>
      <c r="H753" s="10" t="n">
        <v>66.20099999999999</v>
      </c>
      <c r="I753" s="10" t="n">
        <v>145.755</v>
      </c>
      <c r="J753" s="10" t="n">
        <v>79.152</v>
      </c>
      <c r="K753" s="10" t="n">
        <v>66.60299999999999</v>
      </c>
      <c r="L753" s="8" t="inlineStr">
        <is>
          <t>五部</t>
        </is>
      </c>
      <c r="M753" s="8" t="inlineStr">
        <is>
          <t>谢峰</t>
        </is>
      </c>
      <c r="N753" s="8" t="inlineStr">
        <is>
          <t>1年以内</t>
        </is>
      </c>
      <c r="O753" s="8" t="n"/>
    </row>
    <row r="754">
      <c r="A754" s="5" t="n">
        <v>752</v>
      </c>
      <c r="B754" s="5" t="inlineStr">
        <is>
          <t>东北-吉林</t>
        </is>
      </c>
      <c r="C754" s="5" t="inlineStr">
        <is>
          <t>人大政协</t>
        </is>
      </c>
      <c r="D754" s="6" t="inlineStr">
        <is>
          <t>HT20260415</t>
        </is>
      </c>
      <c r="E754" s="6" t="inlineStr">
        <is>
          <t>20260617</t>
        </is>
      </c>
      <c r="F754" s="10" t="n">
        <v>405.817</v>
      </c>
      <c r="G754" s="8" t="n"/>
      <c r="H754" s="10" t="n">
        <v>273.745</v>
      </c>
      <c r="I754" s="10" t="n">
        <v>132.072</v>
      </c>
      <c r="J754" s="10" t="n">
        <v>4.264</v>
      </c>
      <c r="K754" s="10" t="n">
        <v>127.808</v>
      </c>
      <c r="L754" s="8" t="inlineStr">
        <is>
          <t>二部</t>
        </is>
      </c>
      <c r="M754" s="8" t="inlineStr">
        <is>
          <t>黄强</t>
        </is>
      </c>
      <c r="N754" s="8" t="inlineStr">
        <is>
          <t>1年以内</t>
        </is>
      </c>
      <c r="O754" s="8" t="n"/>
    </row>
    <row r="755">
      <c r="A755" s="5" t="n">
        <v>753</v>
      </c>
      <c r="B755" s="5" t="inlineStr">
        <is>
          <t>华东-上海</t>
        </is>
      </c>
      <c r="C755" s="5" t="inlineStr">
        <is>
          <t>人大政协</t>
        </is>
      </c>
      <c r="D755" s="6" t="inlineStr">
        <is>
          <t>HT20260415</t>
        </is>
      </c>
      <c r="E755" s="6" t="inlineStr">
        <is>
          <t>20260617</t>
        </is>
      </c>
      <c r="F755" s="10" t="n">
        <v>684.651</v>
      </c>
      <c r="G755" s="8" t="n"/>
      <c r="H755" s="10" t="n">
        <v>614.446</v>
      </c>
      <c r="I755" s="10" t="n">
        <v>70.205</v>
      </c>
      <c r="J755" s="10" t="n">
        <v>55.018</v>
      </c>
      <c r="K755" s="10" t="n">
        <v>15.187</v>
      </c>
      <c r="L755" s="8" t="inlineStr">
        <is>
          <t>二部</t>
        </is>
      </c>
      <c r="M755" s="8" t="inlineStr">
        <is>
          <t>黄强</t>
        </is>
      </c>
      <c r="N755" s="8" t="inlineStr">
        <is>
          <t>1年以内</t>
        </is>
      </c>
      <c r="O755" s="8" t="n"/>
    </row>
    <row r="756">
      <c r="A756" s="5" t="n">
        <v>754</v>
      </c>
      <c r="B756" s="5" t="inlineStr">
        <is>
          <t>西南-西藏</t>
        </is>
      </c>
      <c r="C756" s="5" t="inlineStr">
        <is>
          <t>党委机关</t>
        </is>
      </c>
      <c r="D756" s="6" t="inlineStr">
        <is>
          <t>HT20260417</t>
        </is>
      </c>
      <c r="E756" s="6" t="inlineStr">
        <is>
          <t>20260708</t>
        </is>
      </c>
      <c r="F756" s="10" t="n">
        <v>566.27</v>
      </c>
      <c r="G756" s="8" t="n"/>
      <c r="H756" s="10" t="n">
        <v>277.159</v>
      </c>
      <c r="I756" s="10" t="n">
        <v>289.111</v>
      </c>
      <c r="J756" s="10" t="n">
        <v>20.494</v>
      </c>
      <c r="K756" s="10" t="n">
        <v>268.617</v>
      </c>
      <c r="L756" s="8" t="inlineStr">
        <is>
          <t>六部</t>
        </is>
      </c>
      <c r="M756" s="8" t="inlineStr">
        <is>
          <t>曹阳</t>
        </is>
      </c>
      <c r="N756" s="8" t="inlineStr">
        <is>
          <t>2-3年</t>
        </is>
      </c>
      <c r="O756" s="8" t="n"/>
    </row>
    <row r="757">
      <c r="A757" s="5" t="n">
        <v>755</v>
      </c>
      <c r="B757" s="5" t="inlineStr">
        <is>
          <t>华东-江西</t>
        </is>
      </c>
      <c r="C757" s="5" t="inlineStr">
        <is>
          <t>党委机关</t>
        </is>
      </c>
      <c r="D757" s="6" t="inlineStr">
        <is>
          <t>HT20260418</t>
        </is>
      </c>
      <c r="E757" s="6" t="inlineStr">
        <is>
          <t>20260407</t>
        </is>
      </c>
      <c r="F757" s="10" t="n">
        <v>859.131</v>
      </c>
      <c r="G757" s="8" t="n"/>
      <c r="H757" s="10" t="n">
        <v>501.328</v>
      </c>
      <c r="I757" s="10" t="n">
        <v>357.803</v>
      </c>
      <c r="J757" s="10" t="n">
        <v>23.687</v>
      </c>
      <c r="K757" s="10" t="n">
        <v>334.116</v>
      </c>
      <c r="L757" s="8" t="inlineStr">
        <is>
          <t>四部</t>
        </is>
      </c>
      <c r="M757" s="8" t="inlineStr">
        <is>
          <t>何萍</t>
        </is>
      </c>
      <c r="N757" s="8" t="inlineStr">
        <is>
          <t>1-2年</t>
        </is>
      </c>
      <c r="O757" s="8" t="n"/>
    </row>
    <row r="758">
      <c r="A758" s="5" t="n">
        <v>756</v>
      </c>
      <c r="B758" s="5" t="inlineStr">
        <is>
          <t>华东-山东</t>
        </is>
      </c>
      <c r="C758" s="5" t="inlineStr">
        <is>
          <t>党委机关</t>
        </is>
      </c>
      <c r="D758" s="6" t="inlineStr">
        <is>
          <t>HT20260419</t>
        </is>
      </c>
      <c r="E758" s="6" t="inlineStr">
        <is>
          <t>20260515</t>
        </is>
      </c>
      <c r="F758" s="10" t="n">
        <v>663.616</v>
      </c>
      <c r="G758" s="8" t="n"/>
      <c r="H758" s="10" t="n">
        <v>657.09</v>
      </c>
      <c r="I758" s="10" t="n">
        <v>6.526</v>
      </c>
      <c r="J758" s="10" t="n">
        <v>0.828</v>
      </c>
      <c r="K758" s="10" t="n">
        <v>5.698</v>
      </c>
      <c r="L758" s="8" t="inlineStr">
        <is>
          <t>十部</t>
        </is>
      </c>
      <c r="M758" s="8" t="inlineStr">
        <is>
          <t>阎莉</t>
        </is>
      </c>
      <c r="N758" s="8" t="inlineStr">
        <is>
          <t>1年以内</t>
        </is>
      </c>
      <c r="O758" s="8" t="n"/>
    </row>
    <row r="759">
      <c r="A759" s="5" t="n">
        <v>757</v>
      </c>
      <c r="B759" s="5" t="inlineStr">
        <is>
          <t>华中-湖南</t>
        </is>
      </c>
      <c r="C759" s="5" t="inlineStr">
        <is>
          <t>群团组织</t>
        </is>
      </c>
      <c r="D759" s="6" t="inlineStr">
        <is>
          <t>HT20260419</t>
        </is>
      </c>
      <c r="E759" s="6" t="inlineStr">
        <is>
          <t>20260515</t>
        </is>
      </c>
      <c r="F759" s="10" t="n">
        <v>300.694</v>
      </c>
      <c r="G759" s="8" t="n"/>
      <c r="H759" s="10" t="n">
        <v>8.372</v>
      </c>
      <c r="I759" s="10" t="n">
        <v>292.322</v>
      </c>
      <c r="J759" s="10" t="n">
        <v>210.597</v>
      </c>
      <c r="K759" s="10" t="n">
        <v>81.72499999999999</v>
      </c>
      <c r="L759" s="8" t="inlineStr">
        <is>
          <t>八部</t>
        </is>
      </c>
      <c r="M759" s="8" t="inlineStr">
        <is>
          <t>苏珊</t>
        </is>
      </c>
      <c r="N759" s="8" t="inlineStr">
        <is>
          <t>1年以内</t>
        </is>
      </c>
      <c r="O759" s="8" t="n"/>
    </row>
    <row r="760">
      <c r="A760" s="5" t="n">
        <v>758</v>
      </c>
      <c r="B760" s="5" t="inlineStr">
        <is>
          <t>华南-广西</t>
        </is>
      </c>
      <c r="C760" s="5" t="inlineStr">
        <is>
          <t>事业单位</t>
        </is>
      </c>
      <c r="D760" s="6" t="inlineStr">
        <is>
          <t>HT20260419</t>
        </is>
      </c>
      <c r="E760" s="6" t="inlineStr">
        <is>
          <t>20260515</t>
        </is>
      </c>
      <c r="F760" s="10" t="n">
        <v>528.179</v>
      </c>
      <c r="G760" s="8" t="n"/>
      <c r="H760" s="10" t="n">
        <v>105.717</v>
      </c>
      <c r="I760" s="10" t="n">
        <v>422.462</v>
      </c>
      <c r="J760" s="10" t="n">
        <v>286.928</v>
      </c>
      <c r="K760" s="10" t="n">
        <v>135.534</v>
      </c>
      <c r="L760" s="8" t="inlineStr">
        <is>
          <t>四部</t>
        </is>
      </c>
      <c r="M760" s="8" t="inlineStr">
        <is>
          <t>何萍</t>
        </is>
      </c>
      <c r="N760" s="8" t="inlineStr">
        <is>
          <t>1年以内</t>
        </is>
      </c>
      <c r="O760" s="8" t="n"/>
    </row>
    <row r="761">
      <c r="A761" s="5" t="n">
        <v>759</v>
      </c>
      <c r="B761" s="5" t="inlineStr">
        <is>
          <t>华南-广东</t>
        </is>
      </c>
      <c r="C761" s="5" t="inlineStr">
        <is>
          <t>人大政协</t>
        </is>
      </c>
      <c r="D761" s="6" t="inlineStr">
        <is>
          <t>HT20260419</t>
        </is>
      </c>
      <c r="E761" s="6" t="inlineStr">
        <is>
          <t>20260515</t>
        </is>
      </c>
      <c r="F761" s="10" t="n">
        <v>920.665</v>
      </c>
      <c r="G761" s="8" t="n"/>
      <c r="H761" s="10" t="n">
        <v>815.354</v>
      </c>
      <c r="I761" s="10" t="n">
        <v>105.311</v>
      </c>
      <c r="J761" s="10" t="n">
        <v>37.964</v>
      </c>
      <c r="K761" s="10" t="n">
        <v>67.34699999999999</v>
      </c>
      <c r="L761" s="8" t="inlineStr">
        <is>
          <t>六部</t>
        </is>
      </c>
      <c r="M761" s="8" t="inlineStr">
        <is>
          <t>董辉</t>
        </is>
      </c>
      <c r="N761" s="8" t="inlineStr">
        <is>
          <t>1年以内</t>
        </is>
      </c>
      <c r="O761" s="8" t="n"/>
    </row>
    <row r="762">
      <c r="A762" s="5" t="n">
        <v>760</v>
      </c>
      <c r="B762" s="5" t="inlineStr">
        <is>
          <t>华中-湖北</t>
        </is>
      </c>
      <c r="C762" s="5" t="inlineStr">
        <is>
          <t>基层自治组织</t>
        </is>
      </c>
      <c r="D762" s="6" t="inlineStr">
        <is>
          <t>HT20260420</t>
        </is>
      </c>
      <c r="E762" s="6" t="inlineStr">
        <is>
          <t>20260312</t>
        </is>
      </c>
      <c r="F762" s="10" t="n">
        <v>7071.263</v>
      </c>
      <c r="G762" s="8" t="n"/>
      <c r="H762" s="10" t="n">
        <v>4307.733</v>
      </c>
      <c r="I762" s="10" t="n">
        <v>2763.53</v>
      </c>
      <c r="J762" s="10" t="n">
        <v>1856.587</v>
      </c>
      <c r="K762" s="10" t="n">
        <v>906.943</v>
      </c>
      <c r="L762" s="8" t="inlineStr">
        <is>
          <t>三部</t>
        </is>
      </c>
      <c r="M762" s="8" t="inlineStr">
        <is>
          <t>朱军</t>
        </is>
      </c>
      <c r="N762" s="8" t="inlineStr">
        <is>
          <t>2-3年</t>
        </is>
      </c>
      <c r="O762" s="8" t="n"/>
    </row>
    <row r="763">
      <c r="A763" s="5" t="n">
        <v>761</v>
      </c>
      <c r="B763" s="5" t="inlineStr">
        <is>
          <t>华南-香港</t>
        </is>
      </c>
      <c r="C763" s="5" t="inlineStr">
        <is>
          <t>国有企业</t>
        </is>
      </c>
      <c r="D763" s="6" t="inlineStr">
        <is>
          <t>HT20260421</t>
        </is>
      </c>
      <c r="E763" s="6" t="inlineStr">
        <is>
          <t>20260228</t>
        </is>
      </c>
      <c r="F763" s="10" t="n">
        <v>440.093</v>
      </c>
      <c r="G763" s="8" t="n"/>
      <c r="H763" s="10" t="n">
        <v>285.358</v>
      </c>
      <c r="I763" s="10" t="n">
        <v>154.735</v>
      </c>
      <c r="J763" s="10" t="n">
        <v>76.527</v>
      </c>
      <c r="K763" s="10" t="n">
        <v>78.208</v>
      </c>
      <c r="L763" s="8" t="inlineStr">
        <is>
          <t>八部</t>
        </is>
      </c>
      <c r="M763" s="8" t="inlineStr">
        <is>
          <t>吕强</t>
        </is>
      </c>
      <c r="N763" s="8" t="inlineStr">
        <is>
          <t>1年以内</t>
        </is>
      </c>
      <c r="O763" s="8" t="n"/>
    </row>
    <row r="764">
      <c r="A764" s="5" t="n">
        <v>762</v>
      </c>
      <c r="B764" s="5" t="inlineStr">
        <is>
          <t>华中-湖北</t>
        </is>
      </c>
      <c r="C764" s="5" t="inlineStr">
        <is>
          <t>党委机关</t>
        </is>
      </c>
      <c r="D764" s="6" t="inlineStr">
        <is>
          <t>HT20260421</t>
        </is>
      </c>
      <c r="E764" s="6" t="inlineStr">
        <is>
          <t>20260228</t>
        </is>
      </c>
      <c r="F764" s="10" t="n">
        <v>764.154</v>
      </c>
      <c r="G764" s="8" t="n"/>
      <c r="H764" s="10" t="n">
        <v>69.411</v>
      </c>
      <c r="I764" s="10" t="n">
        <v>694.7430000000001</v>
      </c>
      <c r="J764" s="10" t="n">
        <v>402.469</v>
      </c>
      <c r="K764" s="10" t="n">
        <v>292.274</v>
      </c>
      <c r="L764" s="8" t="inlineStr">
        <is>
          <t>九部</t>
        </is>
      </c>
      <c r="M764" s="8" t="inlineStr">
        <is>
          <t>丁磊</t>
        </is>
      </c>
      <c r="N764" s="8" t="inlineStr">
        <is>
          <t>1-2年</t>
        </is>
      </c>
      <c r="O764" s="8" t="n"/>
    </row>
    <row r="765">
      <c r="A765" s="5" t="n">
        <v>763</v>
      </c>
      <c r="B765" s="5" t="inlineStr">
        <is>
          <t>华东-江西</t>
        </is>
      </c>
      <c r="C765" s="5" t="inlineStr">
        <is>
          <t>基层自治组织</t>
        </is>
      </c>
      <c r="D765" s="6" t="inlineStr">
        <is>
          <t>HT20260421</t>
        </is>
      </c>
      <c r="E765" s="6" t="inlineStr">
        <is>
          <t>20260228</t>
        </is>
      </c>
      <c r="F765" s="10" t="n">
        <v>518.324</v>
      </c>
      <c r="G765" s="8" t="n"/>
      <c r="H765" s="10" t="n">
        <v>128.58</v>
      </c>
      <c r="I765" s="10" t="n">
        <v>389.744</v>
      </c>
      <c r="J765" s="10" t="n">
        <v>98.28400000000001</v>
      </c>
      <c r="K765" s="10" t="n">
        <v>291.46</v>
      </c>
      <c r="L765" s="8" t="inlineStr">
        <is>
          <t>六部</t>
        </is>
      </c>
      <c r="M765" s="8" t="inlineStr">
        <is>
          <t>董辉</t>
        </is>
      </c>
      <c r="N765" s="8" t="inlineStr">
        <is>
          <t>2-3年</t>
        </is>
      </c>
      <c r="O765" s="8" t="n"/>
    </row>
    <row r="766">
      <c r="A766" s="5" t="n">
        <v>764</v>
      </c>
      <c r="B766" s="5" t="inlineStr">
        <is>
          <t>西北-甘肃</t>
        </is>
      </c>
      <c r="C766" s="5" t="inlineStr">
        <is>
          <t>国有企业</t>
        </is>
      </c>
      <c r="D766" s="6" t="inlineStr">
        <is>
          <t>HT20260422</t>
        </is>
      </c>
      <c r="E766" s="6" t="inlineStr">
        <is>
          <t>20260214</t>
        </is>
      </c>
      <c r="F766" s="10" t="n">
        <v>637.298</v>
      </c>
      <c r="G766" s="8" t="n"/>
      <c r="H766" s="10" t="n">
        <v>212.972</v>
      </c>
      <c r="I766" s="10" t="n">
        <v>424.326</v>
      </c>
      <c r="J766" s="10" t="n">
        <v>338.342</v>
      </c>
      <c r="K766" s="10" t="n">
        <v>85.98399999999999</v>
      </c>
      <c r="L766" s="8" t="inlineStr">
        <is>
          <t>四部</t>
        </is>
      </c>
      <c r="M766" s="8" t="inlineStr">
        <is>
          <t>郭鹏</t>
        </is>
      </c>
      <c r="N766" s="8" t="inlineStr">
        <is>
          <t>1-2年</t>
        </is>
      </c>
      <c r="O766" s="8" t="n"/>
    </row>
    <row r="767">
      <c r="A767" s="5" t="n">
        <v>765</v>
      </c>
      <c r="B767" s="5" t="inlineStr">
        <is>
          <t>东北-黑龙江</t>
        </is>
      </c>
      <c r="C767" s="5" t="inlineStr">
        <is>
          <t>监察司法机关</t>
        </is>
      </c>
      <c r="D767" s="6" t="inlineStr">
        <is>
          <t>HT20260424</t>
        </is>
      </c>
      <c r="E767" s="6" t="inlineStr">
        <is>
          <t>20260521</t>
        </is>
      </c>
      <c r="F767" s="10" t="n">
        <v>777.353</v>
      </c>
      <c r="G767" s="8" t="n"/>
      <c r="H767" s="10" t="n">
        <v>665.3869999999999</v>
      </c>
      <c r="I767" s="10" t="n">
        <v>111.966</v>
      </c>
      <c r="J767" s="10" t="n">
        <v>28.711</v>
      </c>
      <c r="K767" s="10" t="n">
        <v>83.255</v>
      </c>
      <c r="L767" s="8" t="inlineStr">
        <is>
          <t>六部</t>
        </is>
      </c>
      <c r="M767" s="8" t="inlineStr">
        <is>
          <t>冯倩</t>
        </is>
      </c>
      <c r="N767" s="8" t="inlineStr">
        <is>
          <t>2-3年</t>
        </is>
      </c>
      <c r="O767" s="8" t="n"/>
    </row>
    <row r="768">
      <c r="A768" s="5" t="n">
        <v>766</v>
      </c>
      <c r="B768" s="5" t="inlineStr">
        <is>
          <t>西北-宁夏</t>
        </is>
      </c>
      <c r="C768" s="5" t="inlineStr">
        <is>
          <t>国有企业</t>
        </is>
      </c>
      <c r="D768" s="6" t="inlineStr">
        <is>
          <t>HT20260424</t>
        </is>
      </c>
      <c r="E768" s="6" t="inlineStr">
        <is>
          <t>20260521</t>
        </is>
      </c>
      <c r="F768" s="10" t="n">
        <v>357.196</v>
      </c>
      <c r="G768" s="8" t="n"/>
      <c r="H768" s="10" t="n">
        <v>106.708</v>
      </c>
      <c r="I768" s="10" t="n">
        <v>250.488</v>
      </c>
      <c r="J768" s="10" t="n">
        <v>103.296</v>
      </c>
      <c r="K768" s="10" t="n">
        <v>147.192</v>
      </c>
      <c r="L768" s="8" t="inlineStr">
        <is>
          <t>八部</t>
        </is>
      </c>
      <c r="M768" s="8" t="inlineStr">
        <is>
          <t>苏珊</t>
        </is>
      </c>
      <c r="N768" s="8" t="inlineStr">
        <is>
          <t>1-2年</t>
        </is>
      </c>
      <c r="O768" s="8" t="n"/>
    </row>
    <row r="769">
      <c r="A769" s="5" t="n">
        <v>767</v>
      </c>
      <c r="B769" s="5" t="inlineStr">
        <is>
          <t>华南-海南</t>
        </is>
      </c>
      <c r="C769" s="5" t="inlineStr">
        <is>
          <t>国有企业</t>
        </is>
      </c>
      <c r="D769" s="6" t="inlineStr">
        <is>
          <t>HT20260424</t>
        </is>
      </c>
      <c r="E769" s="6" t="inlineStr">
        <is>
          <t>20260521</t>
        </is>
      </c>
      <c r="F769" s="10" t="n">
        <v>687.668</v>
      </c>
      <c r="G769" s="8" t="n"/>
      <c r="H769" s="10" t="n">
        <v>391.282</v>
      </c>
      <c r="I769" s="10" t="n">
        <v>296.386</v>
      </c>
      <c r="J769" s="10" t="n">
        <v>262.242</v>
      </c>
      <c r="K769" s="10" t="n">
        <v>34.144</v>
      </c>
      <c r="L769" s="8" t="inlineStr">
        <is>
          <t>五部</t>
        </is>
      </c>
      <c r="M769" s="8" t="inlineStr">
        <is>
          <t>谢峰</t>
        </is>
      </c>
      <c r="N769" s="8" t="inlineStr">
        <is>
          <t>2-3年</t>
        </is>
      </c>
      <c r="O769" s="8" t="n"/>
    </row>
    <row r="770">
      <c r="A770" s="5" t="n">
        <v>768</v>
      </c>
      <c r="B770" s="5" t="inlineStr">
        <is>
          <t>华东-山东</t>
        </is>
      </c>
      <c r="C770" s="5" t="inlineStr">
        <is>
          <t>基层自治组织</t>
        </is>
      </c>
      <c r="D770" s="6" t="inlineStr">
        <is>
          <t>HT20260426</t>
        </is>
      </c>
      <c r="E770" s="6" t="inlineStr">
        <is>
          <t>20260513</t>
        </is>
      </c>
      <c r="F770" s="10" t="n">
        <v>191.515</v>
      </c>
      <c r="G770" s="8" t="n"/>
      <c r="H770" s="10" t="n">
        <v>50.843</v>
      </c>
      <c r="I770" s="10" t="n">
        <v>140.672</v>
      </c>
      <c r="J770" s="10" t="n">
        <v>79.958</v>
      </c>
      <c r="K770" s="10" t="n">
        <v>60.714</v>
      </c>
      <c r="L770" s="8" t="inlineStr">
        <is>
          <t>六部</t>
        </is>
      </c>
      <c r="M770" s="8" t="inlineStr">
        <is>
          <t>冯倩</t>
        </is>
      </c>
      <c r="N770" s="8" t="inlineStr">
        <is>
          <t>2-3年</t>
        </is>
      </c>
      <c r="O770" s="8" t="n"/>
    </row>
    <row r="771">
      <c r="A771" s="5" t="n">
        <v>769</v>
      </c>
      <c r="B771" s="5" t="inlineStr">
        <is>
          <t>东北-黑龙江</t>
        </is>
      </c>
      <c r="C771" s="5" t="inlineStr">
        <is>
          <t>事业单位</t>
        </is>
      </c>
      <c r="D771" s="6" t="inlineStr">
        <is>
          <t>HT20260427</t>
        </is>
      </c>
      <c r="E771" s="6" t="inlineStr">
        <is>
          <t>20260603</t>
        </is>
      </c>
      <c r="F771" s="10" t="n">
        <v>606.1660000000001</v>
      </c>
      <c r="G771" s="8" t="n"/>
      <c r="H771" s="10" t="n">
        <v>169.262</v>
      </c>
      <c r="I771" s="10" t="n">
        <v>436.904</v>
      </c>
      <c r="J771" s="10" t="n">
        <v>35.989</v>
      </c>
      <c r="K771" s="10" t="n">
        <v>400.915</v>
      </c>
      <c r="L771" s="8" t="inlineStr">
        <is>
          <t>三部</t>
        </is>
      </c>
      <c r="M771" s="8" t="inlineStr">
        <is>
          <t>胡蓉</t>
        </is>
      </c>
      <c r="N771" s="8" t="inlineStr">
        <is>
          <t>2-3年</t>
        </is>
      </c>
      <c r="O771" s="8" t="n"/>
    </row>
    <row r="772">
      <c r="A772" s="5" t="n">
        <v>770</v>
      </c>
      <c r="B772" s="5" t="inlineStr">
        <is>
          <t>华南-香港</t>
        </is>
      </c>
      <c r="C772" s="5" t="inlineStr">
        <is>
          <t>政府机关</t>
        </is>
      </c>
      <c r="D772" s="6" t="inlineStr">
        <is>
          <t>HT20260427</t>
        </is>
      </c>
      <c r="E772" s="6" t="inlineStr">
        <is>
          <t>20260603</t>
        </is>
      </c>
      <c r="F772" s="10" t="n">
        <v>262.726</v>
      </c>
      <c r="G772" s="8" t="n"/>
      <c r="H772" s="10" t="n">
        <v>213.479</v>
      </c>
      <c r="I772" s="10" t="n">
        <v>49.247</v>
      </c>
      <c r="J772" s="10" t="n">
        <v>44.681</v>
      </c>
      <c r="K772" s="10" t="n">
        <v>4.566</v>
      </c>
      <c r="L772" s="8" t="inlineStr">
        <is>
          <t>五部</t>
        </is>
      </c>
      <c r="M772" s="8" t="inlineStr">
        <is>
          <t>韩梅</t>
        </is>
      </c>
      <c r="N772" s="8" t="inlineStr">
        <is>
          <t>1-2年</t>
        </is>
      </c>
      <c r="O772" s="8" t="n"/>
    </row>
    <row r="773">
      <c r="A773" s="5" t="n">
        <v>771</v>
      </c>
      <c r="B773" s="5" t="inlineStr">
        <is>
          <t>华北-内蒙古</t>
        </is>
      </c>
      <c r="C773" s="5" t="inlineStr">
        <is>
          <t>事业单位</t>
        </is>
      </c>
      <c r="D773" s="6" t="inlineStr">
        <is>
          <t>HT20260427</t>
        </is>
      </c>
      <c r="E773" s="6" t="inlineStr">
        <is>
          <t>20260603</t>
        </is>
      </c>
      <c r="F773" s="10" t="n">
        <v>593.372</v>
      </c>
      <c r="G773" s="8" t="n"/>
      <c r="H773" s="10" t="n">
        <v>49.431</v>
      </c>
      <c r="I773" s="10" t="n">
        <v>543.941</v>
      </c>
      <c r="J773" s="10" t="n">
        <v>500.022</v>
      </c>
      <c r="K773" s="10" t="n">
        <v>43.919</v>
      </c>
      <c r="L773" s="8" t="inlineStr">
        <is>
          <t>一部</t>
        </is>
      </c>
      <c r="M773" s="8" t="inlineStr">
        <is>
          <t>李娜</t>
        </is>
      </c>
      <c r="N773" s="8" t="inlineStr">
        <is>
          <t>1年以内</t>
        </is>
      </c>
      <c r="O773" s="8" t="n"/>
    </row>
    <row r="774">
      <c r="A774" s="5" t="n">
        <v>772</v>
      </c>
      <c r="B774" s="5" t="inlineStr">
        <is>
          <t>华南-海南</t>
        </is>
      </c>
      <c r="C774" s="5" t="inlineStr">
        <is>
          <t>基层自治组织</t>
        </is>
      </c>
      <c r="D774" s="6" t="inlineStr">
        <is>
          <t>HT20260427</t>
        </is>
      </c>
      <c r="E774" s="6" t="inlineStr">
        <is>
          <t>20260603</t>
        </is>
      </c>
      <c r="F774" s="10" t="n">
        <v>199.597</v>
      </c>
      <c r="G774" s="8" t="n"/>
      <c r="H774" s="10" t="n">
        <v>193.515</v>
      </c>
      <c r="I774" s="10" t="n">
        <v>6.082</v>
      </c>
      <c r="J774" s="10" t="n">
        <v>0.673</v>
      </c>
      <c r="K774" s="10" t="n">
        <v>5.409</v>
      </c>
      <c r="L774" s="8" t="inlineStr">
        <is>
          <t>五部</t>
        </is>
      </c>
      <c r="M774" s="8" t="inlineStr">
        <is>
          <t>韩梅</t>
        </is>
      </c>
      <c r="N774" s="8" t="inlineStr">
        <is>
          <t>2-3年</t>
        </is>
      </c>
      <c r="O774" s="8" t="n"/>
    </row>
    <row r="775">
      <c r="A775" s="5" t="n">
        <v>773</v>
      </c>
      <c r="B775" s="5" t="inlineStr">
        <is>
          <t>华东-江西</t>
        </is>
      </c>
      <c r="C775" s="5" t="inlineStr">
        <is>
          <t>监察司法机关</t>
        </is>
      </c>
      <c r="D775" s="6" t="inlineStr">
        <is>
          <t>HT20260428</t>
        </is>
      </c>
      <c r="E775" s="6" t="inlineStr">
        <is>
          <t>20260418</t>
        </is>
      </c>
      <c r="F775" s="10" t="n">
        <v>5442.935</v>
      </c>
      <c r="G775" s="8" t="n"/>
      <c r="H775" s="10" t="n">
        <v>2617.602</v>
      </c>
      <c r="I775" s="10" t="n">
        <v>2825.333</v>
      </c>
      <c r="J775" s="10" t="n">
        <v>1864.616</v>
      </c>
      <c r="K775" s="10" t="n">
        <v>960.717</v>
      </c>
      <c r="L775" s="8" t="inlineStr">
        <is>
          <t>十部</t>
        </is>
      </c>
      <c r="M775" s="8" t="inlineStr">
        <is>
          <t>侯敏</t>
        </is>
      </c>
      <c r="N775" s="8" t="inlineStr">
        <is>
          <t>1年以内</t>
        </is>
      </c>
      <c r="O775" s="8" t="n"/>
    </row>
    <row r="776">
      <c r="A776" s="5" t="n">
        <v>774</v>
      </c>
      <c r="B776" s="5" t="inlineStr">
        <is>
          <t>华东-山东</t>
        </is>
      </c>
      <c r="C776" s="5" t="inlineStr">
        <is>
          <t>人大政协</t>
        </is>
      </c>
      <c r="D776" s="6" t="inlineStr">
        <is>
          <t>HT20260428</t>
        </is>
      </c>
      <c r="E776" s="6" t="inlineStr">
        <is>
          <t>20260418</t>
        </is>
      </c>
      <c r="F776" s="10" t="n">
        <v>483.333</v>
      </c>
      <c r="G776" s="8" t="n"/>
      <c r="H776" s="10" t="n">
        <v>214.344</v>
      </c>
      <c r="I776" s="10" t="n">
        <v>268.989</v>
      </c>
      <c r="J776" s="10" t="n">
        <v>123.877</v>
      </c>
      <c r="K776" s="10" t="n">
        <v>145.112</v>
      </c>
      <c r="L776" s="8" t="inlineStr">
        <is>
          <t>二部</t>
        </is>
      </c>
      <c r="M776" s="8" t="inlineStr">
        <is>
          <t>周杰</t>
        </is>
      </c>
      <c r="N776" s="8" t="inlineStr">
        <is>
          <t>1年以内</t>
        </is>
      </c>
      <c r="O776" s="8" t="n"/>
    </row>
    <row r="777">
      <c r="A777" s="5" t="n">
        <v>775</v>
      </c>
      <c r="B777" s="5" t="inlineStr">
        <is>
          <t>华东-台湾</t>
        </is>
      </c>
      <c r="C777" s="5" t="inlineStr">
        <is>
          <t>政府机关</t>
        </is>
      </c>
      <c r="D777" s="6" t="inlineStr">
        <is>
          <t>HT20260428</t>
        </is>
      </c>
      <c r="E777" s="6" t="inlineStr">
        <is>
          <t>20260418</t>
        </is>
      </c>
      <c r="F777" s="10" t="n">
        <v>622.465</v>
      </c>
      <c r="G777" s="8" t="n"/>
      <c r="H777" s="10" t="n">
        <v>31.1</v>
      </c>
      <c r="I777" s="10" t="n">
        <v>591.365</v>
      </c>
      <c r="J777" s="10" t="n">
        <v>144.049</v>
      </c>
      <c r="K777" s="10" t="n">
        <v>447.316</v>
      </c>
      <c r="L777" s="8" t="inlineStr">
        <is>
          <t>三部</t>
        </is>
      </c>
      <c r="M777" s="8" t="inlineStr">
        <is>
          <t>马超</t>
        </is>
      </c>
      <c r="N777" s="8" t="inlineStr">
        <is>
          <t>1年以内</t>
        </is>
      </c>
      <c r="O777" s="8" t="n"/>
    </row>
    <row r="778">
      <c r="A778" s="5" t="n">
        <v>776</v>
      </c>
      <c r="B778" s="5" t="inlineStr">
        <is>
          <t>华中-湖南</t>
        </is>
      </c>
      <c r="C778" s="5" t="inlineStr">
        <is>
          <t>政府机关</t>
        </is>
      </c>
      <c r="D778" s="6" t="inlineStr">
        <is>
          <t>HT20260429</t>
        </is>
      </c>
      <c r="E778" s="6" t="inlineStr">
        <is>
          <t>20260616</t>
        </is>
      </c>
      <c r="F778" s="10" t="n">
        <v>315.092</v>
      </c>
      <c r="G778" s="8" t="n"/>
      <c r="H778" s="10" t="n">
        <v>228.355</v>
      </c>
      <c r="I778" s="10" t="n">
        <v>86.73699999999999</v>
      </c>
      <c r="J778" s="10" t="n">
        <v>27.254</v>
      </c>
      <c r="K778" s="10" t="n">
        <v>59.483</v>
      </c>
      <c r="L778" s="8" t="inlineStr">
        <is>
          <t>一部</t>
        </is>
      </c>
      <c r="M778" s="8" t="inlineStr">
        <is>
          <t>刘洋</t>
        </is>
      </c>
      <c r="N778" s="8" t="inlineStr">
        <is>
          <t>1-2年</t>
        </is>
      </c>
      <c r="O778" s="8" t="n"/>
    </row>
    <row r="779">
      <c r="A779" s="5" t="n">
        <v>777</v>
      </c>
      <c r="B779" s="5" t="inlineStr">
        <is>
          <t>西北-新疆</t>
        </is>
      </c>
      <c r="C779" s="5" t="inlineStr">
        <is>
          <t>监察司法机关</t>
        </is>
      </c>
      <c r="D779" s="6" t="inlineStr">
        <is>
          <t>HT20260429</t>
        </is>
      </c>
      <c r="E779" s="6" t="inlineStr">
        <is>
          <t>20260616</t>
        </is>
      </c>
      <c r="F779" s="10" t="n">
        <v>604.005</v>
      </c>
      <c r="G779" s="8" t="n"/>
      <c r="H779" s="10" t="n">
        <v>526.866</v>
      </c>
      <c r="I779" s="10" t="n">
        <v>77.139</v>
      </c>
      <c r="J779" s="10" t="n">
        <v>48.062</v>
      </c>
      <c r="K779" s="10" t="n">
        <v>29.077</v>
      </c>
      <c r="L779" s="8" t="inlineStr">
        <is>
          <t>二部</t>
        </is>
      </c>
      <c r="M779" s="8" t="inlineStr">
        <is>
          <t>赵敏</t>
        </is>
      </c>
      <c r="N779" s="8" t="inlineStr">
        <is>
          <t>1-2年</t>
        </is>
      </c>
      <c r="O779" s="8" t="n"/>
    </row>
    <row r="780">
      <c r="A780" s="5" t="n">
        <v>778</v>
      </c>
      <c r="B780" s="5" t="inlineStr">
        <is>
          <t>西北-新疆</t>
        </is>
      </c>
      <c r="C780" s="5" t="inlineStr">
        <is>
          <t>政府机关</t>
        </is>
      </c>
      <c r="D780" s="6" t="inlineStr">
        <is>
          <t>HT20260430</t>
        </is>
      </c>
      <c r="E780" s="6" t="inlineStr">
        <is>
          <t>20260527</t>
        </is>
      </c>
      <c r="F780" s="10" t="n">
        <v>5014.925</v>
      </c>
      <c r="G780" s="8" t="n"/>
      <c r="H780" s="10" t="n">
        <v>2593.818</v>
      </c>
      <c r="I780" s="10" t="n">
        <v>2421.107</v>
      </c>
      <c r="J780" s="10" t="n">
        <v>2034.421</v>
      </c>
      <c r="K780" s="10" t="n">
        <v>386.686</v>
      </c>
      <c r="L780" s="8" t="inlineStr">
        <is>
          <t>一部</t>
        </is>
      </c>
      <c r="M780" s="8" t="inlineStr">
        <is>
          <t>张伟</t>
        </is>
      </c>
      <c r="N780" s="8" t="inlineStr">
        <is>
          <t>1年以内</t>
        </is>
      </c>
      <c r="O780" s="8" t="n"/>
    </row>
    <row r="781">
      <c r="A781" s="5" t="n">
        <v>779</v>
      </c>
      <c r="B781" s="5" t="inlineStr">
        <is>
          <t>西北-陕西</t>
        </is>
      </c>
      <c r="C781" s="5" t="inlineStr">
        <is>
          <t>基层自治组织</t>
        </is>
      </c>
      <c r="D781" s="6" t="inlineStr">
        <is>
          <t>HT20260501</t>
        </is>
      </c>
      <c r="E781" s="6" t="inlineStr">
        <is>
          <t>20260318</t>
        </is>
      </c>
      <c r="F781" s="10" t="n">
        <v>210.166</v>
      </c>
      <c r="G781" s="8" t="n"/>
      <c r="H781" s="10" t="n">
        <v>60.737</v>
      </c>
      <c r="I781" s="10" t="n">
        <v>149.429</v>
      </c>
      <c r="J781" s="10" t="n">
        <v>111.959</v>
      </c>
      <c r="K781" s="10" t="n">
        <v>37.47</v>
      </c>
      <c r="L781" s="8" t="inlineStr">
        <is>
          <t>四部</t>
        </is>
      </c>
      <c r="M781" s="8" t="inlineStr">
        <is>
          <t>罗刚</t>
        </is>
      </c>
      <c r="N781" s="8" t="inlineStr">
        <is>
          <t>2-3年</t>
        </is>
      </c>
      <c r="O781" s="8" t="n"/>
    </row>
    <row r="782">
      <c r="A782" s="5" t="n">
        <v>780</v>
      </c>
      <c r="B782" s="5" t="inlineStr">
        <is>
          <t>东北-黑龙江</t>
        </is>
      </c>
      <c r="C782" s="5" t="inlineStr">
        <is>
          <t>党委机关</t>
        </is>
      </c>
      <c r="D782" s="6" t="inlineStr">
        <is>
          <t>HT20260501</t>
        </is>
      </c>
      <c r="E782" s="6" t="inlineStr">
        <is>
          <t>20260318</t>
        </is>
      </c>
      <c r="F782" s="10" t="n">
        <v>803.9829999999999</v>
      </c>
      <c r="G782" s="8" t="n"/>
      <c r="H782" s="10" t="n">
        <v>788.554</v>
      </c>
      <c r="I782" s="10" t="n">
        <v>15.429</v>
      </c>
      <c r="J782" s="10" t="n">
        <v>15.222</v>
      </c>
      <c r="K782" s="10" t="n">
        <v>0.207</v>
      </c>
      <c r="L782" s="8" t="inlineStr">
        <is>
          <t>六部</t>
        </is>
      </c>
      <c r="M782" s="8" t="inlineStr">
        <is>
          <t>董辉</t>
        </is>
      </c>
      <c r="N782" s="8" t="inlineStr">
        <is>
          <t>1-2年</t>
        </is>
      </c>
      <c r="O782" s="8" t="n"/>
    </row>
    <row r="783">
      <c r="A783" s="5" t="n">
        <v>781</v>
      </c>
      <c r="B783" s="5" t="inlineStr">
        <is>
          <t>华南-海南</t>
        </is>
      </c>
      <c r="C783" s="5" t="inlineStr">
        <is>
          <t>党委机关</t>
        </is>
      </c>
      <c r="D783" s="6" t="inlineStr">
        <is>
          <t>HT20260502</t>
        </is>
      </c>
      <c r="E783" s="6" t="inlineStr">
        <is>
          <t>20260418</t>
        </is>
      </c>
      <c r="F783" s="10" t="n">
        <v>518.753</v>
      </c>
      <c r="G783" s="8" t="n"/>
      <c r="H783" s="10" t="n">
        <v>42.557</v>
      </c>
      <c r="I783" s="10" t="n">
        <v>476.196</v>
      </c>
      <c r="J783" s="10" t="n">
        <v>365.781</v>
      </c>
      <c r="K783" s="10" t="n">
        <v>110.415</v>
      </c>
      <c r="L783" s="8" t="inlineStr">
        <is>
          <t>八部</t>
        </is>
      </c>
      <c r="M783" s="8" t="inlineStr">
        <is>
          <t>彭燕</t>
        </is>
      </c>
      <c r="N783" s="8" t="inlineStr">
        <is>
          <t>2-3年</t>
        </is>
      </c>
      <c r="O783" s="8" t="n"/>
    </row>
    <row r="784">
      <c r="A784" s="5" t="n">
        <v>782</v>
      </c>
      <c r="B784" s="5" t="inlineStr">
        <is>
          <t>华东-浙江</t>
        </is>
      </c>
      <c r="C784" s="5" t="inlineStr">
        <is>
          <t>党委机关</t>
        </is>
      </c>
      <c r="D784" s="6" t="inlineStr">
        <is>
          <t>HT20260502</t>
        </is>
      </c>
      <c r="E784" s="6" t="inlineStr">
        <is>
          <t>20260418</t>
        </is>
      </c>
      <c r="F784" s="10" t="n">
        <v>765.139</v>
      </c>
      <c r="G784" s="8" t="n"/>
      <c r="H784" s="10" t="n">
        <v>376.712</v>
      </c>
      <c r="I784" s="10" t="n">
        <v>388.427</v>
      </c>
      <c r="J784" s="10" t="n">
        <v>166.33</v>
      </c>
      <c r="K784" s="10" t="n">
        <v>222.097</v>
      </c>
      <c r="L784" s="8" t="inlineStr">
        <is>
          <t>六部</t>
        </is>
      </c>
      <c r="M784" s="8" t="inlineStr">
        <is>
          <t>程琳</t>
        </is>
      </c>
      <c r="N784" s="8" t="inlineStr">
        <is>
          <t>2-3年</t>
        </is>
      </c>
      <c r="O784" s="8" t="n"/>
    </row>
    <row r="785">
      <c r="A785" s="5" t="n">
        <v>783</v>
      </c>
      <c r="B785" s="5" t="inlineStr">
        <is>
          <t>华东-福建</t>
        </is>
      </c>
      <c r="C785" s="5" t="inlineStr">
        <is>
          <t>政府机关</t>
        </is>
      </c>
      <c r="D785" s="6" t="inlineStr">
        <is>
          <t>HT20260503</t>
        </is>
      </c>
      <c r="E785" s="6" t="inlineStr">
        <is>
          <t>20260629</t>
        </is>
      </c>
      <c r="F785" s="10" t="n">
        <v>97.283</v>
      </c>
      <c r="G785" s="8" t="n"/>
      <c r="H785" s="10" t="n">
        <v>73.61</v>
      </c>
      <c r="I785" s="10" t="n">
        <v>23.673</v>
      </c>
      <c r="J785" s="10" t="n">
        <v>9.175000000000001</v>
      </c>
      <c r="K785" s="10" t="n">
        <v>14.498</v>
      </c>
      <c r="L785" s="8" t="inlineStr">
        <is>
          <t>四部</t>
        </is>
      </c>
      <c r="M785" s="8" t="inlineStr">
        <is>
          <t>何萍</t>
        </is>
      </c>
      <c r="N785" s="8" t="inlineStr">
        <is>
          <t>1年以内</t>
        </is>
      </c>
      <c r="O785" s="8" t="n"/>
    </row>
    <row r="786">
      <c r="A786" s="5" t="n">
        <v>784</v>
      </c>
      <c r="B786" s="5" t="inlineStr">
        <is>
          <t>西北-陕西</t>
        </is>
      </c>
      <c r="C786" s="5" t="inlineStr">
        <is>
          <t>人大政协</t>
        </is>
      </c>
      <c r="D786" s="6" t="inlineStr">
        <is>
          <t>HT20260503</t>
        </is>
      </c>
      <c r="E786" s="6" t="inlineStr">
        <is>
          <t>20260629</t>
        </is>
      </c>
      <c r="F786" s="10" t="n">
        <v>472.813</v>
      </c>
      <c r="G786" s="8" t="n"/>
      <c r="H786" s="10" t="n">
        <v>461.597</v>
      </c>
      <c r="I786" s="10" t="n">
        <v>11.216</v>
      </c>
      <c r="J786" s="10" t="n">
        <v>2.574</v>
      </c>
      <c r="K786" s="10" t="n">
        <v>8.641999999999999</v>
      </c>
      <c r="L786" s="8" t="inlineStr">
        <is>
          <t>四部</t>
        </is>
      </c>
      <c r="M786" s="8" t="inlineStr">
        <is>
          <t>高翔</t>
        </is>
      </c>
      <c r="N786" s="8" t="inlineStr">
        <is>
          <t>1-2年</t>
        </is>
      </c>
      <c r="O786" s="8" t="n"/>
    </row>
    <row r="787">
      <c r="A787" s="5" t="n">
        <v>785</v>
      </c>
      <c r="B787" s="5" t="inlineStr">
        <is>
          <t>华东-安徽</t>
        </is>
      </c>
      <c r="C787" s="5" t="inlineStr">
        <is>
          <t>基层自治组织</t>
        </is>
      </c>
      <c r="D787" s="6" t="inlineStr">
        <is>
          <t>HT20260504</t>
        </is>
      </c>
      <c r="E787" s="6" t="inlineStr">
        <is>
          <t>20260815</t>
        </is>
      </c>
      <c r="F787" s="10" t="n">
        <v>955.848</v>
      </c>
      <c r="G787" s="8" t="n"/>
      <c r="H787" s="10" t="n">
        <v>355.24</v>
      </c>
      <c r="I787" s="10" t="n">
        <v>600.6079999999999</v>
      </c>
      <c r="J787" s="10" t="n">
        <v>459.88</v>
      </c>
      <c r="K787" s="10" t="n">
        <v>140.728</v>
      </c>
      <c r="L787" s="8" t="inlineStr">
        <is>
          <t>九部</t>
        </is>
      </c>
      <c r="M787" s="8" t="inlineStr">
        <is>
          <t>贾静</t>
        </is>
      </c>
      <c r="N787" s="8" t="inlineStr">
        <is>
          <t>2-3年</t>
        </is>
      </c>
      <c r="O787" s="8" t="n"/>
    </row>
    <row r="788">
      <c r="A788" s="5" t="n">
        <v>786</v>
      </c>
      <c r="B788" s="5" t="inlineStr">
        <is>
          <t>华南-广东</t>
        </is>
      </c>
      <c r="C788" s="5" t="inlineStr">
        <is>
          <t>人大政协</t>
        </is>
      </c>
      <c r="D788" s="6" t="inlineStr">
        <is>
          <t>HT20260505</t>
        </is>
      </c>
      <c r="E788" s="6" t="inlineStr">
        <is>
          <t>20260712</t>
        </is>
      </c>
      <c r="F788" s="10" t="n">
        <v>663.691</v>
      </c>
      <c r="G788" s="8" t="n"/>
      <c r="H788" s="10" t="n">
        <v>196.778</v>
      </c>
      <c r="I788" s="10" t="n">
        <v>466.913</v>
      </c>
      <c r="J788" s="10" t="n">
        <v>45.182</v>
      </c>
      <c r="K788" s="10" t="n">
        <v>421.731</v>
      </c>
      <c r="L788" s="8" t="inlineStr">
        <is>
          <t>一部</t>
        </is>
      </c>
      <c r="M788" s="8" t="inlineStr">
        <is>
          <t>王芳</t>
        </is>
      </c>
      <c r="N788" s="8" t="inlineStr">
        <is>
          <t>1-2年</t>
        </is>
      </c>
      <c r="O788" s="8" t="n"/>
    </row>
    <row r="789">
      <c r="A789" s="5" t="n">
        <v>787</v>
      </c>
      <c r="B789" s="5" t="inlineStr">
        <is>
          <t>华北-河北</t>
        </is>
      </c>
      <c r="C789" s="5" t="inlineStr">
        <is>
          <t>事业单位</t>
        </is>
      </c>
      <c r="D789" s="6" t="inlineStr">
        <is>
          <t>HT20260506</t>
        </is>
      </c>
      <c r="E789" s="6" t="inlineStr">
        <is>
          <t>20260904</t>
        </is>
      </c>
      <c r="F789" s="10" t="n">
        <v>601.239</v>
      </c>
      <c r="G789" s="8" t="n"/>
      <c r="H789" s="10" t="n">
        <v>64.601</v>
      </c>
      <c r="I789" s="10" t="n">
        <v>536.638</v>
      </c>
      <c r="J789" s="10" t="n">
        <v>240.417</v>
      </c>
      <c r="K789" s="10" t="n">
        <v>296.221</v>
      </c>
      <c r="L789" s="8" t="inlineStr">
        <is>
          <t>十部</t>
        </is>
      </c>
      <c r="M789" s="8" t="inlineStr">
        <is>
          <t>侯敏</t>
        </is>
      </c>
      <c r="N789" s="8" t="inlineStr">
        <is>
          <t>2-3年</t>
        </is>
      </c>
      <c r="O789" s="8" t="n"/>
    </row>
    <row r="790">
      <c r="A790" s="5" t="n">
        <v>788</v>
      </c>
      <c r="B790" s="5" t="inlineStr">
        <is>
          <t>华东-江西</t>
        </is>
      </c>
      <c r="C790" s="5" t="inlineStr">
        <is>
          <t>事业单位</t>
        </is>
      </c>
      <c r="D790" s="6" t="inlineStr">
        <is>
          <t>HT20260506</t>
        </is>
      </c>
      <c r="E790" s="6" t="inlineStr">
        <is>
          <t>20260904</t>
        </is>
      </c>
      <c r="F790" s="10" t="n">
        <v>427.919</v>
      </c>
      <c r="G790" s="8" t="n"/>
      <c r="H790" s="10" t="n">
        <v>216.993</v>
      </c>
      <c r="I790" s="10" t="n">
        <v>210.926</v>
      </c>
      <c r="J790" s="10" t="n">
        <v>121.814</v>
      </c>
      <c r="K790" s="10" t="n">
        <v>89.11199999999999</v>
      </c>
      <c r="L790" s="8" t="inlineStr">
        <is>
          <t>三部</t>
        </is>
      </c>
      <c r="M790" s="8" t="inlineStr">
        <is>
          <t>马超</t>
        </is>
      </c>
      <c r="N790" s="8" t="inlineStr">
        <is>
          <t>1年以内</t>
        </is>
      </c>
      <c r="O790" s="8" t="n"/>
    </row>
    <row r="791">
      <c r="A791" s="5" t="n">
        <v>789</v>
      </c>
      <c r="B791" s="5" t="inlineStr">
        <is>
          <t>华北-内蒙古</t>
        </is>
      </c>
      <c r="C791" s="5" t="inlineStr">
        <is>
          <t>国有企业</t>
        </is>
      </c>
      <c r="D791" s="6" t="inlineStr">
        <is>
          <t>HT20260506</t>
        </is>
      </c>
      <c r="E791" s="6" t="inlineStr">
        <is>
          <t>20260904</t>
        </is>
      </c>
      <c r="F791" s="10" t="n">
        <v>109.575</v>
      </c>
      <c r="G791" s="8" t="n"/>
      <c r="H791" s="10" t="n">
        <v>48.841</v>
      </c>
      <c r="I791" s="10" t="n">
        <v>60.734</v>
      </c>
      <c r="J791" s="10" t="n">
        <v>18.345</v>
      </c>
      <c r="K791" s="10" t="n">
        <v>42.389</v>
      </c>
      <c r="L791" s="8" t="inlineStr">
        <is>
          <t>十部</t>
        </is>
      </c>
      <c r="M791" s="8" t="inlineStr">
        <is>
          <t>薛峰</t>
        </is>
      </c>
      <c r="N791" s="8" t="inlineStr">
        <is>
          <t>1-2年</t>
        </is>
      </c>
      <c r="O791" s="8" t="n"/>
    </row>
    <row r="792">
      <c r="A792" s="5" t="n">
        <v>790</v>
      </c>
      <c r="B792" s="5" t="inlineStr">
        <is>
          <t>华中-湖北</t>
        </is>
      </c>
      <c r="C792" s="5" t="inlineStr">
        <is>
          <t>事业单位</t>
        </is>
      </c>
      <c r="D792" s="6" t="inlineStr">
        <is>
          <t>HT20260508</t>
        </is>
      </c>
      <c r="E792" s="6" t="inlineStr">
        <is>
          <t>20260427</t>
        </is>
      </c>
      <c r="F792" s="10" t="n">
        <v>675.319</v>
      </c>
      <c r="G792" s="8" t="n"/>
      <c r="H792" s="10" t="n">
        <v>440.791</v>
      </c>
      <c r="I792" s="10" t="n">
        <v>234.528</v>
      </c>
      <c r="J792" s="10" t="n">
        <v>28.877</v>
      </c>
      <c r="K792" s="10" t="n">
        <v>205.651</v>
      </c>
      <c r="L792" s="8" t="inlineStr">
        <is>
          <t>五部</t>
        </is>
      </c>
      <c r="M792" s="8" t="inlineStr">
        <is>
          <t>韩梅</t>
        </is>
      </c>
      <c r="N792" s="8" t="inlineStr">
        <is>
          <t>2-3年</t>
        </is>
      </c>
      <c r="O792" s="8" t="n"/>
    </row>
    <row r="793">
      <c r="A793" s="5" t="n">
        <v>791</v>
      </c>
      <c r="B793" s="5" t="inlineStr">
        <is>
          <t>华南-海南</t>
        </is>
      </c>
      <c r="C793" s="5" t="inlineStr">
        <is>
          <t>基层自治组织</t>
        </is>
      </c>
      <c r="D793" s="6" t="inlineStr">
        <is>
          <t>HT20260509</t>
        </is>
      </c>
      <c r="E793" s="6" t="inlineStr">
        <is>
          <t>20260810</t>
        </is>
      </c>
      <c r="F793" s="10" t="n">
        <v>68.33499999999999</v>
      </c>
      <c r="G793" s="8" t="n"/>
      <c r="H793" s="10" t="n">
        <v>68.27500000000001</v>
      </c>
      <c r="I793" s="10" t="n">
        <v>0.06</v>
      </c>
      <c r="J793" s="10" t="n">
        <v>0.025</v>
      </c>
      <c r="K793" s="10" t="n">
        <v>0.035</v>
      </c>
      <c r="L793" s="8" t="inlineStr">
        <is>
          <t>五部</t>
        </is>
      </c>
      <c r="M793" s="8" t="inlineStr">
        <is>
          <t>梁雪</t>
        </is>
      </c>
      <c r="N793" s="8" t="inlineStr">
        <is>
          <t>2-3年</t>
        </is>
      </c>
      <c r="O793" s="8" t="n"/>
    </row>
    <row r="794">
      <c r="A794" s="5" t="n">
        <v>792</v>
      </c>
      <c r="B794" s="5" t="inlineStr">
        <is>
          <t>华东-江苏</t>
        </is>
      </c>
      <c r="C794" s="5" t="inlineStr">
        <is>
          <t>人大政协</t>
        </is>
      </c>
      <c r="D794" s="6" t="inlineStr">
        <is>
          <t>HT20260512</t>
        </is>
      </c>
      <c r="E794" s="6" t="inlineStr">
        <is>
          <t>20260425</t>
        </is>
      </c>
      <c r="F794" s="10" t="n">
        <v>404.281</v>
      </c>
      <c r="G794" s="8" t="n"/>
      <c r="H794" s="10" t="n">
        <v>154.933</v>
      </c>
      <c r="I794" s="10" t="n">
        <v>249.348</v>
      </c>
      <c r="J794" s="10" t="n">
        <v>31.976</v>
      </c>
      <c r="K794" s="10" t="n">
        <v>217.372</v>
      </c>
      <c r="L794" s="8" t="inlineStr">
        <is>
          <t>五部</t>
        </is>
      </c>
      <c r="M794" s="8" t="inlineStr">
        <is>
          <t>韩梅</t>
        </is>
      </c>
      <c r="N794" s="8" t="inlineStr">
        <is>
          <t>2-3年</t>
        </is>
      </c>
      <c r="O794" s="8" t="n"/>
    </row>
    <row r="795">
      <c r="A795" s="5" t="n">
        <v>793</v>
      </c>
      <c r="B795" s="5" t="inlineStr">
        <is>
          <t>西南-西藏</t>
        </is>
      </c>
      <c r="C795" s="5" t="inlineStr">
        <is>
          <t>事业单位</t>
        </is>
      </c>
      <c r="D795" s="6" t="inlineStr">
        <is>
          <t>HT20260513</t>
        </is>
      </c>
      <c r="E795" s="6" t="inlineStr">
        <is>
          <t>20260610</t>
        </is>
      </c>
      <c r="F795" s="10" t="n">
        <v>720.763</v>
      </c>
      <c r="G795" s="8" t="n"/>
      <c r="H795" s="10" t="n">
        <v>594.044</v>
      </c>
      <c r="I795" s="10" t="n">
        <v>126.719</v>
      </c>
      <c r="J795" s="10" t="n">
        <v>49.647</v>
      </c>
      <c r="K795" s="10" t="n">
        <v>77.072</v>
      </c>
      <c r="L795" s="8" t="inlineStr">
        <is>
          <t>九部</t>
        </is>
      </c>
      <c r="M795" s="8" t="inlineStr">
        <is>
          <t>蔡明</t>
        </is>
      </c>
      <c r="N795" s="8" t="inlineStr">
        <is>
          <t>1-2年</t>
        </is>
      </c>
      <c r="O795" s="8" t="n"/>
    </row>
    <row r="796">
      <c r="A796" s="5" t="n">
        <v>794</v>
      </c>
      <c r="B796" s="5" t="inlineStr">
        <is>
          <t>华东-福建</t>
        </is>
      </c>
      <c r="C796" s="5" t="inlineStr">
        <is>
          <t>国有企业</t>
        </is>
      </c>
      <c r="D796" s="6" t="inlineStr">
        <is>
          <t>HT20260514</t>
        </is>
      </c>
      <c r="E796" s="6" t="inlineStr">
        <is>
          <t>20260511</t>
        </is>
      </c>
      <c r="F796" s="10" t="n">
        <v>5522.476</v>
      </c>
      <c r="G796" s="8" t="n"/>
      <c r="H796" s="10" t="n">
        <v>200.849</v>
      </c>
      <c r="I796" s="10" t="n">
        <v>5321.627</v>
      </c>
      <c r="J796" s="10" t="n">
        <v>2199.373</v>
      </c>
      <c r="K796" s="10" t="n">
        <v>3122.254</v>
      </c>
      <c r="L796" s="8" t="inlineStr">
        <is>
          <t>三部</t>
        </is>
      </c>
      <c r="M796" s="8" t="inlineStr">
        <is>
          <t>徐涛</t>
        </is>
      </c>
      <c r="N796" s="8" t="inlineStr">
        <is>
          <t>1-2年</t>
        </is>
      </c>
      <c r="O796" s="8" t="n"/>
    </row>
    <row r="797">
      <c r="A797" s="5" t="n">
        <v>795</v>
      </c>
      <c r="B797" s="5" t="inlineStr">
        <is>
          <t>华东-江苏</t>
        </is>
      </c>
      <c r="C797" s="5" t="inlineStr">
        <is>
          <t>监察司法机关</t>
        </is>
      </c>
      <c r="D797" s="6" t="inlineStr">
        <is>
          <t>HT20260515</t>
        </is>
      </c>
      <c r="E797" s="6" t="inlineStr">
        <is>
          <t>20260901</t>
        </is>
      </c>
      <c r="F797" s="10" t="n">
        <v>90.598</v>
      </c>
      <c r="G797" s="8" t="n"/>
      <c r="H797" s="10" t="n">
        <v>59.386</v>
      </c>
      <c r="I797" s="10" t="n">
        <v>31.212</v>
      </c>
      <c r="J797" s="10" t="n">
        <v>19.65</v>
      </c>
      <c r="K797" s="10" t="n">
        <v>11.562</v>
      </c>
      <c r="L797" s="8" t="inlineStr">
        <is>
          <t>七部</t>
        </is>
      </c>
      <c r="M797" s="8" t="inlineStr">
        <is>
          <t>傅蓉</t>
        </is>
      </c>
      <c r="N797" s="8" t="inlineStr">
        <is>
          <t>1年以内</t>
        </is>
      </c>
      <c r="O797" s="8" t="n"/>
    </row>
    <row r="798">
      <c r="A798" s="5" t="n">
        <v>796</v>
      </c>
      <c r="B798" s="5" t="inlineStr">
        <is>
          <t>东北-黑龙江</t>
        </is>
      </c>
      <c r="C798" s="5" t="inlineStr">
        <is>
          <t>事业单位</t>
        </is>
      </c>
      <c r="D798" s="6" t="inlineStr">
        <is>
          <t>HT20260515</t>
        </is>
      </c>
      <c r="E798" s="6" t="inlineStr">
        <is>
          <t>20260901</t>
        </is>
      </c>
      <c r="F798" s="10" t="n">
        <v>67.072</v>
      </c>
      <c r="G798" s="8" t="n"/>
      <c r="H798" s="10" t="n">
        <v>6.376</v>
      </c>
      <c r="I798" s="10" t="n">
        <v>60.696</v>
      </c>
      <c r="J798" s="10" t="n">
        <v>33.539</v>
      </c>
      <c r="K798" s="10" t="n">
        <v>27.157</v>
      </c>
      <c r="L798" s="8" t="inlineStr">
        <is>
          <t>十部</t>
        </is>
      </c>
      <c r="M798" s="8" t="inlineStr">
        <is>
          <t>段勇</t>
        </is>
      </c>
      <c r="N798" s="8" t="inlineStr">
        <is>
          <t>1-2年</t>
        </is>
      </c>
      <c r="O798" s="8" t="n"/>
    </row>
    <row r="799">
      <c r="A799" s="5" t="n">
        <v>797</v>
      </c>
      <c r="B799" s="5" t="inlineStr">
        <is>
          <t>华北-山西</t>
        </is>
      </c>
      <c r="C799" s="5" t="inlineStr">
        <is>
          <t>国有企业</t>
        </is>
      </c>
      <c r="D799" s="6" t="inlineStr">
        <is>
          <t>HT20260515</t>
        </is>
      </c>
      <c r="E799" s="6" t="inlineStr">
        <is>
          <t>20260901</t>
        </is>
      </c>
      <c r="F799" s="10" t="n">
        <v>5284.068</v>
      </c>
      <c r="G799" s="8" t="n"/>
      <c r="H799" s="10" t="n">
        <v>2442.16</v>
      </c>
      <c r="I799" s="10" t="n">
        <v>2841.908</v>
      </c>
      <c r="J799" s="10" t="n">
        <v>1808.693</v>
      </c>
      <c r="K799" s="10" t="n">
        <v>1033.215</v>
      </c>
      <c r="L799" s="8" t="inlineStr">
        <is>
          <t>七部</t>
        </is>
      </c>
      <c r="M799" s="8" t="inlineStr">
        <is>
          <t>邓丽</t>
        </is>
      </c>
      <c r="N799" s="8" t="inlineStr">
        <is>
          <t>1年以内</t>
        </is>
      </c>
      <c r="O799" s="8" t="n"/>
    </row>
    <row r="800">
      <c r="A800" s="5" t="n">
        <v>798</v>
      </c>
      <c r="B800" s="5" t="inlineStr">
        <is>
          <t>西南-西藏</t>
        </is>
      </c>
      <c r="C800" s="5" t="inlineStr">
        <is>
          <t>党委机关</t>
        </is>
      </c>
      <c r="D800" s="6" t="inlineStr">
        <is>
          <t>HT20260515</t>
        </is>
      </c>
      <c r="E800" s="6" t="inlineStr">
        <is>
          <t>20260901</t>
        </is>
      </c>
      <c r="F800" s="10" t="n">
        <v>406.149</v>
      </c>
      <c r="G800" s="8" t="n"/>
      <c r="H800" s="10" t="n">
        <v>308.934</v>
      </c>
      <c r="I800" s="10" t="n">
        <v>97.215</v>
      </c>
      <c r="J800" s="10" t="n">
        <v>36.521</v>
      </c>
      <c r="K800" s="10" t="n">
        <v>60.694</v>
      </c>
      <c r="L800" s="8" t="inlineStr">
        <is>
          <t>八部</t>
        </is>
      </c>
      <c r="M800" s="8" t="inlineStr">
        <is>
          <t>苏珊</t>
        </is>
      </c>
      <c r="N800" s="8" t="inlineStr">
        <is>
          <t>1年以内</t>
        </is>
      </c>
      <c r="O800" s="8" t="n"/>
    </row>
    <row r="801">
      <c r="A801" s="5" t="n">
        <v>799</v>
      </c>
      <c r="B801" s="5" t="inlineStr">
        <is>
          <t>西北-青海</t>
        </is>
      </c>
      <c r="C801" s="5" t="inlineStr">
        <is>
          <t>国有企业</t>
        </is>
      </c>
      <c r="D801" s="6" t="inlineStr">
        <is>
          <t>HT20260516</t>
        </is>
      </c>
      <c r="E801" s="6" t="inlineStr">
        <is>
          <t>20260821</t>
        </is>
      </c>
      <c r="F801" s="10" t="n">
        <v>632.775</v>
      </c>
      <c r="G801" s="8" t="n"/>
      <c r="H801" s="10" t="n">
        <v>539.424</v>
      </c>
      <c r="I801" s="10" t="n">
        <v>93.351</v>
      </c>
      <c r="J801" s="10" t="n">
        <v>92.72799999999999</v>
      </c>
      <c r="K801" s="10" t="n">
        <v>0.623</v>
      </c>
      <c r="L801" s="8" t="inlineStr">
        <is>
          <t>六部</t>
        </is>
      </c>
      <c r="M801" s="8" t="inlineStr">
        <is>
          <t>董辉</t>
        </is>
      </c>
      <c r="N801" s="8" t="inlineStr">
        <is>
          <t>2-3年</t>
        </is>
      </c>
      <c r="O801" s="8" t="n"/>
    </row>
    <row r="802">
      <c r="A802" s="5" t="n">
        <v>800</v>
      </c>
      <c r="B802" s="5" t="inlineStr">
        <is>
          <t>西北-宁夏</t>
        </is>
      </c>
      <c r="C802" s="5" t="inlineStr">
        <is>
          <t>监察司法机关</t>
        </is>
      </c>
      <c r="D802" s="6" t="inlineStr">
        <is>
          <t>HT20260516</t>
        </is>
      </c>
      <c r="E802" s="6" t="inlineStr">
        <is>
          <t>20260821</t>
        </is>
      </c>
      <c r="F802" s="10" t="n">
        <v>371.043</v>
      </c>
      <c r="G802" s="8" t="n"/>
      <c r="H802" s="10" t="n">
        <v>78.09699999999999</v>
      </c>
      <c r="I802" s="10" t="n">
        <v>292.946</v>
      </c>
      <c r="J802" s="10" t="n">
        <v>162.351</v>
      </c>
      <c r="K802" s="10" t="n">
        <v>130.595</v>
      </c>
      <c r="L802" s="8" t="inlineStr">
        <is>
          <t>一部</t>
        </is>
      </c>
      <c r="M802" s="8" t="inlineStr">
        <is>
          <t>陈静</t>
        </is>
      </c>
      <c r="N802" s="8" t="inlineStr">
        <is>
          <t>1年以内</t>
        </is>
      </c>
      <c r="O802" s="8" t="n"/>
    </row>
    <row r="803">
      <c r="A803" s="5" t="n">
        <v>801</v>
      </c>
      <c r="B803" s="5" t="inlineStr">
        <is>
          <t>东北-辽宁</t>
        </is>
      </c>
      <c r="C803" s="5" t="inlineStr">
        <is>
          <t>事业单位</t>
        </is>
      </c>
      <c r="D803" s="6" t="inlineStr">
        <is>
          <t>HT20260516</t>
        </is>
      </c>
      <c r="E803" s="6" t="inlineStr">
        <is>
          <t>20260821</t>
        </is>
      </c>
      <c r="F803" s="10" t="n">
        <v>553.302</v>
      </c>
      <c r="G803" s="8" t="n"/>
      <c r="H803" s="10" t="n">
        <v>437.974</v>
      </c>
      <c r="I803" s="10" t="n">
        <v>115.328</v>
      </c>
      <c r="J803" s="10" t="n">
        <v>31.135</v>
      </c>
      <c r="K803" s="10" t="n">
        <v>84.193</v>
      </c>
      <c r="L803" s="8" t="inlineStr">
        <is>
          <t>一部</t>
        </is>
      </c>
      <c r="M803" s="8" t="inlineStr">
        <is>
          <t>张伟</t>
        </is>
      </c>
      <c r="N803" s="8" t="inlineStr">
        <is>
          <t>1-2年</t>
        </is>
      </c>
      <c r="O803" s="8" t="n"/>
    </row>
    <row r="804">
      <c r="A804" s="5" t="n">
        <v>802</v>
      </c>
      <c r="B804" s="5" t="inlineStr">
        <is>
          <t>华东-江苏</t>
        </is>
      </c>
      <c r="C804" s="5" t="inlineStr">
        <is>
          <t>政府机关</t>
        </is>
      </c>
      <c r="D804" s="6" t="inlineStr">
        <is>
          <t>HT20260516</t>
        </is>
      </c>
      <c r="E804" s="6" t="inlineStr">
        <is>
          <t>20260821</t>
        </is>
      </c>
      <c r="F804" s="10" t="n">
        <v>939.287</v>
      </c>
      <c r="G804" s="8" t="n"/>
      <c r="H804" s="10" t="n">
        <v>916.797</v>
      </c>
      <c r="I804" s="10" t="n">
        <v>22.49</v>
      </c>
      <c r="J804" s="10" t="n">
        <v>13.101</v>
      </c>
      <c r="K804" s="10" t="n">
        <v>9.388999999999999</v>
      </c>
      <c r="L804" s="8" t="inlineStr">
        <is>
          <t>一部</t>
        </is>
      </c>
      <c r="M804" s="8" t="inlineStr">
        <is>
          <t>李娜</t>
        </is>
      </c>
      <c r="N804" s="8" t="inlineStr">
        <is>
          <t>2-3年</t>
        </is>
      </c>
      <c r="O804" s="8" t="n"/>
    </row>
    <row r="805">
      <c r="A805" s="5" t="n">
        <v>803</v>
      </c>
      <c r="B805" s="5" t="inlineStr">
        <is>
          <t>华东-上海</t>
        </is>
      </c>
      <c r="C805" s="5" t="inlineStr">
        <is>
          <t>事业单位</t>
        </is>
      </c>
      <c r="D805" s="6" t="inlineStr">
        <is>
          <t>HT20260517</t>
        </is>
      </c>
      <c r="E805" s="6" t="inlineStr">
        <is>
          <t>20260517</t>
        </is>
      </c>
      <c r="F805" s="10" t="n">
        <v>510.97</v>
      </c>
      <c r="G805" s="8" t="n"/>
      <c r="H805" s="10" t="n">
        <v>503.423</v>
      </c>
      <c r="I805" s="10" t="n">
        <v>7.547</v>
      </c>
      <c r="J805" s="10" t="n">
        <v>6.904</v>
      </c>
      <c r="K805" s="10" t="n">
        <v>0.643</v>
      </c>
      <c r="L805" s="8" t="inlineStr">
        <is>
          <t>三部</t>
        </is>
      </c>
      <c r="M805" s="8" t="inlineStr">
        <is>
          <t>孙艳</t>
        </is>
      </c>
      <c r="N805" s="8" t="inlineStr">
        <is>
          <t>1年以内</t>
        </is>
      </c>
      <c r="O805" s="8" t="n"/>
    </row>
    <row r="806">
      <c r="A806" s="5" t="n">
        <v>804</v>
      </c>
      <c r="B806" s="5" t="inlineStr">
        <is>
          <t>华北-天津</t>
        </is>
      </c>
      <c r="C806" s="5" t="inlineStr">
        <is>
          <t>国有企业</t>
        </is>
      </c>
      <c r="D806" s="6" t="inlineStr">
        <is>
          <t>HT20260517</t>
        </is>
      </c>
      <c r="E806" s="6" t="inlineStr">
        <is>
          <t>20260517</t>
        </is>
      </c>
      <c r="F806" s="10" t="n">
        <v>369.786</v>
      </c>
      <c r="G806" s="8" t="n"/>
      <c r="H806" s="10" t="n">
        <v>366.739</v>
      </c>
      <c r="I806" s="10" t="n">
        <v>3.047</v>
      </c>
      <c r="J806" s="10" t="n">
        <v>0.548</v>
      </c>
      <c r="K806" s="10" t="n">
        <v>2.499</v>
      </c>
      <c r="L806" s="8" t="inlineStr">
        <is>
          <t>二部</t>
        </is>
      </c>
      <c r="M806" s="8" t="inlineStr">
        <is>
          <t>赵敏</t>
        </is>
      </c>
      <c r="N806" s="8" t="inlineStr">
        <is>
          <t>1年以内</t>
        </is>
      </c>
      <c r="O806" s="8" t="n"/>
    </row>
    <row r="807">
      <c r="A807" s="5" t="n">
        <v>805</v>
      </c>
      <c r="B807" s="5" t="inlineStr">
        <is>
          <t>华东-江西</t>
        </is>
      </c>
      <c r="C807" s="5" t="inlineStr">
        <is>
          <t>人大政协</t>
        </is>
      </c>
      <c r="D807" s="6" t="inlineStr">
        <is>
          <t>HT20260517</t>
        </is>
      </c>
      <c r="E807" s="6" t="inlineStr">
        <is>
          <t>20260517</t>
        </is>
      </c>
      <c r="F807" s="10" t="n">
        <v>512.329</v>
      </c>
      <c r="G807" s="8" t="n"/>
      <c r="H807" s="10" t="n">
        <v>367.118</v>
      </c>
      <c r="I807" s="10" t="n">
        <v>145.211</v>
      </c>
      <c r="J807" s="10" t="n">
        <v>78.729</v>
      </c>
      <c r="K807" s="10" t="n">
        <v>66.482</v>
      </c>
      <c r="L807" s="8" t="inlineStr">
        <is>
          <t>八部</t>
        </is>
      </c>
      <c r="M807" s="8" t="inlineStr">
        <is>
          <t>彭燕</t>
        </is>
      </c>
      <c r="N807" s="8" t="inlineStr">
        <is>
          <t>1-2年</t>
        </is>
      </c>
      <c r="O807" s="8" t="n"/>
    </row>
    <row r="808">
      <c r="A808" s="5" t="n">
        <v>806</v>
      </c>
      <c r="B808" s="5" t="inlineStr">
        <is>
          <t>东北-黑龙江</t>
        </is>
      </c>
      <c r="C808" s="5" t="inlineStr">
        <is>
          <t>人大政协</t>
        </is>
      </c>
      <c r="D808" s="6" t="inlineStr">
        <is>
          <t>HT20260517</t>
        </is>
      </c>
      <c r="E808" s="6" t="inlineStr">
        <is>
          <t>20260517</t>
        </is>
      </c>
      <c r="F808" s="10" t="n">
        <v>282.143</v>
      </c>
      <c r="G808" s="8" t="n"/>
      <c r="H808" s="10" t="n">
        <v>65.518</v>
      </c>
      <c r="I808" s="10" t="n">
        <v>216.625</v>
      </c>
      <c r="J808" s="10" t="n">
        <v>192.03</v>
      </c>
      <c r="K808" s="10" t="n">
        <v>24.595</v>
      </c>
      <c r="L808" s="8" t="inlineStr">
        <is>
          <t>二部</t>
        </is>
      </c>
      <c r="M808" s="8" t="inlineStr">
        <is>
          <t>周杰</t>
        </is>
      </c>
      <c r="N808" s="8" t="inlineStr">
        <is>
          <t>1年以内</t>
        </is>
      </c>
      <c r="O808" s="8" t="n"/>
    </row>
    <row r="809">
      <c r="A809" s="5" t="n">
        <v>807</v>
      </c>
      <c r="B809" s="5" t="inlineStr">
        <is>
          <t>华北-河北</t>
        </is>
      </c>
      <c r="C809" s="5" t="inlineStr">
        <is>
          <t>监察司法机关</t>
        </is>
      </c>
      <c r="D809" s="6" t="inlineStr">
        <is>
          <t>HT20260517</t>
        </is>
      </c>
      <c r="E809" s="6" t="inlineStr">
        <is>
          <t>20260517</t>
        </is>
      </c>
      <c r="F809" s="10" t="n">
        <v>842.519</v>
      </c>
      <c r="G809" s="8" t="n"/>
      <c r="H809" s="10" t="n">
        <v>222.341</v>
      </c>
      <c r="I809" s="10" t="n">
        <v>620.178</v>
      </c>
      <c r="J809" s="10" t="n">
        <v>524.04</v>
      </c>
      <c r="K809" s="10" t="n">
        <v>96.13800000000001</v>
      </c>
      <c r="L809" s="8" t="inlineStr">
        <is>
          <t>八部</t>
        </is>
      </c>
      <c r="M809" s="8" t="inlineStr">
        <is>
          <t>曾辉</t>
        </is>
      </c>
      <c r="N809" s="8" t="inlineStr">
        <is>
          <t>2-3年</t>
        </is>
      </c>
      <c r="O809" s="8" t="n"/>
    </row>
    <row r="810">
      <c r="A810" s="5" t="n">
        <v>808</v>
      </c>
      <c r="B810" s="5" t="inlineStr">
        <is>
          <t>华东-上海</t>
        </is>
      </c>
      <c r="C810" s="5" t="inlineStr">
        <is>
          <t>党委机关</t>
        </is>
      </c>
      <c r="D810" s="6" t="inlineStr">
        <is>
          <t>HT20260518</t>
        </is>
      </c>
      <c r="E810" s="6" t="inlineStr">
        <is>
          <t>20260630</t>
        </is>
      </c>
      <c r="F810" s="10" t="n">
        <v>461.394</v>
      </c>
      <c r="G810" s="8" t="n"/>
      <c r="H810" s="10" t="n">
        <v>171.425</v>
      </c>
      <c r="I810" s="10" t="n">
        <v>289.969</v>
      </c>
      <c r="J810" s="10" t="n">
        <v>263.028</v>
      </c>
      <c r="K810" s="10" t="n">
        <v>26.941</v>
      </c>
      <c r="L810" s="8" t="inlineStr">
        <is>
          <t>一部</t>
        </is>
      </c>
      <c r="M810" s="8" t="inlineStr">
        <is>
          <t>张伟</t>
        </is>
      </c>
      <c r="N810" s="8" t="inlineStr">
        <is>
          <t>1-2年</t>
        </is>
      </c>
      <c r="O810" s="8" t="n"/>
    </row>
    <row r="811">
      <c r="A811" s="5" t="n">
        <v>809</v>
      </c>
      <c r="B811" s="5" t="inlineStr">
        <is>
          <t>华东-浙江</t>
        </is>
      </c>
      <c r="C811" s="5" t="inlineStr">
        <is>
          <t>基层自治组织</t>
        </is>
      </c>
      <c r="D811" s="6" t="inlineStr">
        <is>
          <t>HT20260518</t>
        </is>
      </c>
      <c r="E811" s="6" t="inlineStr">
        <is>
          <t>20260630</t>
        </is>
      </c>
      <c r="F811" s="10" t="n">
        <v>272.551</v>
      </c>
      <c r="G811" s="8" t="n"/>
      <c r="H811" s="10" t="n">
        <v>75.49299999999999</v>
      </c>
      <c r="I811" s="10" t="n">
        <v>197.058</v>
      </c>
      <c r="J811" s="10" t="n">
        <v>53.342</v>
      </c>
      <c r="K811" s="10" t="n">
        <v>143.716</v>
      </c>
      <c r="L811" s="8" t="inlineStr">
        <is>
          <t>一部</t>
        </is>
      </c>
      <c r="M811" s="8" t="inlineStr">
        <is>
          <t>王芳</t>
        </is>
      </c>
      <c r="N811" s="8" t="inlineStr">
        <is>
          <t>2-3年</t>
        </is>
      </c>
      <c r="O811" s="8" t="n"/>
    </row>
    <row r="812">
      <c r="A812" s="5" t="n">
        <v>810</v>
      </c>
      <c r="B812" s="5" t="inlineStr">
        <is>
          <t>华南-广东</t>
        </is>
      </c>
      <c r="C812" s="5" t="inlineStr">
        <is>
          <t>事业单位</t>
        </is>
      </c>
      <c r="D812" s="6" t="inlineStr">
        <is>
          <t>HT20260519</t>
        </is>
      </c>
      <c r="E812" s="6" t="inlineStr">
        <is>
          <t>20260716</t>
        </is>
      </c>
      <c r="F812" s="10" t="n">
        <v>474.694</v>
      </c>
      <c r="G812" s="8" t="n"/>
      <c r="H812" s="10" t="n">
        <v>118.652</v>
      </c>
      <c r="I812" s="10" t="n">
        <v>356.042</v>
      </c>
      <c r="J812" s="10" t="n">
        <v>92.124</v>
      </c>
      <c r="K812" s="10" t="n">
        <v>263.918</v>
      </c>
      <c r="L812" s="8" t="inlineStr">
        <is>
          <t>八部</t>
        </is>
      </c>
      <c r="M812" s="8" t="inlineStr">
        <is>
          <t>卢俊</t>
        </is>
      </c>
      <c r="N812" s="8" t="inlineStr">
        <is>
          <t>1-2年</t>
        </is>
      </c>
      <c r="O812" s="8" t="n"/>
    </row>
    <row r="813">
      <c r="A813" s="5" t="n">
        <v>811</v>
      </c>
      <c r="B813" s="5" t="inlineStr">
        <is>
          <t>华南-澳门</t>
        </is>
      </c>
      <c r="C813" s="5" t="inlineStr">
        <is>
          <t>国有企业</t>
        </is>
      </c>
      <c r="D813" s="6" t="inlineStr">
        <is>
          <t>HT20260519</t>
        </is>
      </c>
      <c r="E813" s="6" t="inlineStr">
        <is>
          <t>20260716</t>
        </is>
      </c>
      <c r="F813" s="10" t="n">
        <v>23.086</v>
      </c>
      <c r="G813" s="8" t="n"/>
      <c r="H813" s="10" t="n">
        <v>17.658</v>
      </c>
      <c r="I813" s="10" t="n">
        <v>5.428</v>
      </c>
      <c r="J813" s="10" t="n">
        <v>2.276</v>
      </c>
      <c r="K813" s="10" t="n">
        <v>3.152</v>
      </c>
      <c r="L813" s="8" t="inlineStr">
        <is>
          <t>一部</t>
        </is>
      </c>
      <c r="M813" s="8" t="inlineStr">
        <is>
          <t>张伟</t>
        </is>
      </c>
      <c r="N813" s="8" t="inlineStr">
        <is>
          <t>1年以内</t>
        </is>
      </c>
      <c r="O813" s="8" t="n"/>
    </row>
    <row r="814">
      <c r="A814" s="5" t="n">
        <v>812</v>
      </c>
      <c r="B814" s="5" t="inlineStr">
        <is>
          <t>西北-宁夏</t>
        </is>
      </c>
      <c r="C814" s="5" t="inlineStr">
        <is>
          <t>监察司法机关</t>
        </is>
      </c>
      <c r="D814" s="6" t="inlineStr">
        <is>
          <t>HT20260521</t>
        </is>
      </c>
      <c r="E814" s="6" t="inlineStr">
        <is>
          <t>20260628</t>
        </is>
      </c>
      <c r="F814" s="10" t="n">
        <v>406.877</v>
      </c>
      <c r="G814" s="8" t="n"/>
      <c r="H814" s="10" t="n">
        <v>148.034</v>
      </c>
      <c r="I814" s="10" t="n">
        <v>258.843</v>
      </c>
      <c r="J814" s="10" t="n">
        <v>137.553</v>
      </c>
      <c r="K814" s="10" t="n">
        <v>121.29</v>
      </c>
      <c r="L814" s="8" t="inlineStr">
        <is>
          <t>六部</t>
        </is>
      </c>
      <c r="M814" s="8" t="inlineStr">
        <is>
          <t>唐亮</t>
        </is>
      </c>
      <c r="N814" s="8" t="inlineStr">
        <is>
          <t>2-3年</t>
        </is>
      </c>
      <c r="O814" s="8" t="n"/>
    </row>
    <row r="815">
      <c r="A815" s="5" t="n">
        <v>813</v>
      </c>
      <c r="B815" s="5" t="inlineStr">
        <is>
          <t>西北-青海</t>
        </is>
      </c>
      <c r="C815" s="5" t="inlineStr">
        <is>
          <t>人大政协</t>
        </is>
      </c>
      <c r="D815" s="6" t="inlineStr">
        <is>
          <t>HT20260521</t>
        </is>
      </c>
      <c r="E815" s="6" t="inlineStr">
        <is>
          <t>20260628</t>
        </is>
      </c>
      <c r="F815" s="10" t="n">
        <v>364.134</v>
      </c>
      <c r="G815" s="8" t="n"/>
      <c r="H815" s="10" t="n">
        <v>281.72</v>
      </c>
      <c r="I815" s="10" t="n">
        <v>82.414</v>
      </c>
      <c r="J815" s="10" t="n">
        <v>73.828</v>
      </c>
      <c r="K815" s="10" t="n">
        <v>8.586</v>
      </c>
      <c r="L815" s="8" t="inlineStr">
        <is>
          <t>三部</t>
        </is>
      </c>
      <c r="M815" s="8" t="inlineStr">
        <is>
          <t>徐涛</t>
        </is>
      </c>
      <c r="N815" s="8" t="inlineStr">
        <is>
          <t>1年以内</t>
        </is>
      </c>
      <c r="O815" s="8" t="n"/>
    </row>
    <row r="816">
      <c r="A816" s="5" t="n">
        <v>814</v>
      </c>
      <c r="B816" s="5" t="inlineStr">
        <is>
          <t>西北-宁夏</t>
        </is>
      </c>
      <c r="C816" s="5" t="inlineStr">
        <is>
          <t>人大政协</t>
        </is>
      </c>
      <c r="D816" s="6" t="inlineStr">
        <is>
          <t>HT20260521</t>
        </is>
      </c>
      <c r="E816" s="6" t="inlineStr">
        <is>
          <t>20260628</t>
        </is>
      </c>
      <c r="F816" s="10" t="n">
        <v>737.111</v>
      </c>
      <c r="G816" s="8" t="n"/>
      <c r="H816" s="10" t="n">
        <v>29.577</v>
      </c>
      <c r="I816" s="10" t="n">
        <v>707.534</v>
      </c>
      <c r="J816" s="10" t="n">
        <v>318.102</v>
      </c>
      <c r="K816" s="10" t="n">
        <v>389.432</v>
      </c>
      <c r="L816" s="8" t="inlineStr">
        <is>
          <t>九部</t>
        </is>
      </c>
      <c r="M816" s="8" t="inlineStr">
        <is>
          <t>蔡明</t>
        </is>
      </c>
      <c r="N816" s="8" t="inlineStr">
        <is>
          <t>2-3年</t>
        </is>
      </c>
      <c r="O816" s="8" t="n"/>
    </row>
    <row r="817">
      <c r="A817" s="5" t="n">
        <v>815</v>
      </c>
      <c r="B817" s="5" t="inlineStr">
        <is>
          <t>华东-安徽</t>
        </is>
      </c>
      <c r="C817" s="5" t="inlineStr">
        <is>
          <t>人大政协</t>
        </is>
      </c>
      <c r="D817" s="6" t="inlineStr">
        <is>
          <t>HT20260522</t>
        </is>
      </c>
      <c r="E817" s="6" t="inlineStr">
        <is>
          <t>20260603</t>
        </is>
      </c>
      <c r="F817" s="10" t="n">
        <v>8.077999999999999</v>
      </c>
      <c r="G817" s="8" t="n"/>
      <c r="H817" s="10" t="n">
        <v>3.842</v>
      </c>
      <c r="I817" s="10" t="n">
        <v>4.236</v>
      </c>
      <c r="J817" s="10" t="n">
        <v>3.434</v>
      </c>
      <c r="K817" s="10" t="n">
        <v>0.802</v>
      </c>
      <c r="L817" s="8" t="inlineStr">
        <is>
          <t>二部</t>
        </is>
      </c>
      <c r="M817" s="8" t="inlineStr">
        <is>
          <t>赵敏</t>
        </is>
      </c>
      <c r="N817" s="8" t="inlineStr">
        <is>
          <t>1-2年</t>
        </is>
      </c>
      <c r="O817" s="8" t="n"/>
    </row>
    <row r="818">
      <c r="A818" s="5" t="n">
        <v>816</v>
      </c>
      <c r="B818" s="5" t="inlineStr">
        <is>
          <t>华北-北京</t>
        </is>
      </c>
      <c r="C818" s="5" t="inlineStr">
        <is>
          <t>基层自治组织</t>
        </is>
      </c>
      <c r="D818" s="6" t="inlineStr">
        <is>
          <t>HT20260523</t>
        </is>
      </c>
      <c r="E818" s="6" t="inlineStr">
        <is>
          <t>20260321</t>
        </is>
      </c>
      <c r="F818" s="10" t="n">
        <v>635.186</v>
      </c>
      <c r="G818" s="8" t="n"/>
      <c r="H818" s="10" t="n">
        <v>410.472</v>
      </c>
      <c r="I818" s="10" t="n">
        <v>224.714</v>
      </c>
      <c r="J818" s="10" t="n">
        <v>43.619</v>
      </c>
      <c r="K818" s="10" t="n">
        <v>181.095</v>
      </c>
      <c r="L818" s="8" t="inlineStr">
        <is>
          <t>二部</t>
        </is>
      </c>
      <c r="M818" s="8" t="inlineStr">
        <is>
          <t>赵敏</t>
        </is>
      </c>
      <c r="N818" s="8" t="inlineStr">
        <is>
          <t>1-2年</t>
        </is>
      </c>
      <c r="O818" s="8" t="n"/>
    </row>
    <row r="819">
      <c r="A819" s="5" t="n">
        <v>817</v>
      </c>
      <c r="B819" s="5" t="inlineStr">
        <is>
          <t>华东-福建</t>
        </is>
      </c>
      <c r="C819" s="5" t="inlineStr">
        <is>
          <t>群团组织</t>
        </is>
      </c>
      <c r="D819" s="6" t="inlineStr">
        <is>
          <t>HT20260524</t>
        </is>
      </c>
      <c r="E819" s="6" t="inlineStr">
        <is>
          <t>20260213</t>
        </is>
      </c>
      <c r="F819" s="10" t="n">
        <v>118.125</v>
      </c>
      <c r="G819" s="8" t="n"/>
      <c r="H819" s="10" t="n">
        <v>91.432</v>
      </c>
      <c r="I819" s="10" t="n">
        <v>26.693</v>
      </c>
      <c r="J819" s="10" t="n">
        <v>21.301</v>
      </c>
      <c r="K819" s="10" t="n">
        <v>5.392</v>
      </c>
      <c r="L819" s="8" t="inlineStr">
        <is>
          <t>七部</t>
        </is>
      </c>
      <c r="M819" s="8" t="inlineStr">
        <is>
          <t>傅蓉</t>
        </is>
      </c>
      <c r="N819" s="8" t="inlineStr">
        <is>
          <t>2-3年</t>
        </is>
      </c>
      <c r="O819" s="8" t="n"/>
    </row>
    <row r="820">
      <c r="A820" s="5" t="n">
        <v>818</v>
      </c>
      <c r="B820" s="5" t="inlineStr">
        <is>
          <t>华东-台湾</t>
        </is>
      </c>
      <c r="C820" s="5" t="inlineStr">
        <is>
          <t>基层自治组织</t>
        </is>
      </c>
      <c r="D820" s="6" t="inlineStr">
        <is>
          <t>HT20260524</t>
        </is>
      </c>
      <c r="E820" s="6" t="inlineStr">
        <is>
          <t>20260213</t>
        </is>
      </c>
      <c r="F820" s="10" t="n">
        <v>118.714</v>
      </c>
      <c r="G820" s="8" t="n"/>
      <c r="H820" s="10" t="n">
        <v>109.395</v>
      </c>
      <c r="I820" s="10" t="n">
        <v>9.319000000000001</v>
      </c>
      <c r="J820" s="10" t="n">
        <v>2.67</v>
      </c>
      <c r="K820" s="10" t="n">
        <v>6.649</v>
      </c>
      <c r="L820" s="8" t="inlineStr">
        <is>
          <t>六部</t>
        </is>
      </c>
      <c r="M820" s="8" t="inlineStr">
        <is>
          <t>程琳</t>
        </is>
      </c>
      <c r="N820" s="8" t="inlineStr">
        <is>
          <t>1-2年</t>
        </is>
      </c>
      <c r="O820" s="8" t="n"/>
    </row>
    <row r="821">
      <c r="A821" s="5" t="n">
        <v>819</v>
      </c>
      <c r="B821" s="5" t="inlineStr">
        <is>
          <t>华东-上海</t>
        </is>
      </c>
      <c r="C821" s="5" t="inlineStr">
        <is>
          <t>群团组织</t>
        </is>
      </c>
      <c r="D821" s="6" t="inlineStr">
        <is>
          <t>HT20260525</t>
        </is>
      </c>
      <c r="E821" s="6" t="inlineStr">
        <is>
          <t>20260321</t>
        </is>
      </c>
      <c r="F821" s="10" t="n">
        <v>177.685</v>
      </c>
      <c r="G821" s="8" t="n"/>
      <c r="H821" s="10" t="n">
        <v>106.168</v>
      </c>
      <c r="I821" s="10" t="n">
        <v>71.517</v>
      </c>
      <c r="J821" s="10" t="n">
        <v>12.682</v>
      </c>
      <c r="K821" s="10" t="n">
        <v>58.835</v>
      </c>
      <c r="L821" s="8" t="inlineStr">
        <is>
          <t>九部</t>
        </is>
      </c>
      <c r="M821" s="8" t="inlineStr">
        <is>
          <t>贾静</t>
        </is>
      </c>
      <c r="N821" s="8" t="inlineStr">
        <is>
          <t>1年以内</t>
        </is>
      </c>
      <c r="O821" s="8" t="n"/>
    </row>
    <row r="822">
      <c r="A822" s="5" t="n">
        <v>820</v>
      </c>
      <c r="B822" s="5" t="inlineStr">
        <is>
          <t>西南-重庆</t>
        </is>
      </c>
      <c r="C822" s="5" t="inlineStr">
        <is>
          <t>国有企业</t>
        </is>
      </c>
      <c r="D822" s="6" t="inlineStr">
        <is>
          <t>HT20260526</t>
        </is>
      </c>
      <c r="E822" s="6" t="inlineStr">
        <is>
          <t>20260318</t>
        </is>
      </c>
      <c r="F822" s="10" t="n">
        <v>881.0359999999999</v>
      </c>
      <c r="G822" s="8" t="n"/>
      <c r="H822" s="10" t="n">
        <v>613.633</v>
      </c>
      <c r="I822" s="10" t="n">
        <v>267.403</v>
      </c>
      <c r="J822" s="10" t="n">
        <v>149.851</v>
      </c>
      <c r="K822" s="10" t="n">
        <v>117.552</v>
      </c>
      <c r="L822" s="8" t="inlineStr">
        <is>
          <t>十部</t>
        </is>
      </c>
      <c r="M822" s="8" t="inlineStr">
        <is>
          <t>阎莉</t>
        </is>
      </c>
      <c r="N822" s="8" t="inlineStr">
        <is>
          <t>2-3年</t>
        </is>
      </c>
      <c r="O822" s="8" t="n"/>
    </row>
    <row r="823">
      <c r="A823" s="5" t="n">
        <v>821</v>
      </c>
      <c r="B823" s="5" t="inlineStr">
        <is>
          <t>华中-湖北</t>
        </is>
      </c>
      <c r="C823" s="5" t="inlineStr">
        <is>
          <t>国有企业</t>
        </is>
      </c>
      <c r="D823" s="6" t="inlineStr">
        <is>
          <t>HT20260526</t>
        </is>
      </c>
      <c r="E823" s="6" t="inlineStr">
        <is>
          <t>20260318</t>
        </is>
      </c>
      <c r="F823" s="10" t="n">
        <v>2991.193</v>
      </c>
      <c r="G823" s="8" t="n"/>
      <c r="H823" s="10" t="n">
        <v>1586.521</v>
      </c>
      <c r="I823" s="10" t="n">
        <v>1404.672</v>
      </c>
      <c r="J823" s="10" t="n">
        <v>519.615</v>
      </c>
      <c r="K823" s="10" t="n">
        <v>885.057</v>
      </c>
      <c r="L823" s="8" t="inlineStr">
        <is>
          <t>五部</t>
        </is>
      </c>
      <c r="M823" s="8" t="inlineStr">
        <is>
          <t>韩梅</t>
        </is>
      </c>
      <c r="N823" s="8" t="inlineStr">
        <is>
          <t>2-3年</t>
        </is>
      </c>
      <c r="O823" s="8" t="n"/>
    </row>
    <row r="824">
      <c r="A824" s="5" t="n">
        <v>822</v>
      </c>
      <c r="B824" s="5" t="inlineStr">
        <is>
          <t>华中-湖北</t>
        </is>
      </c>
      <c r="C824" s="5" t="inlineStr">
        <is>
          <t>群团组织</t>
        </is>
      </c>
      <c r="D824" s="6" t="inlineStr">
        <is>
          <t>HT20260527</t>
        </is>
      </c>
      <c r="E824" s="6" t="inlineStr">
        <is>
          <t>20260315</t>
        </is>
      </c>
      <c r="F824" s="10" t="n">
        <v>736.0700000000001</v>
      </c>
      <c r="G824" s="8" t="n"/>
      <c r="H824" s="10" t="n">
        <v>120.606</v>
      </c>
      <c r="I824" s="10" t="n">
        <v>615.4640000000001</v>
      </c>
      <c r="J824" s="10" t="n">
        <v>563.216</v>
      </c>
      <c r="K824" s="10" t="n">
        <v>52.248</v>
      </c>
      <c r="L824" s="8" t="inlineStr">
        <is>
          <t>四部</t>
        </is>
      </c>
      <c r="M824" s="8" t="inlineStr">
        <is>
          <t>林燕</t>
        </is>
      </c>
      <c r="N824" s="8" t="inlineStr">
        <is>
          <t>1年以内</t>
        </is>
      </c>
      <c r="O824" s="8" t="n"/>
    </row>
    <row r="825">
      <c r="A825" s="5" t="n">
        <v>823</v>
      </c>
      <c r="B825" s="5" t="inlineStr">
        <is>
          <t>西南-贵州</t>
        </is>
      </c>
      <c r="C825" s="5" t="inlineStr">
        <is>
          <t>国有企业</t>
        </is>
      </c>
      <c r="D825" s="6" t="inlineStr">
        <is>
          <t>HT20260529</t>
        </is>
      </c>
      <c r="E825" s="6" t="inlineStr">
        <is>
          <t>20260915</t>
        </is>
      </c>
      <c r="F825" s="10" t="n">
        <v>981.78</v>
      </c>
      <c r="G825" s="8" t="n"/>
      <c r="H825" s="10" t="n">
        <v>482.434</v>
      </c>
      <c r="I825" s="10" t="n">
        <v>499.346</v>
      </c>
      <c r="J825" s="10" t="n">
        <v>90.265</v>
      </c>
      <c r="K825" s="10" t="n">
        <v>409.081</v>
      </c>
      <c r="L825" s="8" t="inlineStr">
        <is>
          <t>四部</t>
        </is>
      </c>
      <c r="M825" s="8" t="inlineStr">
        <is>
          <t>罗刚</t>
        </is>
      </c>
      <c r="N825" s="8" t="inlineStr">
        <is>
          <t>1年以内</t>
        </is>
      </c>
      <c r="O825" s="8" t="n"/>
    </row>
    <row r="826">
      <c r="A826" s="5" t="n">
        <v>824</v>
      </c>
      <c r="B826" s="5" t="inlineStr">
        <is>
          <t>华中-河南</t>
        </is>
      </c>
      <c r="C826" s="5" t="inlineStr">
        <is>
          <t>基层自治组织</t>
        </is>
      </c>
      <c r="D826" s="6" t="inlineStr">
        <is>
          <t>HT20260529</t>
        </is>
      </c>
      <c r="E826" s="6" t="inlineStr">
        <is>
          <t>20260915</t>
        </is>
      </c>
      <c r="F826" s="10" t="n">
        <v>3257.513</v>
      </c>
      <c r="G826" s="8" t="n"/>
      <c r="H826" s="10" t="n">
        <v>564.029</v>
      </c>
      <c r="I826" s="10" t="n">
        <v>2693.484</v>
      </c>
      <c r="J826" s="10" t="n">
        <v>749.722</v>
      </c>
      <c r="K826" s="10" t="n">
        <v>1943.762</v>
      </c>
      <c r="L826" s="8" t="inlineStr">
        <is>
          <t>七部</t>
        </is>
      </c>
      <c r="M826" s="8" t="inlineStr">
        <is>
          <t>许涛</t>
        </is>
      </c>
      <c r="N826" s="8" t="inlineStr">
        <is>
          <t>1-2年</t>
        </is>
      </c>
      <c r="O826" s="8" t="n"/>
    </row>
    <row r="827">
      <c r="A827" s="5" t="n">
        <v>825</v>
      </c>
      <c r="B827" s="5" t="inlineStr">
        <is>
          <t>华东-上海</t>
        </is>
      </c>
      <c r="C827" s="5" t="inlineStr">
        <is>
          <t>党委机关</t>
        </is>
      </c>
      <c r="D827" s="6" t="inlineStr">
        <is>
          <t>HT20260531</t>
        </is>
      </c>
      <c r="E827" s="6" t="inlineStr">
        <is>
          <t>20260303</t>
        </is>
      </c>
      <c r="F827" s="10" t="n">
        <v>84.364</v>
      </c>
      <c r="G827" s="8" t="n"/>
      <c r="H827" s="10" t="n">
        <v>79.51300000000001</v>
      </c>
      <c r="I827" s="10" t="n">
        <v>4.851</v>
      </c>
      <c r="J827" s="10" t="n">
        <v>2.762</v>
      </c>
      <c r="K827" s="10" t="n">
        <v>2.089</v>
      </c>
      <c r="L827" s="8" t="inlineStr">
        <is>
          <t>二部</t>
        </is>
      </c>
      <c r="M827" s="8" t="inlineStr">
        <is>
          <t>吴丽</t>
        </is>
      </c>
      <c r="N827" s="8" t="inlineStr">
        <is>
          <t>2-3年</t>
        </is>
      </c>
      <c r="O827" s="8" t="n"/>
    </row>
    <row r="828">
      <c r="A828" s="5" t="n">
        <v>826</v>
      </c>
      <c r="B828" s="5" t="inlineStr">
        <is>
          <t>华南-香港</t>
        </is>
      </c>
      <c r="C828" s="5" t="inlineStr">
        <is>
          <t>基层自治组织</t>
        </is>
      </c>
      <c r="D828" s="6" t="inlineStr">
        <is>
          <t>HT20260601</t>
        </is>
      </c>
      <c r="E828" s="6" t="inlineStr">
        <is>
          <t>20260506</t>
        </is>
      </c>
      <c r="F828" s="10" t="n">
        <v>588.354</v>
      </c>
      <c r="G828" s="8" t="n"/>
      <c r="H828" s="10" t="n">
        <v>289.066</v>
      </c>
      <c r="I828" s="10" t="n">
        <v>299.288</v>
      </c>
      <c r="J828" s="10" t="n">
        <v>247.013</v>
      </c>
      <c r="K828" s="10" t="n">
        <v>52.275</v>
      </c>
      <c r="L828" s="8" t="inlineStr">
        <is>
          <t>九部</t>
        </is>
      </c>
      <c r="M828" s="8" t="inlineStr">
        <is>
          <t>蔡明</t>
        </is>
      </c>
      <c r="N828" s="8" t="inlineStr">
        <is>
          <t>2-3年</t>
        </is>
      </c>
      <c r="O828" s="8" t="n"/>
    </row>
    <row r="829">
      <c r="A829" s="5" t="n">
        <v>827</v>
      </c>
      <c r="B829" s="5" t="inlineStr">
        <is>
          <t>西北-宁夏</t>
        </is>
      </c>
      <c r="C829" s="5" t="inlineStr">
        <is>
          <t>党委机关</t>
        </is>
      </c>
      <c r="D829" s="6" t="inlineStr">
        <is>
          <t>HT20260601</t>
        </is>
      </c>
      <c r="E829" s="6" t="inlineStr">
        <is>
          <t>20260506</t>
        </is>
      </c>
      <c r="F829" s="10" t="n">
        <v>5666.171</v>
      </c>
      <c r="G829" s="8" t="n"/>
      <c r="H829" s="10" t="n">
        <v>1936.065</v>
      </c>
      <c r="I829" s="10" t="n">
        <v>3730.106</v>
      </c>
      <c r="J829" s="10" t="n">
        <v>3008.196</v>
      </c>
      <c r="K829" s="10" t="n">
        <v>721.91</v>
      </c>
      <c r="L829" s="8" t="inlineStr">
        <is>
          <t>八部</t>
        </is>
      </c>
      <c r="M829" s="8" t="inlineStr">
        <is>
          <t>彭燕</t>
        </is>
      </c>
      <c r="N829" s="8" t="inlineStr">
        <is>
          <t>2-3年</t>
        </is>
      </c>
      <c r="O829" s="8" t="n"/>
    </row>
    <row r="830">
      <c r="A830" s="5" t="n">
        <v>828</v>
      </c>
      <c r="B830" s="5" t="inlineStr">
        <is>
          <t>西南-西藏</t>
        </is>
      </c>
      <c r="C830" s="5" t="inlineStr">
        <is>
          <t>政府机关</t>
        </is>
      </c>
      <c r="D830" s="6" t="inlineStr">
        <is>
          <t>HT20260602</t>
        </is>
      </c>
      <c r="E830" s="6" t="inlineStr">
        <is>
          <t>20260620</t>
        </is>
      </c>
      <c r="F830" s="10" t="n">
        <v>433.847</v>
      </c>
      <c r="G830" s="8" t="n"/>
      <c r="H830" s="10" t="n">
        <v>36.102</v>
      </c>
      <c r="I830" s="10" t="n">
        <v>397.745</v>
      </c>
      <c r="J830" s="10" t="n">
        <v>73.453</v>
      </c>
      <c r="K830" s="10" t="n">
        <v>324.292</v>
      </c>
      <c r="L830" s="8" t="inlineStr">
        <is>
          <t>十部</t>
        </is>
      </c>
      <c r="M830" s="8" t="inlineStr">
        <is>
          <t>薛峰</t>
        </is>
      </c>
      <c r="N830" s="8" t="inlineStr">
        <is>
          <t>1年以内</t>
        </is>
      </c>
      <c r="O830" s="8" t="n"/>
    </row>
    <row r="831">
      <c r="A831" s="5" t="n">
        <v>829</v>
      </c>
      <c r="B831" s="5" t="inlineStr">
        <is>
          <t>华东-台湾</t>
        </is>
      </c>
      <c r="C831" s="5" t="inlineStr">
        <is>
          <t>党委机关</t>
        </is>
      </c>
      <c r="D831" s="6" t="inlineStr">
        <is>
          <t>HT20260603</t>
        </is>
      </c>
      <c r="E831" s="6" t="inlineStr">
        <is>
          <t>20260815</t>
        </is>
      </c>
      <c r="F831" s="10" t="n">
        <v>988.196</v>
      </c>
      <c r="G831" s="8" t="n"/>
      <c r="H831" s="10" t="n">
        <v>533.785</v>
      </c>
      <c r="I831" s="10" t="n">
        <v>454.411</v>
      </c>
      <c r="J831" s="10" t="n">
        <v>279.28</v>
      </c>
      <c r="K831" s="10" t="n">
        <v>175.131</v>
      </c>
      <c r="L831" s="8" t="inlineStr">
        <is>
          <t>一部</t>
        </is>
      </c>
      <c r="M831" s="8" t="inlineStr">
        <is>
          <t>王芳</t>
        </is>
      </c>
      <c r="N831" s="8" t="inlineStr">
        <is>
          <t>1-2年</t>
        </is>
      </c>
      <c r="O831" s="8" t="n"/>
    </row>
    <row r="832">
      <c r="A832" s="5" t="n">
        <v>830</v>
      </c>
      <c r="B832" s="5" t="inlineStr">
        <is>
          <t>西北-陕西</t>
        </is>
      </c>
      <c r="C832" s="5" t="inlineStr">
        <is>
          <t>政府机关</t>
        </is>
      </c>
      <c r="D832" s="6" t="inlineStr">
        <is>
          <t>HT20260603</t>
        </is>
      </c>
      <c r="E832" s="6" t="inlineStr">
        <is>
          <t>20260815</t>
        </is>
      </c>
      <c r="F832" s="10" t="n">
        <v>7099.997</v>
      </c>
      <c r="G832" s="8" t="n"/>
      <c r="H832" s="10" t="n">
        <v>2764.65</v>
      </c>
      <c r="I832" s="10" t="n">
        <v>4335.347</v>
      </c>
      <c r="J832" s="10" t="n">
        <v>3325.909</v>
      </c>
      <c r="K832" s="10" t="n">
        <v>1009.438</v>
      </c>
      <c r="L832" s="8" t="inlineStr">
        <is>
          <t>七部</t>
        </is>
      </c>
      <c r="M832" s="8" t="inlineStr">
        <is>
          <t>邓丽</t>
        </is>
      </c>
      <c r="N832" s="8" t="inlineStr">
        <is>
          <t>1年以内</t>
        </is>
      </c>
      <c r="O832" s="8" t="n"/>
    </row>
    <row r="833">
      <c r="A833" s="5" t="n">
        <v>831</v>
      </c>
      <c r="B833" s="5" t="inlineStr">
        <is>
          <t>西南-重庆</t>
        </is>
      </c>
      <c r="C833" s="5" t="inlineStr">
        <is>
          <t>政府机关</t>
        </is>
      </c>
      <c r="D833" s="6" t="inlineStr">
        <is>
          <t>HT20260603</t>
        </is>
      </c>
      <c r="E833" s="6" t="inlineStr">
        <is>
          <t>20260815</t>
        </is>
      </c>
      <c r="F833" s="10" t="n">
        <v>219.652</v>
      </c>
      <c r="G833" s="8" t="n"/>
      <c r="H833" s="10" t="n">
        <v>213.89</v>
      </c>
      <c r="I833" s="10" t="n">
        <v>5.762</v>
      </c>
      <c r="J833" s="10" t="n">
        <v>4.516</v>
      </c>
      <c r="K833" s="10" t="n">
        <v>1.246</v>
      </c>
      <c r="L833" s="8" t="inlineStr">
        <is>
          <t>十部</t>
        </is>
      </c>
      <c r="M833" s="8" t="inlineStr">
        <is>
          <t>薛峰</t>
        </is>
      </c>
      <c r="N833" s="8" t="inlineStr">
        <is>
          <t>1-2年</t>
        </is>
      </c>
      <c r="O833" s="8" t="n"/>
    </row>
    <row r="834">
      <c r="A834" s="5" t="n">
        <v>832</v>
      </c>
      <c r="B834" s="5" t="inlineStr">
        <is>
          <t>西北-青海</t>
        </is>
      </c>
      <c r="C834" s="5" t="inlineStr">
        <is>
          <t>党委机关</t>
        </is>
      </c>
      <c r="D834" s="6" t="inlineStr">
        <is>
          <t>HT20260604</t>
        </is>
      </c>
      <c r="E834" s="6" t="inlineStr">
        <is>
          <t>20260517</t>
        </is>
      </c>
      <c r="F834" s="10" t="n">
        <v>161.291</v>
      </c>
      <c r="G834" s="8" t="n"/>
      <c r="H834" s="10" t="n">
        <v>120.408</v>
      </c>
      <c r="I834" s="10" t="n">
        <v>40.883</v>
      </c>
      <c r="J834" s="10" t="n">
        <v>33.506</v>
      </c>
      <c r="K834" s="10" t="n">
        <v>7.377</v>
      </c>
      <c r="L834" s="8" t="inlineStr">
        <is>
          <t>四部</t>
        </is>
      </c>
      <c r="M834" s="8" t="inlineStr">
        <is>
          <t>罗刚</t>
        </is>
      </c>
      <c r="N834" s="8" t="inlineStr">
        <is>
          <t>1-2年</t>
        </is>
      </c>
      <c r="O834" s="8" t="n"/>
    </row>
    <row r="835">
      <c r="A835" s="5" t="n">
        <v>833</v>
      </c>
      <c r="B835" s="5" t="inlineStr">
        <is>
          <t>华北-北京</t>
        </is>
      </c>
      <c r="C835" s="5" t="inlineStr">
        <is>
          <t>人大政协</t>
        </is>
      </c>
      <c r="D835" s="6" t="inlineStr">
        <is>
          <t>HT20260604</t>
        </is>
      </c>
      <c r="E835" s="6" t="inlineStr">
        <is>
          <t>20260517</t>
        </is>
      </c>
      <c r="F835" s="10" t="n">
        <v>302.021</v>
      </c>
      <c r="G835" s="8" t="n"/>
      <c r="H835" s="10" t="n">
        <v>142.4</v>
      </c>
      <c r="I835" s="10" t="n">
        <v>159.621</v>
      </c>
      <c r="J835" s="10" t="n">
        <v>55.693</v>
      </c>
      <c r="K835" s="10" t="n">
        <v>103.928</v>
      </c>
      <c r="L835" s="8" t="inlineStr">
        <is>
          <t>十部</t>
        </is>
      </c>
      <c r="M835" s="8" t="inlineStr">
        <is>
          <t>段勇</t>
        </is>
      </c>
      <c r="N835" s="8" t="inlineStr">
        <is>
          <t>1年以内</t>
        </is>
      </c>
      <c r="O835" s="8" t="n"/>
    </row>
    <row r="836">
      <c r="A836" s="5" t="n">
        <v>834</v>
      </c>
      <c r="B836" s="5" t="inlineStr">
        <is>
          <t>华北-北京</t>
        </is>
      </c>
      <c r="C836" s="5" t="inlineStr">
        <is>
          <t>国有企业</t>
        </is>
      </c>
      <c r="D836" s="6" t="inlineStr">
        <is>
          <t>HT20260604</t>
        </is>
      </c>
      <c r="E836" s="6" t="inlineStr">
        <is>
          <t>20260517</t>
        </is>
      </c>
      <c r="F836" s="10" t="n">
        <v>676.422</v>
      </c>
      <c r="G836" s="8" t="n"/>
      <c r="H836" s="10" t="n">
        <v>62.545</v>
      </c>
      <c r="I836" s="10" t="n">
        <v>613.877</v>
      </c>
      <c r="J836" s="10" t="n">
        <v>20.282</v>
      </c>
      <c r="K836" s="10" t="n">
        <v>593.595</v>
      </c>
      <c r="L836" s="8" t="inlineStr">
        <is>
          <t>三部</t>
        </is>
      </c>
      <c r="M836" s="8" t="inlineStr">
        <is>
          <t>胡蓉</t>
        </is>
      </c>
      <c r="N836" s="8" t="inlineStr">
        <is>
          <t>2-3年</t>
        </is>
      </c>
      <c r="O836" s="8" t="n"/>
    </row>
    <row r="837">
      <c r="A837" s="5" t="n">
        <v>835</v>
      </c>
      <c r="B837" s="5" t="inlineStr">
        <is>
          <t>东北-黑龙江</t>
        </is>
      </c>
      <c r="C837" s="5" t="inlineStr">
        <is>
          <t>国有企业</t>
        </is>
      </c>
      <c r="D837" s="6" t="inlineStr">
        <is>
          <t>HT20260606</t>
        </is>
      </c>
      <c r="E837" s="6" t="inlineStr">
        <is>
          <t>20260129</t>
        </is>
      </c>
      <c r="F837" s="10" t="n">
        <v>305.319</v>
      </c>
      <c r="G837" s="8" t="n"/>
      <c r="H837" s="10" t="n">
        <v>275.277</v>
      </c>
      <c r="I837" s="10" t="n">
        <v>30.042</v>
      </c>
      <c r="J837" s="10" t="n">
        <v>14.898</v>
      </c>
      <c r="K837" s="10" t="n">
        <v>15.144</v>
      </c>
      <c r="L837" s="8" t="inlineStr">
        <is>
          <t>九部</t>
        </is>
      </c>
      <c r="M837" s="8" t="inlineStr">
        <is>
          <t>蒋涛</t>
        </is>
      </c>
      <c r="N837" s="8" t="inlineStr">
        <is>
          <t>1年以内</t>
        </is>
      </c>
      <c r="O837" s="8" t="n"/>
    </row>
    <row r="838">
      <c r="A838" s="5" t="n">
        <v>836</v>
      </c>
      <c r="B838" s="5" t="inlineStr">
        <is>
          <t>西南-西藏</t>
        </is>
      </c>
      <c r="C838" s="5" t="inlineStr">
        <is>
          <t>监察司法机关</t>
        </is>
      </c>
      <c r="D838" s="6" t="inlineStr">
        <is>
          <t>HT20260606</t>
        </is>
      </c>
      <c r="E838" s="6" t="inlineStr">
        <is>
          <t>20260129</t>
        </is>
      </c>
      <c r="F838" s="10" t="n">
        <v>724.769</v>
      </c>
      <c r="G838" s="8" t="n"/>
      <c r="H838" s="10" t="n">
        <v>685.698</v>
      </c>
      <c r="I838" s="10" t="n">
        <v>39.071</v>
      </c>
      <c r="J838" s="10" t="n">
        <v>11.579</v>
      </c>
      <c r="K838" s="10" t="n">
        <v>27.492</v>
      </c>
      <c r="L838" s="8" t="inlineStr">
        <is>
          <t>十部</t>
        </is>
      </c>
      <c r="M838" s="8" t="inlineStr">
        <is>
          <t>段勇</t>
        </is>
      </c>
      <c r="N838" s="8" t="inlineStr">
        <is>
          <t>1年以内</t>
        </is>
      </c>
      <c r="O838" s="8" t="n"/>
    </row>
    <row r="839">
      <c r="A839" s="5" t="n">
        <v>837</v>
      </c>
      <c r="B839" s="5" t="inlineStr">
        <is>
          <t>华东-山东</t>
        </is>
      </c>
      <c r="C839" s="5" t="inlineStr">
        <is>
          <t>人大政协</t>
        </is>
      </c>
      <c r="D839" s="6" t="inlineStr">
        <is>
          <t>HT20260606</t>
        </is>
      </c>
      <c r="E839" s="6" t="inlineStr">
        <is>
          <t>20260129</t>
        </is>
      </c>
      <c r="F839" s="10" t="n">
        <v>834.947</v>
      </c>
      <c r="G839" s="8" t="n"/>
      <c r="H839" s="10" t="n">
        <v>817.749</v>
      </c>
      <c r="I839" s="10" t="n">
        <v>17.198</v>
      </c>
      <c r="J839" s="10" t="n">
        <v>1.282</v>
      </c>
      <c r="K839" s="10" t="n">
        <v>15.916</v>
      </c>
      <c r="L839" s="8" t="inlineStr">
        <is>
          <t>一部</t>
        </is>
      </c>
      <c r="M839" s="8" t="inlineStr">
        <is>
          <t>李娜</t>
        </is>
      </c>
      <c r="N839" s="8" t="inlineStr">
        <is>
          <t>1年以内</t>
        </is>
      </c>
      <c r="O839" s="8" t="n"/>
    </row>
    <row r="840">
      <c r="A840" s="5" t="n">
        <v>838</v>
      </c>
      <c r="B840" s="5" t="inlineStr">
        <is>
          <t>西北-新疆</t>
        </is>
      </c>
      <c r="C840" s="5" t="inlineStr">
        <is>
          <t>群团组织</t>
        </is>
      </c>
      <c r="D840" s="6" t="inlineStr">
        <is>
          <t>HT20260606</t>
        </is>
      </c>
      <c r="E840" s="6" t="inlineStr">
        <is>
          <t>20260129</t>
        </is>
      </c>
      <c r="F840" s="10" t="n">
        <v>679.027</v>
      </c>
      <c r="G840" s="8" t="n"/>
      <c r="H840" s="10" t="n">
        <v>640.136</v>
      </c>
      <c r="I840" s="10" t="n">
        <v>38.891</v>
      </c>
      <c r="J840" s="10" t="n">
        <v>22.853</v>
      </c>
      <c r="K840" s="10" t="n">
        <v>16.038</v>
      </c>
      <c r="L840" s="8" t="inlineStr">
        <is>
          <t>一部</t>
        </is>
      </c>
      <c r="M840" s="8" t="inlineStr">
        <is>
          <t>刘洋</t>
        </is>
      </c>
      <c r="N840" s="8" t="inlineStr">
        <is>
          <t>2-3年</t>
        </is>
      </c>
      <c r="O840" s="8" t="n"/>
    </row>
    <row r="841">
      <c r="A841" s="5" t="n">
        <v>839</v>
      </c>
      <c r="B841" s="5" t="inlineStr">
        <is>
          <t>华东-江西</t>
        </is>
      </c>
      <c r="C841" s="5" t="inlineStr">
        <is>
          <t>国有企业</t>
        </is>
      </c>
      <c r="D841" s="6" t="inlineStr">
        <is>
          <t>HT20260606</t>
        </is>
      </c>
      <c r="E841" s="6" t="inlineStr">
        <is>
          <t>20260129</t>
        </is>
      </c>
      <c r="F841" s="10" t="n">
        <v>410.658</v>
      </c>
      <c r="G841" s="8" t="n"/>
      <c r="H841" s="10" t="n">
        <v>383.298</v>
      </c>
      <c r="I841" s="10" t="n">
        <v>27.36</v>
      </c>
      <c r="J841" s="10" t="n">
        <v>13.391</v>
      </c>
      <c r="K841" s="10" t="n">
        <v>13.969</v>
      </c>
      <c r="L841" s="8" t="inlineStr">
        <is>
          <t>一部</t>
        </is>
      </c>
      <c r="M841" s="8" t="inlineStr">
        <is>
          <t>张伟</t>
        </is>
      </c>
      <c r="N841" s="8" t="inlineStr">
        <is>
          <t>2-3年</t>
        </is>
      </c>
      <c r="O841" s="8" t="n"/>
    </row>
    <row r="842">
      <c r="A842" s="5" t="n">
        <v>840</v>
      </c>
      <c r="B842" s="5" t="inlineStr">
        <is>
          <t>华北-山西</t>
        </is>
      </c>
      <c r="C842" s="5" t="inlineStr">
        <is>
          <t>基层自治组织</t>
        </is>
      </c>
      <c r="D842" s="6" t="inlineStr">
        <is>
          <t>HT20260606</t>
        </is>
      </c>
      <c r="E842" s="6" t="inlineStr">
        <is>
          <t>20260129</t>
        </is>
      </c>
      <c r="F842" s="10" t="n">
        <v>442.998</v>
      </c>
      <c r="G842" s="8" t="n"/>
      <c r="H842" s="10" t="n">
        <v>19.91</v>
      </c>
      <c r="I842" s="10" t="n">
        <v>423.088</v>
      </c>
      <c r="J842" s="10" t="n">
        <v>273.312</v>
      </c>
      <c r="K842" s="10" t="n">
        <v>149.776</v>
      </c>
      <c r="L842" s="8" t="inlineStr">
        <is>
          <t>十部</t>
        </is>
      </c>
      <c r="M842" s="8" t="inlineStr">
        <is>
          <t>雷声</t>
        </is>
      </c>
      <c r="N842" s="8" t="inlineStr">
        <is>
          <t>1年以内</t>
        </is>
      </c>
      <c r="O842" s="8" t="n"/>
    </row>
    <row r="843">
      <c r="A843" s="5" t="n">
        <v>841</v>
      </c>
      <c r="B843" s="5" t="inlineStr">
        <is>
          <t>华东-江西</t>
        </is>
      </c>
      <c r="C843" s="5" t="inlineStr">
        <is>
          <t>监察司法机关</t>
        </is>
      </c>
      <c r="D843" s="6" t="inlineStr">
        <is>
          <t>HT20260608</t>
        </is>
      </c>
      <c r="E843" s="6" t="inlineStr">
        <is>
          <t>20260429</t>
        </is>
      </c>
      <c r="F843" s="10" t="n">
        <v>6710.65</v>
      </c>
      <c r="G843" s="8" t="n"/>
      <c r="H843" s="10" t="n">
        <v>5099.38</v>
      </c>
      <c r="I843" s="10" t="n">
        <v>1611.27</v>
      </c>
      <c r="J843" s="10" t="n">
        <v>1567.055</v>
      </c>
      <c r="K843" s="10" t="n">
        <v>44.215</v>
      </c>
      <c r="L843" s="8" t="inlineStr">
        <is>
          <t>八部</t>
        </is>
      </c>
      <c r="M843" s="8" t="inlineStr">
        <is>
          <t>吕强</t>
        </is>
      </c>
      <c r="N843" s="8" t="inlineStr">
        <is>
          <t>1-2年</t>
        </is>
      </c>
      <c r="O843" s="8" t="n"/>
    </row>
    <row r="844">
      <c r="A844" s="5" t="n">
        <v>842</v>
      </c>
      <c r="B844" s="5" t="inlineStr">
        <is>
          <t>华南-海南</t>
        </is>
      </c>
      <c r="C844" s="5" t="inlineStr">
        <is>
          <t>监察司法机关</t>
        </is>
      </c>
      <c r="D844" s="6" t="inlineStr">
        <is>
          <t>HT20260609</t>
        </is>
      </c>
      <c r="E844" s="6" t="inlineStr">
        <is>
          <t>20260311</t>
        </is>
      </c>
      <c r="F844" s="10" t="n">
        <v>665.302</v>
      </c>
      <c r="G844" s="8" t="n"/>
      <c r="H844" s="10" t="n">
        <v>204.295</v>
      </c>
      <c r="I844" s="10" t="n">
        <v>461.007</v>
      </c>
      <c r="J844" s="10" t="n">
        <v>255.483</v>
      </c>
      <c r="K844" s="10" t="n">
        <v>205.524</v>
      </c>
      <c r="L844" s="8" t="inlineStr">
        <is>
          <t>一部</t>
        </is>
      </c>
      <c r="M844" s="8" t="inlineStr">
        <is>
          <t>张伟</t>
        </is>
      </c>
      <c r="N844" s="8" t="inlineStr">
        <is>
          <t>1年以内</t>
        </is>
      </c>
      <c r="O844" s="8" t="n"/>
    </row>
    <row r="845">
      <c r="A845" s="5" t="n">
        <v>843</v>
      </c>
      <c r="B845" s="5" t="inlineStr">
        <is>
          <t>华南-海南</t>
        </is>
      </c>
      <c r="C845" s="5" t="inlineStr">
        <is>
          <t>事业单位</t>
        </is>
      </c>
      <c r="D845" s="6" t="inlineStr">
        <is>
          <t>HT20260610</t>
        </is>
      </c>
      <c r="E845" s="6" t="inlineStr">
        <is>
          <t>20260120</t>
        </is>
      </c>
      <c r="F845" s="10" t="n">
        <v>803.543</v>
      </c>
      <c r="G845" s="8" t="n"/>
      <c r="H845" s="10" t="n">
        <v>511.93</v>
      </c>
      <c r="I845" s="10" t="n">
        <v>291.613</v>
      </c>
      <c r="J845" s="10" t="n">
        <v>5.847</v>
      </c>
      <c r="K845" s="10" t="n">
        <v>285.766</v>
      </c>
      <c r="L845" s="8" t="inlineStr">
        <is>
          <t>五部</t>
        </is>
      </c>
      <c r="M845" s="8" t="inlineStr">
        <is>
          <t>宋佳</t>
        </is>
      </c>
      <c r="N845" s="8" t="inlineStr">
        <is>
          <t>1年以内</t>
        </is>
      </c>
      <c r="O845" s="8" t="n"/>
    </row>
    <row r="846">
      <c r="A846" s="5" t="n">
        <v>844</v>
      </c>
      <c r="B846" s="5" t="inlineStr">
        <is>
          <t>西南-贵州</t>
        </is>
      </c>
      <c r="C846" s="5" t="inlineStr">
        <is>
          <t>人大政协</t>
        </is>
      </c>
      <c r="D846" s="6" t="inlineStr">
        <is>
          <t>HT20260611</t>
        </is>
      </c>
      <c r="E846" s="6" t="inlineStr">
        <is>
          <t>20260503</t>
        </is>
      </c>
      <c r="F846" s="10" t="n">
        <v>792.509</v>
      </c>
      <c r="G846" s="8" t="n"/>
      <c r="H846" s="10" t="n">
        <v>177.39</v>
      </c>
      <c r="I846" s="10" t="n">
        <v>615.119</v>
      </c>
      <c r="J846" s="10" t="n">
        <v>503.221</v>
      </c>
      <c r="K846" s="10" t="n">
        <v>111.898</v>
      </c>
      <c r="L846" s="8" t="inlineStr">
        <is>
          <t>八部</t>
        </is>
      </c>
      <c r="M846" s="8" t="inlineStr">
        <is>
          <t>吕强</t>
        </is>
      </c>
      <c r="N846" s="8" t="inlineStr">
        <is>
          <t>1年以内</t>
        </is>
      </c>
      <c r="O846" s="8" t="n"/>
    </row>
    <row r="847">
      <c r="A847" s="5" t="n">
        <v>845</v>
      </c>
      <c r="B847" s="5" t="inlineStr">
        <is>
          <t>华北-天津</t>
        </is>
      </c>
      <c r="C847" s="5" t="inlineStr">
        <is>
          <t>基层自治组织</t>
        </is>
      </c>
      <c r="D847" s="6" t="inlineStr">
        <is>
          <t>HT20260613</t>
        </is>
      </c>
      <c r="E847" s="6" t="inlineStr">
        <is>
          <t>20260615</t>
        </is>
      </c>
      <c r="F847" s="10" t="n">
        <v>394.024</v>
      </c>
      <c r="G847" s="8" t="n"/>
      <c r="H847" s="10" t="n">
        <v>48.793</v>
      </c>
      <c r="I847" s="10" t="n">
        <v>345.231</v>
      </c>
      <c r="J847" s="10" t="n">
        <v>309.241</v>
      </c>
      <c r="K847" s="10" t="n">
        <v>35.99</v>
      </c>
      <c r="L847" s="8" t="inlineStr">
        <is>
          <t>四部</t>
        </is>
      </c>
      <c r="M847" s="8" t="inlineStr">
        <is>
          <t>高翔</t>
        </is>
      </c>
      <c r="N847" s="8" t="inlineStr">
        <is>
          <t>1-2年</t>
        </is>
      </c>
      <c r="O847" s="8" t="n"/>
    </row>
    <row r="848">
      <c r="A848" s="5" t="n">
        <v>846</v>
      </c>
      <c r="B848" s="5" t="inlineStr">
        <is>
          <t>西南-西藏</t>
        </is>
      </c>
      <c r="C848" s="5" t="inlineStr">
        <is>
          <t>群团组织</t>
        </is>
      </c>
      <c r="D848" s="6" t="inlineStr">
        <is>
          <t>HT20260613</t>
        </is>
      </c>
      <c r="E848" s="6" t="inlineStr">
        <is>
          <t>20260615</t>
        </is>
      </c>
      <c r="F848" s="10" t="n">
        <v>834.218</v>
      </c>
      <c r="G848" s="8" t="n"/>
      <c r="H848" s="10" t="n">
        <v>10.115</v>
      </c>
      <c r="I848" s="10" t="n">
        <v>824.103</v>
      </c>
      <c r="J848" s="10" t="n">
        <v>578.107</v>
      </c>
      <c r="K848" s="10" t="n">
        <v>245.996</v>
      </c>
      <c r="L848" s="8" t="inlineStr">
        <is>
          <t>九部</t>
        </is>
      </c>
      <c r="M848" s="8" t="inlineStr">
        <is>
          <t>魏红</t>
        </is>
      </c>
      <c r="N848" s="8" t="inlineStr">
        <is>
          <t>1年以内</t>
        </is>
      </c>
      <c r="O848" s="8" t="n"/>
    </row>
    <row r="849">
      <c r="A849" s="5" t="n">
        <v>847</v>
      </c>
      <c r="B849" s="5" t="inlineStr">
        <is>
          <t>华东-山东</t>
        </is>
      </c>
      <c r="C849" s="5" t="inlineStr">
        <is>
          <t>事业单位</t>
        </is>
      </c>
      <c r="D849" s="6" t="inlineStr">
        <is>
          <t>HT20260614</t>
        </is>
      </c>
      <c r="E849" s="6" t="inlineStr">
        <is>
          <t>20260222</t>
        </is>
      </c>
      <c r="F849" s="10" t="n">
        <v>597.269</v>
      </c>
      <c r="G849" s="8" t="n"/>
      <c r="H849" s="10" t="n">
        <v>22.325</v>
      </c>
      <c r="I849" s="10" t="n">
        <v>574.944</v>
      </c>
      <c r="J849" s="10" t="n">
        <v>125.961</v>
      </c>
      <c r="K849" s="10" t="n">
        <v>448.983</v>
      </c>
      <c r="L849" s="8" t="inlineStr">
        <is>
          <t>九部</t>
        </is>
      </c>
      <c r="M849" s="8" t="inlineStr">
        <is>
          <t>丁磊</t>
        </is>
      </c>
      <c r="N849" s="8" t="inlineStr">
        <is>
          <t>1-2年</t>
        </is>
      </c>
      <c r="O849" s="8" t="n"/>
    </row>
    <row r="850">
      <c r="A850" s="5" t="n">
        <v>848</v>
      </c>
      <c r="B850" s="5" t="inlineStr">
        <is>
          <t>华东-安徽</t>
        </is>
      </c>
      <c r="C850" s="5" t="inlineStr">
        <is>
          <t>人大政协</t>
        </is>
      </c>
      <c r="D850" s="6" t="inlineStr">
        <is>
          <t>HT20260614</t>
        </is>
      </c>
      <c r="E850" s="6" t="inlineStr">
        <is>
          <t>20260222</t>
        </is>
      </c>
      <c r="F850" s="10" t="n">
        <v>200.643</v>
      </c>
      <c r="G850" s="8" t="n"/>
      <c r="H850" s="10" t="n">
        <v>4.618</v>
      </c>
      <c r="I850" s="10" t="n">
        <v>196.025</v>
      </c>
      <c r="J850" s="10" t="n">
        <v>14.211</v>
      </c>
      <c r="K850" s="10" t="n">
        <v>181.814</v>
      </c>
      <c r="L850" s="8" t="inlineStr">
        <is>
          <t>六部</t>
        </is>
      </c>
      <c r="M850" s="8" t="inlineStr">
        <is>
          <t>冯倩</t>
        </is>
      </c>
      <c r="N850" s="8" t="inlineStr">
        <is>
          <t>2-3年</t>
        </is>
      </c>
      <c r="O850" s="8" t="n"/>
    </row>
    <row r="851">
      <c r="A851" s="5" t="n">
        <v>849</v>
      </c>
      <c r="B851" s="5" t="inlineStr">
        <is>
          <t>华东-上海</t>
        </is>
      </c>
      <c r="C851" s="5" t="inlineStr">
        <is>
          <t>党委机关</t>
        </is>
      </c>
      <c r="D851" s="6" t="inlineStr">
        <is>
          <t>HT20260615</t>
        </is>
      </c>
      <c r="E851" s="6" t="inlineStr">
        <is>
          <t>20260204</t>
        </is>
      </c>
      <c r="F851" s="10" t="n">
        <v>596.071</v>
      </c>
      <c r="G851" s="8" t="n"/>
      <c r="H851" s="10" t="n">
        <v>445.255</v>
      </c>
      <c r="I851" s="10" t="n">
        <v>150.816</v>
      </c>
      <c r="J851" s="10" t="n">
        <v>120.188</v>
      </c>
      <c r="K851" s="10" t="n">
        <v>30.628</v>
      </c>
      <c r="L851" s="8" t="inlineStr">
        <is>
          <t>九部</t>
        </is>
      </c>
      <c r="M851" s="8" t="inlineStr">
        <is>
          <t>贾静</t>
        </is>
      </c>
      <c r="N851" s="8" t="inlineStr">
        <is>
          <t>2-3年</t>
        </is>
      </c>
      <c r="O851" s="8" t="n"/>
    </row>
    <row r="852">
      <c r="A852" s="5" t="n">
        <v>850</v>
      </c>
      <c r="B852" s="5" t="inlineStr">
        <is>
          <t>华东-安徽</t>
        </is>
      </c>
      <c r="C852" s="5" t="inlineStr">
        <is>
          <t>基层自治组织</t>
        </is>
      </c>
      <c r="D852" s="6" t="inlineStr">
        <is>
          <t>HT20260615</t>
        </is>
      </c>
      <c r="E852" s="6" t="inlineStr">
        <is>
          <t>20260204</t>
        </is>
      </c>
      <c r="F852" s="10" t="n">
        <v>426.486</v>
      </c>
      <c r="G852" s="8" t="n"/>
      <c r="H852" s="10" t="n">
        <v>299.33</v>
      </c>
      <c r="I852" s="10" t="n">
        <v>127.156</v>
      </c>
      <c r="J852" s="10" t="n">
        <v>119.001</v>
      </c>
      <c r="K852" s="10" t="n">
        <v>8.154999999999999</v>
      </c>
      <c r="L852" s="8" t="inlineStr">
        <is>
          <t>一部</t>
        </is>
      </c>
      <c r="M852" s="8" t="inlineStr">
        <is>
          <t>李娜</t>
        </is>
      </c>
      <c r="N852" s="8" t="inlineStr">
        <is>
          <t>1-2年</t>
        </is>
      </c>
      <c r="O852" s="8" t="n"/>
    </row>
    <row r="853">
      <c r="A853" s="5" t="n">
        <v>851</v>
      </c>
      <c r="B853" s="5" t="inlineStr">
        <is>
          <t>华北-天津</t>
        </is>
      </c>
      <c r="C853" s="5" t="inlineStr">
        <is>
          <t>基层自治组织</t>
        </is>
      </c>
      <c r="D853" s="6" t="inlineStr">
        <is>
          <t>HT20260618</t>
        </is>
      </c>
      <c r="E853" s="6" t="inlineStr">
        <is>
          <t>20260312</t>
        </is>
      </c>
      <c r="F853" s="10" t="n">
        <v>428.588</v>
      </c>
      <c r="G853" s="8" t="n"/>
      <c r="H853" s="10" t="n">
        <v>288.668</v>
      </c>
      <c r="I853" s="10" t="n">
        <v>139.92</v>
      </c>
      <c r="J853" s="10" t="n">
        <v>5.045</v>
      </c>
      <c r="K853" s="10" t="n">
        <v>134.875</v>
      </c>
      <c r="L853" s="8" t="inlineStr">
        <is>
          <t>四部</t>
        </is>
      </c>
      <c r="M853" s="8" t="inlineStr">
        <is>
          <t>罗刚</t>
        </is>
      </c>
      <c r="N853" s="8" t="inlineStr">
        <is>
          <t>1年以内</t>
        </is>
      </c>
      <c r="O853" s="8" t="n"/>
    </row>
    <row r="854">
      <c r="A854" s="5" t="n">
        <v>852</v>
      </c>
      <c r="B854" s="5" t="inlineStr">
        <is>
          <t>东北-辽宁</t>
        </is>
      </c>
      <c r="C854" s="5" t="inlineStr">
        <is>
          <t>人大政协</t>
        </is>
      </c>
      <c r="D854" s="6" t="inlineStr">
        <is>
          <t>HT20260618</t>
        </is>
      </c>
      <c r="E854" s="6" t="inlineStr">
        <is>
          <t>20260312</t>
        </is>
      </c>
      <c r="F854" s="10" t="n">
        <v>884.809</v>
      </c>
      <c r="G854" s="8" t="n"/>
      <c r="H854" s="10" t="n">
        <v>677.9690000000001</v>
      </c>
      <c r="I854" s="10" t="n">
        <v>206.84</v>
      </c>
      <c r="J854" s="10" t="n">
        <v>183.343</v>
      </c>
      <c r="K854" s="10" t="n">
        <v>23.497</v>
      </c>
      <c r="L854" s="8" t="inlineStr">
        <is>
          <t>七部</t>
        </is>
      </c>
      <c r="M854" s="8" t="inlineStr">
        <is>
          <t>傅蓉</t>
        </is>
      </c>
      <c r="N854" s="8" t="inlineStr">
        <is>
          <t>1年以内</t>
        </is>
      </c>
      <c r="O854" s="8" t="n"/>
    </row>
    <row r="855">
      <c r="A855" s="5" t="n">
        <v>853</v>
      </c>
      <c r="B855" s="5" t="inlineStr">
        <is>
          <t>西南-贵州</t>
        </is>
      </c>
      <c r="C855" s="5" t="inlineStr">
        <is>
          <t>政府机关</t>
        </is>
      </c>
      <c r="D855" s="6" t="inlineStr">
        <is>
          <t>HT20260618</t>
        </is>
      </c>
      <c r="E855" s="6" t="inlineStr">
        <is>
          <t>20260312</t>
        </is>
      </c>
      <c r="F855" s="10" t="n">
        <v>3142.787</v>
      </c>
      <c r="G855" s="8" t="n"/>
      <c r="H855" s="10" t="n">
        <v>1865.879</v>
      </c>
      <c r="I855" s="10" t="n">
        <v>1276.908</v>
      </c>
      <c r="J855" s="10" t="n">
        <v>1022.725</v>
      </c>
      <c r="K855" s="10" t="n">
        <v>254.183</v>
      </c>
      <c r="L855" s="8" t="inlineStr">
        <is>
          <t>二部</t>
        </is>
      </c>
      <c r="M855" s="8" t="inlineStr">
        <is>
          <t>周杰</t>
        </is>
      </c>
      <c r="N855" s="8" t="inlineStr">
        <is>
          <t>1年以内</t>
        </is>
      </c>
      <c r="O855" s="8" t="n"/>
    </row>
    <row r="856">
      <c r="A856" s="5" t="n">
        <v>854</v>
      </c>
      <c r="B856" s="5" t="inlineStr">
        <is>
          <t>西北-陕西</t>
        </is>
      </c>
      <c r="C856" s="5" t="inlineStr">
        <is>
          <t>监察司法机关</t>
        </is>
      </c>
      <c r="D856" s="6" t="inlineStr">
        <is>
          <t>HT20260618</t>
        </is>
      </c>
      <c r="E856" s="6" t="inlineStr">
        <is>
          <t>20260312</t>
        </is>
      </c>
      <c r="F856" s="10" t="n">
        <v>983.813</v>
      </c>
      <c r="G856" s="8" t="n"/>
      <c r="H856" s="10" t="n">
        <v>168.149</v>
      </c>
      <c r="I856" s="10" t="n">
        <v>815.664</v>
      </c>
      <c r="J856" s="10" t="n">
        <v>524.6660000000001</v>
      </c>
      <c r="K856" s="10" t="n">
        <v>290.998</v>
      </c>
      <c r="L856" s="8" t="inlineStr">
        <is>
          <t>三部</t>
        </is>
      </c>
      <c r="M856" s="8" t="inlineStr">
        <is>
          <t>胡蓉</t>
        </is>
      </c>
      <c r="N856" s="8" t="inlineStr">
        <is>
          <t>1年以内</t>
        </is>
      </c>
      <c r="O856" s="8" t="n"/>
    </row>
    <row r="857">
      <c r="A857" s="5" t="n">
        <v>855</v>
      </c>
      <c r="B857" s="5" t="inlineStr">
        <is>
          <t>西北-陕西</t>
        </is>
      </c>
      <c r="C857" s="5" t="inlineStr">
        <is>
          <t>国有企业</t>
        </is>
      </c>
      <c r="D857" s="6" t="inlineStr">
        <is>
          <t>HT20260618</t>
        </is>
      </c>
      <c r="E857" s="6" t="inlineStr">
        <is>
          <t>20260312</t>
        </is>
      </c>
      <c r="F857" s="10" t="n">
        <v>522.359</v>
      </c>
      <c r="G857" s="8" t="n"/>
      <c r="H857" s="10" t="n">
        <v>58.62</v>
      </c>
      <c r="I857" s="10" t="n">
        <v>463.739</v>
      </c>
      <c r="J857" s="10" t="n">
        <v>165.639</v>
      </c>
      <c r="K857" s="10" t="n">
        <v>298.1</v>
      </c>
      <c r="L857" s="8" t="inlineStr">
        <is>
          <t>十部</t>
        </is>
      </c>
      <c r="M857" s="8" t="inlineStr">
        <is>
          <t>薛峰</t>
        </is>
      </c>
      <c r="N857" s="8" t="inlineStr">
        <is>
          <t>2-3年</t>
        </is>
      </c>
      <c r="O857" s="8" t="n"/>
    </row>
    <row r="858">
      <c r="A858" s="5" t="n">
        <v>856</v>
      </c>
      <c r="B858" s="5" t="inlineStr">
        <is>
          <t>华南-澳门</t>
        </is>
      </c>
      <c r="C858" s="5" t="inlineStr">
        <is>
          <t>监察司法机关</t>
        </is>
      </c>
      <c r="D858" s="6" t="inlineStr">
        <is>
          <t>HT20260618</t>
        </is>
      </c>
      <c r="E858" s="6" t="inlineStr">
        <is>
          <t>20260312</t>
        </is>
      </c>
      <c r="F858" s="10" t="n">
        <v>807.328</v>
      </c>
      <c r="G858" s="8" t="n"/>
      <c r="H858" s="10" t="n">
        <v>399.045</v>
      </c>
      <c r="I858" s="10" t="n">
        <v>408.283</v>
      </c>
      <c r="J858" s="10" t="n">
        <v>20.173</v>
      </c>
      <c r="K858" s="10" t="n">
        <v>388.11</v>
      </c>
      <c r="L858" s="8" t="inlineStr">
        <is>
          <t>七部</t>
        </is>
      </c>
      <c r="M858" s="8" t="inlineStr">
        <is>
          <t>傅蓉</t>
        </is>
      </c>
      <c r="N858" s="8" t="inlineStr">
        <is>
          <t>1-2年</t>
        </is>
      </c>
      <c r="O858" s="8" t="n"/>
    </row>
    <row r="859">
      <c r="A859" s="5" t="n">
        <v>857</v>
      </c>
      <c r="B859" s="5" t="inlineStr">
        <is>
          <t>华东-上海</t>
        </is>
      </c>
      <c r="C859" s="5" t="inlineStr">
        <is>
          <t>监察司法机关</t>
        </is>
      </c>
      <c r="D859" s="6" t="inlineStr">
        <is>
          <t>HT20260618</t>
        </is>
      </c>
      <c r="E859" s="6" t="inlineStr">
        <is>
          <t>20260312</t>
        </is>
      </c>
      <c r="F859" s="10" t="n">
        <v>80.482</v>
      </c>
      <c r="G859" s="8" t="n"/>
      <c r="H859" s="10" t="n">
        <v>38.861</v>
      </c>
      <c r="I859" s="10" t="n">
        <v>41.621</v>
      </c>
      <c r="J859" s="10" t="n">
        <v>22.261</v>
      </c>
      <c r="K859" s="10" t="n">
        <v>19.36</v>
      </c>
      <c r="L859" s="8" t="inlineStr">
        <is>
          <t>十部</t>
        </is>
      </c>
      <c r="M859" s="8" t="inlineStr">
        <is>
          <t>薛峰</t>
        </is>
      </c>
      <c r="N859" s="8" t="inlineStr">
        <is>
          <t>2-3年</t>
        </is>
      </c>
      <c r="O859" s="8" t="n"/>
    </row>
    <row r="860">
      <c r="A860" s="5" t="n">
        <v>858</v>
      </c>
      <c r="B860" s="5" t="inlineStr">
        <is>
          <t>华东-江苏</t>
        </is>
      </c>
      <c r="C860" s="5" t="inlineStr">
        <is>
          <t>基层自治组织</t>
        </is>
      </c>
      <c r="D860" s="6" t="inlineStr">
        <is>
          <t>HT20260618</t>
        </is>
      </c>
      <c r="E860" s="6" t="inlineStr">
        <is>
          <t>20260312</t>
        </is>
      </c>
      <c r="F860" s="10" t="n">
        <v>999.885</v>
      </c>
      <c r="G860" s="8" t="n"/>
      <c r="H860" s="10" t="n">
        <v>618.433</v>
      </c>
      <c r="I860" s="10" t="n">
        <v>381.452</v>
      </c>
      <c r="J860" s="10" t="n">
        <v>359.861</v>
      </c>
      <c r="K860" s="10" t="n">
        <v>21.591</v>
      </c>
      <c r="L860" s="8" t="inlineStr">
        <is>
          <t>二部</t>
        </is>
      </c>
      <c r="M860" s="8" t="inlineStr">
        <is>
          <t>黄强</t>
        </is>
      </c>
      <c r="N860" s="8" t="inlineStr">
        <is>
          <t>1-2年</t>
        </is>
      </c>
      <c r="O860" s="8" t="n"/>
    </row>
    <row r="861">
      <c r="A861" s="5" t="n">
        <v>859</v>
      </c>
      <c r="B861" s="5" t="inlineStr">
        <is>
          <t>华南-海南</t>
        </is>
      </c>
      <c r="C861" s="5" t="inlineStr">
        <is>
          <t>事业单位</t>
        </is>
      </c>
      <c r="D861" s="6" t="inlineStr">
        <is>
          <t>HT20260618</t>
        </is>
      </c>
      <c r="E861" s="6" t="inlineStr">
        <is>
          <t>20260312</t>
        </is>
      </c>
      <c r="F861" s="10" t="n">
        <v>1795.897</v>
      </c>
      <c r="G861" s="8" t="n"/>
      <c r="H861" s="10" t="n">
        <v>160.437</v>
      </c>
      <c r="I861" s="10" t="n">
        <v>1635.46</v>
      </c>
      <c r="J861" s="10" t="n">
        <v>444.201</v>
      </c>
      <c r="K861" s="10" t="n">
        <v>1191.259</v>
      </c>
      <c r="L861" s="8" t="inlineStr">
        <is>
          <t>五部</t>
        </is>
      </c>
      <c r="M861" s="8" t="inlineStr">
        <is>
          <t>郑浩</t>
        </is>
      </c>
      <c r="N861" s="8" t="inlineStr">
        <is>
          <t>2-3年</t>
        </is>
      </c>
      <c r="O861" s="8" t="n"/>
    </row>
    <row r="862">
      <c r="A862" s="5" t="n">
        <v>860</v>
      </c>
      <c r="B862" s="5" t="inlineStr">
        <is>
          <t>华中-湖北</t>
        </is>
      </c>
      <c r="C862" s="5" t="inlineStr">
        <is>
          <t>政府机关</t>
        </is>
      </c>
      <c r="D862" s="6" t="inlineStr">
        <is>
          <t>HT20260618</t>
        </is>
      </c>
      <c r="E862" s="6" t="inlineStr">
        <is>
          <t>20260312</t>
        </is>
      </c>
      <c r="F862" s="10" t="n">
        <v>384.509</v>
      </c>
      <c r="G862" s="8" t="n"/>
      <c r="H862" s="10" t="n">
        <v>139.591</v>
      </c>
      <c r="I862" s="10" t="n">
        <v>244.918</v>
      </c>
      <c r="J862" s="10" t="n">
        <v>41.831</v>
      </c>
      <c r="K862" s="10" t="n">
        <v>203.087</v>
      </c>
      <c r="L862" s="8" t="inlineStr">
        <is>
          <t>八部</t>
        </is>
      </c>
      <c r="M862" s="8" t="inlineStr">
        <is>
          <t>彭燕</t>
        </is>
      </c>
      <c r="N862" s="8" t="inlineStr">
        <is>
          <t>1年以内</t>
        </is>
      </c>
      <c r="O862" s="8" t="n"/>
    </row>
    <row r="863">
      <c r="A863" s="5" t="n">
        <v>861</v>
      </c>
      <c r="B863" s="5" t="inlineStr">
        <is>
          <t>华南-香港</t>
        </is>
      </c>
      <c r="C863" s="5" t="inlineStr">
        <is>
          <t>事业单位</t>
        </is>
      </c>
      <c r="D863" s="6" t="inlineStr">
        <is>
          <t>HT20260619</t>
        </is>
      </c>
      <c r="E863" s="6" t="inlineStr">
        <is>
          <t>20260714</t>
        </is>
      </c>
      <c r="F863" s="10" t="n">
        <v>886.148</v>
      </c>
      <c r="G863" s="8" t="n"/>
      <c r="H863" s="10" t="n">
        <v>491.438</v>
      </c>
      <c r="I863" s="10" t="n">
        <v>394.71</v>
      </c>
      <c r="J863" s="10" t="n">
        <v>257.813</v>
      </c>
      <c r="K863" s="10" t="n">
        <v>136.897</v>
      </c>
      <c r="L863" s="8" t="inlineStr">
        <is>
          <t>十部</t>
        </is>
      </c>
      <c r="M863" s="8" t="inlineStr">
        <is>
          <t>雷声</t>
        </is>
      </c>
      <c r="N863" s="8" t="inlineStr">
        <is>
          <t>2-3年</t>
        </is>
      </c>
      <c r="O863" s="8" t="n"/>
    </row>
    <row r="864">
      <c r="A864" s="5" t="n">
        <v>862</v>
      </c>
      <c r="B864" s="5" t="inlineStr">
        <is>
          <t>西北-陕西</t>
        </is>
      </c>
      <c r="C864" s="5" t="inlineStr">
        <is>
          <t>党委机关</t>
        </is>
      </c>
      <c r="D864" s="6" t="inlineStr">
        <is>
          <t>HT20260619</t>
        </is>
      </c>
      <c r="E864" s="6" t="inlineStr">
        <is>
          <t>20260714</t>
        </is>
      </c>
      <c r="F864" s="10" t="n">
        <v>390.384</v>
      </c>
      <c r="G864" s="8" t="n"/>
      <c r="H864" s="10" t="n">
        <v>103.374</v>
      </c>
      <c r="I864" s="10" t="n">
        <v>287.01</v>
      </c>
      <c r="J864" s="10" t="n">
        <v>75.053</v>
      </c>
      <c r="K864" s="10" t="n">
        <v>211.957</v>
      </c>
      <c r="L864" s="8" t="inlineStr">
        <is>
          <t>十部</t>
        </is>
      </c>
      <c r="M864" s="8" t="inlineStr">
        <is>
          <t>段勇</t>
        </is>
      </c>
      <c r="N864" s="8" t="inlineStr">
        <is>
          <t>1年以内</t>
        </is>
      </c>
      <c r="O864" s="8" t="n"/>
    </row>
    <row r="865">
      <c r="A865" s="5" t="n">
        <v>863</v>
      </c>
      <c r="B865" s="5" t="inlineStr">
        <is>
          <t>华南-海南</t>
        </is>
      </c>
      <c r="C865" s="5" t="inlineStr">
        <is>
          <t>人大政协</t>
        </is>
      </c>
      <c r="D865" s="6" t="inlineStr">
        <is>
          <t>HT20260619</t>
        </is>
      </c>
      <c r="E865" s="6" t="inlineStr">
        <is>
          <t>20260714</t>
        </is>
      </c>
      <c r="F865" s="10" t="n">
        <v>169.365</v>
      </c>
      <c r="G865" s="8" t="n"/>
      <c r="H865" s="10" t="n">
        <v>79.503</v>
      </c>
      <c r="I865" s="10" t="n">
        <v>89.86199999999999</v>
      </c>
      <c r="J865" s="10" t="n">
        <v>65.312</v>
      </c>
      <c r="K865" s="10" t="n">
        <v>24.55</v>
      </c>
      <c r="L865" s="8" t="inlineStr">
        <is>
          <t>九部</t>
        </is>
      </c>
      <c r="M865" s="8" t="inlineStr">
        <is>
          <t>魏红</t>
        </is>
      </c>
      <c r="N865" s="8" t="inlineStr">
        <is>
          <t>2-3年</t>
        </is>
      </c>
      <c r="O865" s="8" t="n"/>
    </row>
    <row r="866">
      <c r="A866" s="5" t="n">
        <v>864</v>
      </c>
      <c r="B866" s="5" t="inlineStr">
        <is>
          <t>西北-陕西</t>
        </is>
      </c>
      <c r="C866" s="5" t="inlineStr">
        <is>
          <t>基层自治组织</t>
        </is>
      </c>
      <c r="D866" s="6" t="inlineStr">
        <is>
          <t>HT20260619</t>
        </is>
      </c>
      <c r="E866" s="6" t="inlineStr">
        <is>
          <t>20260714</t>
        </is>
      </c>
      <c r="F866" s="10" t="n">
        <v>925.7619999999999</v>
      </c>
      <c r="G866" s="8" t="n"/>
      <c r="H866" s="10" t="n">
        <v>7.496</v>
      </c>
      <c r="I866" s="10" t="n">
        <v>918.266</v>
      </c>
      <c r="J866" s="10" t="n">
        <v>348.727</v>
      </c>
      <c r="K866" s="10" t="n">
        <v>569.539</v>
      </c>
      <c r="L866" s="8" t="inlineStr">
        <is>
          <t>六部</t>
        </is>
      </c>
      <c r="M866" s="8" t="inlineStr">
        <is>
          <t>董辉</t>
        </is>
      </c>
      <c r="N866" s="8" t="inlineStr">
        <is>
          <t>2-3年</t>
        </is>
      </c>
      <c r="O866" s="8" t="n"/>
    </row>
    <row r="867">
      <c r="A867" s="5" t="n">
        <v>865</v>
      </c>
      <c r="B867" s="5" t="inlineStr">
        <is>
          <t>西南-重庆</t>
        </is>
      </c>
      <c r="C867" s="5" t="inlineStr">
        <is>
          <t>群团组织</t>
        </is>
      </c>
      <c r="D867" s="6" t="inlineStr">
        <is>
          <t>HT20260619</t>
        </is>
      </c>
      <c r="E867" s="6" t="inlineStr">
        <is>
          <t>20260714</t>
        </is>
      </c>
      <c r="F867" s="10" t="n">
        <v>5256.253</v>
      </c>
      <c r="G867" s="8" t="n"/>
      <c r="H867" s="10" t="n">
        <v>3765.836</v>
      </c>
      <c r="I867" s="10" t="n">
        <v>1490.417</v>
      </c>
      <c r="J867" s="10" t="n">
        <v>665.75</v>
      </c>
      <c r="K867" s="10" t="n">
        <v>824.667</v>
      </c>
      <c r="L867" s="8" t="inlineStr">
        <is>
          <t>五部</t>
        </is>
      </c>
      <c r="M867" s="8" t="inlineStr">
        <is>
          <t>谢峰</t>
        </is>
      </c>
      <c r="N867" s="8" t="inlineStr">
        <is>
          <t>1年以内</t>
        </is>
      </c>
      <c r="O867" s="8" t="n"/>
    </row>
    <row r="868">
      <c r="A868" s="5" t="n">
        <v>866</v>
      </c>
      <c r="B868" s="5" t="inlineStr">
        <is>
          <t>华北-山西</t>
        </is>
      </c>
      <c r="C868" s="5" t="inlineStr">
        <is>
          <t>事业单位</t>
        </is>
      </c>
      <c r="D868" s="6" t="inlineStr">
        <is>
          <t>HT20260621</t>
        </is>
      </c>
      <c r="E868" s="6" t="inlineStr">
        <is>
          <t>20260122</t>
        </is>
      </c>
      <c r="F868" s="10" t="n">
        <v>881.651</v>
      </c>
      <c r="G868" s="8" t="n"/>
      <c r="H868" s="10" t="n">
        <v>236.944</v>
      </c>
      <c r="I868" s="10" t="n">
        <v>644.707</v>
      </c>
      <c r="J868" s="10" t="n">
        <v>114.509</v>
      </c>
      <c r="K868" s="10" t="n">
        <v>530.198</v>
      </c>
      <c r="L868" s="8" t="inlineStr">
        <is>
          <t>八部</t>
        </is>
      </c>
      <c r="M868" s="8" t="inlineStr">
        <is>
          <t>卢俊</t>
        </is>
      </c>
      <c r="N868" s="8" t="inlineStr">
        <is>
          <t>2-3年</t>
        </is>
      </c>
      <c r="O868" s="8" t="n"/>
    </row>
    <row r="869">
      <c r="A869" s="5" t="n">
        <v>867</v>
      </c>
      <c r="B869" s="5" t="inlineStr">
        <is>
          <t>华东-山东</t>
        </is>
      </c>
      <c r="C869" s="5" t="inlineStr">
        <is>
          <t>党委机关</t>
        </is>
      </c>
      <c r="D869" s="6" t="inlineStr">
        <is>
          <t>HT20260621</t>
        </is>
      </c>
      <c r="E869" s="6" t="inlineStr">
        <is>
          <t>20260122</t>
        </is>
      </c>
      <c r="F869" s="10" t="n">
        <v>4461.949</v>
      </c>
      <c r="G869" s="8" t="n"/>
      <c r="H869" s="10" t="n">
        <v>719.458</v>
      </c>
      <c r="I869" s="10" t="n">
        <v>3742.491</v>
      </c>
      <c r="J869" s="10" t="n">
        <v>2005.99</v>
      </c>
      <c r="K869" s="10" t="n">
        <v>1736.501</v>
      </c>
      <c r="L869" s="8" t="inlineStr">
        <is>
          <t>八部</t>
        </is>
      </c>
      <c r="M869" s="8" t="inlineStr">
        <is>
          <t>卢俊</t>
        </is>
      </c>
      <c r="N869" s="8" t="inlineStr">
        <is>
          <t>2-3年</t>
        </is>
      </c>
      <c r="O869" s="8" t="n"/>
    </row>
    <row r="870">
      <c r="A870" s="5" t="n">
        <v>868</v>
      </c>
      <c r="B870" s="5" t="inlineStr">
        <is>
          <t>西北-甘肃</t>
        </is>
      </c>
      <c r="C870" s="5" t="inlineStr">
        <is>
          <t>群团组织</t>
        </is>
      </c>
      <c r="D870" s="6" t="inlineStr">
        <is>
          <t>HT20260621</t>
        </is>
      </c>
      <c r="E870" s="6" t="inlineStr">
        <is>
          <t>20260122</t>
        </is>
      </c>
      <c r="F870" s="10" t="n">
        <v>18.197</v>
      </c>
      <c r="G870" s="8" t="n"/>
      <c r="H870" s="10" t="n">
        <v>14.853</v>
      </c>
      <c r="I870" s="10" t="n">
        <v>3.344</v>
      </c>
      <c r="J870" s="10" t="n">
        <v>2.201</v>
      </c>
      <c r="K870" s="10" t="n">
        <v>1.143</v>
      </c>
      <c r="L870" s="8" t="inlineStr">
        <is>
          <t>九部</t>
        </is>
      </c>
      <c r="M870" s="8" t="inlineStr">
        <is>
          <t>魏红</t>
        </is>
      </c>
      <c r="N870" s="8" t="inlineStr">
        <is>
          <t>2-3年</t>
        </is>
      </c>
      <c r="O870" s="8" t="n"/>
    </row>
    <row r="871">
      <c r="A871" s="5" t="n">
        <v>869</v>
      </c>
      <c r="B871" s="5" t="inlineStr">
        <is>
          <t>华南-海南</t>
        </is>
      </c>
      <c r="C871" s="5" t="inlineStr">
        <is>
          <t>国有企业</t>
        </is>
      </c>
      <c r="D871" s="6" t="inlineStr">
        <is>
          <t>HT20260621</t>
        </is>
      </c>
      <c r="E871" s="6" t="inlineStr">
        <is>
          <t>20260122</t>
        </is>
      </c>
      <c r="F871" s="10" t="n">
        <v>775.1900000000001</v>
      </c>
      <c r="G871" s="8" t="n"/>
      <c r="H871" s="10" t="n">
        <v>513.513</v>
      </c>
      <c r="I871" s="10" t="n">
        <v>261.677</v>
      </c>
      <c r="J871" s="10" t="n">
        <v>121.62</v>
      </c>
      <c r="K871" s="10" t="n">
        <v>140.057</v>
      </c>
      <c r="L871" s="8" t="inlineStr">
        <is>
          <t>八部</t>
        </is>
      </c>
      <c r="M871" s="8" t="inlineStr">
        <is>
          <t>吕强</t>
        </is>
      </c>
      <c r="N871" s="8" t="inlineStr">
        <is>
          <t>1年以内</t>
        </is>
      </c>
      <c r="O871" s="8" t="n"/>
    </row>
    <row r="872">
      <c r="A872" s="5" t="n">
        <v>870</v>
      </c>
      <c r="B872" s="5" t="inlineStr">
        <is>
          <t>华中-湖南</t>
        </is>
      </c>
      <c r="C872" s="5" t="inlineStr">
        <is>
          <t>群团组织</t>
        </is>
      </c>
      <c r="D872" s="6" t="inlineStr">
        <is>
          <t>HT20260621</t>
        </is>
      </c>
      <c r="E872" s="6" t="inlineStr">
        <is>
          <t>20260122</t>
        </is>
      </c>
      <c r="F872" s="10" t="n">
        <v>3625.026</v>
      </c>
      <c r="G872" s="8" t="n"/>
      <c r="H872" s="10" t="n">
        <v>700.674</v>
      </c>
      <c r="I872" s="10" t="n">
        <v>2924.352</v>
      </c>
      <c r="J872" s="10" t="n">
        <v>1218.847</v>
      </c>
      <c r="K872" s="10" t="n">
        <v>1705.505</v>
      </c>
      <c r="L872" s="8" t="inlineStr">
        <is>
          <t>八部</t>
        </is>
      </c>
      <c r="M872" s="8" t="inlineStr">
        <is>
          <t>曾辉</t>
        </is>
      </c>
      <c r="N872" s="8" t="inlineStr">
        <is>
          <t>1-2年</t>
        </is>
      </c>
      <c r="O872" s="8" t="n"/>
    </row>
    <row r="873">
      <c r="A873" s="5" t="n">
        <v>871</v>
      </c>
      <c r="B873" s="5" t="inlineStr">
        <is>
          <t>华东-山东</t>
        </is>
      </c>
      <c r="C873" s="5" t="inlineStr">
        <is>
          <t>国有企业</t>
        </is>
      </c>
      <c r="D873" s="6" t="inlineStr">
        <is>
          <t>HT20260622</t>
        </is>
      </c>
      <c r="E873" s="6" t="inlineStr">
        <is>
          <t>20260306</t>
        </is>
      </c>
      <c r="F873" s="10" t="n">
        <v>422.388</v>
      </c>
      <c r="G873" s="8" t="n"/>
      <c r="H873" s="10" t="n">
        <v>328.336</v>
      </c>
      <c r="I873" s="10" t="n">
        <v>94.05200000000001</v>
      </c>
      <c r="J873" s="10" t="n">
        <v>42.111</v>
      </c>
      <c r="K873" s="10" t="n">
        <v>51.941</v>
      </c>
      <c r="L873" s="8" t="inlineStr">
        <is>
          <t>二部</t>
        </is>
      </c>
      <c r="M873" s="8" t="inlineStr">
        <is>
          <t>赵敏</t>
        </is>
      </c>
      <c r="N873" s="8" t="inlineStr">
        <is>
          <t>1-2年</t>
        </is>
      </c>
      <c r="O873" s="8" t="n"/>
    </row>
    <row r="874">
      <c r="A874" s="5" t="n">
        <v>872</v>
      </c>
      <c r="B874" s="5" t="inlineStr">
        <is>
          <t>华中-湖南</t>
        </is>
      </c>
      <c r="C874" s="5" t="inlineStr">
        <is>
          <t>人大政协</t>
        </is>
      </c>
      <c r="D874" s="6" t="inlineStr">
        <is>
          <t>HT20260622</t>
        </is>
      </c>
      <c r="E874" s="6" t="inlineStr">
        <is>
          <t>20260306</t>
        </is>
      </c>
      <c r="F874" s="10" t="n">
        <v>7529.385</v>
      </c>
      <c r="G874" s="8" t="n"/>
      <c r="H874" s="10" t="n">
        <v>6990.834</v>
      </c>
      <c r="I874" s="10" t="n">
        <v>538.551</v>
      </c>
      <c r="J874" s="10" t="n">
        <v>113.752</v>
      </c>
      <c r="K874" s="10" t="n">
        <v>424.799</v>
      </c>
      <c r="L874" s="8" t="inlineStr">
        <is>
          <t>十部</t>
        </is>
      </c>
      <c r="M874" s="8" t="inlineStr">
        <is>
          <t>段勇</t>
        </is>
      </c>
      <c r="N874" s="8" t="inlineStr">
        <is>
          <t>2-3年</t>
        </is>
      </c>
      <c r="O874" s="8" t="n"/>
    </row>
    <row r="875">
      <c r="A875" s="5" t="n">
        <v>873</v>
      </c>
      <c r="B875" s="5" t="inlineStr">
        <is>
          <t>华东-山东</t>
        </is>
      </c>
      <c r="C875" s="5" t="inlineStr">
        <is>
          <t>监察司法机关</t>
        </is>
      </c>
      <c r="D875" s="6" t="inlineStr">
        <is>
          <t>HT20260623</t>
        </is>
      </c>
      <c r="E875" s="6" t="inlineStr">
        <is>
          <t>20260315</t>
        </is>
      </c>
      <c r="F875" s="10" t="n">
        <v>457.178</v>
      </c>
      <c r="G875" s="8" t="n"/>
      <c r="H875" s="10" t="n">
        <v>189.124</v>
      </c>
      <c r="I875" s="10" t="n">
        <v>268.054</v>
      </c>
      <c r="J875" s="10" t="n">
        <v>89.756</v>
      </c>
      <c r="K875" s="10" t="n">
        <v>178.298</v>
      </c>
      <c r="L875" s="8" t="inlineStr">
        <is>
          <t>二部</t>
        </is>
      </c>
      <c r="M875" s="8" t="inlineStr">
        <is>
          <t>吴丽</t>
        </is>
      </c>
      <c r="N875" s="8" t="inlineStr">
        <is>
          <t>2-3年</t>
        </is>
      </c>
      <c r="O875" s="8" t="n"/>
    </row>
    <row r="876">
      <c r="A876" s="5" t="n">
        <v>874</v>
      </c>
      <c r="B876" s="5" t="inlineStr">
        <is>
          <t>西北-宁夏</t>
        </is>
      </c>
      <c r="C876" s="5" t="inlineStr">
        <is>
          <t>党委机关</t>
        </is>
      </c>
      <c r="D876" s="6" t="inlineStr">
        <is>
          <t>HT20260624</t>
        </is>
      </c>
      <c r="E876" s="6" t="inlineStr">
        <is>
          <t>20260228</t>
        </is>
      </c>
      <c r="F876" s="10" t="n">
        <v>413.966</v>
      </c>
      <c r="G876" s="8" t="n"/>
      <c r="H876" s="10" t="n">
        <v>115.384</v>
      </c>
      <c r="I876" s="10" t="n">
        <v>298.582</v>
      </c>
      <c r="J876" s="10" t="n">
        <v>147.205</v>
      </c>
      <c r="K876" s="10" t="n">
        <v>151.377</v>
      </c>
      <c r="L876" s="8" t="inlineStr">
        <is>
          <t>八部</t>
        </is>
      </c>
      <c r="M876" s="8" t="inlineStr">
        <is>
          <t>曾辉</t>
        </is>
      </c>
      <c r="N876" s="8" t="inlineStr">
        <is>
          <t>2-3年</t>
        </is>
      </c>
      <c r="O876" s="8" t="n"/>
    </row>
    <row r="877">
      <c r="A877" s="5" t="n">
        <v>875</v>
      </c>
      <c r="B877" s="5" t="inlineStr">
        <is>
          <t>西南-重庆</t>
        </is>
      </c>
      <c r="C877" s="5" t="inlineStr">
        <is>
          <t>监察司法机关</t>
        </is>
      </c>
      <c r="D877" s="6" t="inlineStr">
        <is>
          <t>HT20260627</t>
        </is>
      </c>
      <c r="E877" s="6" t="inlineStr">
        <is>
          <t>20260526</t>
        </is>
      </c>
      <c r="F877" s="10" t="n">
        <v>17.86</v>
      </c>
      <c r="G877" s="8" t="n"/>
      <c r="H877" s="10" t="n">
        <v>13.604</v>
      </c>
      <c r="I877" s="10" t="n">
        <v>4.256</v>
      </c>
      <c r="J877" s="10" t="n">
        <v>4.011</v>
      </c>
      <c r="K877" s="10" t="n">
        <v>0.245</v>
      </c>
      <c r="L877" s="8" t="inlineStr">
        <is>
          <t>十部</t>
        </is>
      </c>
      <c r="M877" s="8" t="inlineStr">
        <is>
          <t>侯敏</t>
        </is>
      </c>
      <c r="N877" s="8" t="inlineStr">
        <is>
          <t>1-2年</t>
        </is>
      </c>
      <c r="O877" s="8" t="n"/>
    </row>
    <row r="878">
      <c r="A878" s="5" t="n">
        <v>876</v>
      </c>
      <c r="B878" s="5" t="inlineStr">
        <is>
          <t>华北-山西</t>
        </is>
      </c>
      <c r="C878" s="5" t="inlineStr">
        <is>
          <t>事业单位</t>
        </is>
      </c>
      <c r="D878" s="6" t="inlineStr">
        <is>
          <t>HT20260627</t>
        </is>
      </c>
      <c r="E878" s="6" t="inlineStr">
        <is>
          <t>20260526</t>
        </is>
      </c>
      <c r="F878" s="10" t="n">
        <v>308.849</v>
      </c>
      <c r="G878" s="8" t="n"/>
      <c r="H878" s="10" t="n">
        <v>17.196</v>
      </c>
      <c r="I878" s="10" t="n">
        <v>291.653</v>
      </c>
      <c r="J878" s="10" t="n">
        <v>58.532</v>
      </c>
      <c r="K878" s="10" t="n">
        <v>233.121</v>
      </c>
      <c r="L878" s="8" t="inlineStr">
        <is>
          <t>一部</t>
        </is>
      </c>
      <c r="M878" s="8" t="inlineStr">
        <is>
          <t>刘洋</t>
        </is>
      </c>
      <c r="N878" s="8" t="inlineStr">
        <is>
          <t>2-3年</t>
        </is>
      </c>
      <c r="O878" s="8" t="n"/>
    </row>
    <row r="879">
      <c r="A879" s="5" t="n">
        <v>877</v>
      </c>
      <c r="B879" s="5" t="inlineStr">
        <is>
          <t>华北-北京</t>
        </is>
      </c>
      <c r="C879" s="5" t="inlineStr">
        <is>
          <t>人大政协</t>
        </is>
      </c>
      <c r="D879" s="6" t="inlineStr">
        <is>
          <t>HT20260628</t>
        </is>
      </c>
      <c r="E879" s="6" t="inlineStr">
        <is>
          <t>20260404</t>
        </is>
      </c>
      <c r="F879" s="10" t="n">
        <v>252.873</v>
      </c>
      <c r="G879" s="8" t="n"/>
      <c r="H879" s="10" t="n">
        <v>229.793</v>
      </c>
      <c r="I879" s="10" t="n">
        <v>23.08</v>
      </c>
      <c r="J879" s="10" t="n">
        <v>21.979</v>
      </c>
      <c r="K879" s="10" t="n">
        <v>1.101</v>
      </c>
      <c r="L879" s="8" t="inlineStr">
        <is>
          <t>六部</t>
        </is>
      </c>
      <c r="M879" s="8" t="inlineStr">
        <is>
          <t>冯倩</t>
        </is>
      </c>
      <c r="N879" s="8" t="inlineStr">
        <is>
          <t>1年以内</t>
        </is>
      </c>
      <c r="O879" s="8" t="n"/>
    </row>
    <row r="880">
      <c r="A880" s="5" t="n">
        <v>878</v>
      </c>
      <c r="B880" s="5" t="inlineStr">
        <is>
          <t>华中-河南</t>
        </is>
      </c>
      <c r="C880" s="5" t="inlineStr">
        <is>
          <t>人大政协</t>
        </is>
      </c>
      <c r="D880" s="6" t="inlineStr">
        <is>
          <t>HT20260628</t>
        </is>
      </c>
      <c r="E880" s="6" t="inlineStr">
        <is>
          <t>20260404</t>
        </is>
      </c>
      <c r="F880" s="10" t="n">
        <v>934.468</v>
      </c>
      <c r="G880" s="8" t="n"/>
      <c r="H880" s="10" t="n">
        <v>651.522</v>
      </c>
      <c r="I880" s="10" t="n">
        <v>282.946</v>
      </c>
      <c r="J880" s="10" t="n">
        <v>11.574</v>
      </c>
      <c r="K880" s="10" t="n">
        <v>271.372</v>
      </c>
      <c r="L880" s="8" t="inlineStr">
        <is>
          <t>六部</t>
        </is>
      </c>
      <c r="M880" s="8" t="inlineStr">
        <is>
          <t>唐亮</t>
        </is>
      </c>
      <c r="N880" s="8" t="inlineStr">
        <is>
          <t>1-2年</t>
        </is>
      </c>
      <c r="O880" s="8" t="n"/>
    </row>
    <row r="881">
      <c r="A881" s="5" t="n">
        <v>879</v>
      </c>
      <c r="B881" s="5" t="inlineStr">
        <is>
          <t>华南-广东</t>
        </is>
      </c>
      <c r="C881" s="5" t="inlineStr">
        <is>
          <t>群团组织</t>
        </is>
      </c>
      <c r="D881" s="6" t="inlineStr">
        <is>
          <t>HT20260629</t>
        </is>
      </c>
      <c r="E881" s="6" t="inlineStr">
        <is>
          <t>20260908</t>
        </is>
      </c>
      <c r="F881" s="10" t="n">
        <v>7294.337</v>
      </c>
      <c r="G881" s="8" t="n"/>
      <c r="H881" s="10" t="n">
        <v>1903.724</v>
      </c>
      <c r="I881" s="10" t="n">
        <v>5390.613</v>
      </c>
      <c r="J881" s="10" t="n">
        <v>606.6369999999999</v>
      </c>
      <c r="K881" s="10" t="n">
        <v>4783.976</v>
      </c>
      <c r="L881" s="8" t="inlineStr">
        <is>
          <t>六部</t>
        </is>
      </c>
      <c r="M881" s="8" t="inlineStr">
        <is>
          <t>唐亮</t>
        </is>
      </c>
      <c r="N881" s="8" t="inlineStr">
        <is>
          <t>2-3年</t>
        </is>
      </c>
      <c r="O881" s="8" t="n"/>
    </row>
    <row r="882">
      <c r="A882" s="5" t="n">
        <v>880</v>
      </c>
      <c r="B882" s="5" t="inlineStr">
        <is>
          <t>华北-河北</t>
        </is>
      </c>
      <c r="C882" s="5" t="inlineStr">
        <is>
          <t>监察司法机关</t>
        </is>
      </c>
      <c r="D882" s="6" t="inlineStr">
        <is>
          <t>HT20260701</t>
        </is>
      </c>
      <c r="E882" s="6" t="inlineStr">
        <is>
          <t>20260503</t>
        </is>
      </c>
      <c r="F882" s="10" t="n">
        <v>519.634</v>
      </c>
      <c r="G882" s="8" t="n"/>
      <c r="H882" s="10" t="n">
        <v>351.217</v>
      </c>
      <c r="I882" s="10" t="n">
        <v>168.417</v>
      </c>
      <c r="J882" s="10" t="n">
        <v>31.517</v>
      </c>
      <c r="K882" s="10" t="n">
        <v>136.9</v>
      </c>
      <c r="L882" s="8" t="inlineStr">
        <is>
          <t>六部</t>
        </is>
      </c>
      <c r="M882" s="8" t="inlineStr">
        <is>
          <t>程琳</t>
        </is>
      </c>
      <c r="N882" s="8" t="inlineStr">
        <is>
          <t>1年以内</t>
        </is>
      </c>
      <c r="O882" s="8" t="n"/>
    </row>
    <row r="883">
      <c r="A883" s="5" t="n">
        <v>881</v>
      </c>
      <c r="B883" s="5" t="inlineStr">
        <is>
          <t>西北-青海</t>
        </is>
      </c>
      <c r="C883" s="5" t="inlineStr">
        <is>
          <t>监察司法机关</t>
        </is>
      </c>
      <c r="D883" s="6" t="inlineStr">
        <is>
          <t>HT20260701</t>
        </is>
      </c>
      <c r="E883" s="6" t="inlineStr">
        <is>
          <t>20260503</t>
        </is>
      </c>
      <c r="F883" s="10" t="n">
        <v>760.212</v>
      </c>
      <c r="G883" s="8" t="n"/>
      <c r="H883" s="10" t="n">
        <v>127.091</v>
      </c>
      <c r="I883" s="10" t="n">
        <v>633.121</v>
      </c>
      <c r="J883" s="10" t="n">
        <v>214.371</v>
      </c>
      <c r="K883" s="10" t="n">
        <v>418.75</v>
      </c>
      <c r="L883" s="8" t="inlineStr">
        <is>
          <t>十部</t>
        </is>
      </c>
      <c r="M883" s="8" t="inlineStr">
        <is>
          <t>段勇</t>
        </is>
      </c>
      <c r="N883" s="8" t="inlineStr">
        <is>
          <t>1-2年</t>
        </is>
      </c>
      <c r="O883" s="8" t="n"/>
    </row>
    <row r="884">
      <c r="A884" s="5" t="n">
        <v>882</v>
      </c>
      <c r="B884" s="5" t="inlineStr">
        <is>
          <t>华东-上海</t>
        </is>
      </c>
      <c r="C884" s="5" t="inlineStr">
        <is>
          <t>人大政协</t>
        </is>
      </c>
      <c r="D884" s="6" t="inlineStr">
        <is>
          <t>HT20260702</t>
        </is>
      </c>
      <c r="E884" s="6" t="inlineStr">
        <is>
          <t>20260528</t>
        </is>
      </c>
      <c r="F884" s="10" t="n">
        <v>217.592</v>
      </c>
      <c r="G884" s="8" t="n"/>
      <c r="H884" s="10" t="n">
        <v>22.427</v>
      </c>
      <c r="I884" s="10" t="n">
        <v>195.165</v>
      </c>
      <c r="J884" s="10" t="n">
        <v>23.586</v>
      </c>
      <c r="K884" s="10" t="n">
        <v>171.579</v>
      </c>
      <c r="L884" s="8" t="inlineStr">
        <is>
          <t>一部</t>
        </is>
      </c>
      <c r="M884" s="8" t="inlineStr">
        <is>
          <t>陈静</t>
        </is>
      </c>
      <c r="N884" s="8" t="inlineStr">
        <is>
          <t>1-2年</t>
        </is>
      </c>
      <c r="O884" s="8" t="n"/>
    </row>
    <row r="885">
      <c r="A885" s="5" t="n">
        <v>883</v>
      </c>
      <c r="B885" s="5" t="inlineStr">
        <is>
          <t>西南-重庆</t>
        </is>
      </c>
      <c r="C885" s="5" t="inlineStr">
        <is>
          <t>政府机关</t>
        </is>
      </c>
      <c r="D885" s="6" t="inlineStr">
        <is>
          <t>HT20260702</t>
        </is>
      </c>
      <c r="E885" s="6" t="inlineStr">
        <is>
          <t>20260528</t>
        </is>
      </c>
      <c r="F885" s="10" t="n">
        <v>317.485</v>
      </c>
      <c r="G885" s="8" t="n"/>
      <c r="H885" s="10" t="n">
        <v>61.774</v>
      </c>
      <c r="I885" s="10" t="n">
        <v>255.711</v>
      </c>
      <c r="J885" s="10" t="n">
        <v>64.95</v>
      </c>
      <c r="K885" s="10" t="n">
        <v>190.761</v>
      </c>
      <c r="L885" s="8" t="inlineStr">
        <is>
          <t>二部</t>
        </is>
      </c>
      <c r="M885" s="8" t="inlineStr">
        <is>
          <t>黄强</t>
        </is>
      </c>
      <c r="N885" s="8" t="inlineStr">
        <is>
          <t>1-2年</t>
        </is>
      </c>
      <c r="O885" s="8" t="n"/>
    </row>
    <row r="886">
      <c r="A886" s="5" t="n">
        <v>884</v>
      </c>
      <c r="B886" s="5" t="inlineStr">
        <is>
          <t>华东-江西</t>
        </is>
      </c>
      <c r="C886" s="5" t="inlineStr">
        <is>
          <t>监察司法机关</t>
        </is>
      </c>
      <c r="D886" s="6" t="inlineStr">
        <is>
          <t>HT20260702</t>
        </is>
      </c>
      <c r="E886" s="6" t="inlineStr">
        <is>
          <t>20260528</t>
        </is>
      </c>
      <c r="F886" s="10" t="n">
        <v>978.951</v>
      </c>
      <c r="G886" s="8" t="n"/>
      <c r="H886" s="10" t="n">
        <v>963.663</v>
      </c>
      <c r="I886" s="10" t="n">
        <v>15.288</v>
      </c>
      <c r="J886" s="10" t="n">
        <v>6.102</v>
      </c>
      <c r="K886" s="10" t="n">
        <v>9.186</v>
      </c>
      <c r="L886" s="8" t="inlineStr">
        <is>
          <t>四部</t>
        </is>
      </c>
      <c r="M886" s="8" t="inlineStr">
        <is>
          <t>罗刚</t>
        </is>
      </c>
      <c r="N886" s="8" t="inlineStr">
        <is>
          <t>1-2年</t>
        </is>
      </c>
      <c r="O886" s="8" t="n"/>
    </row>
    <row r="887">
      <c r="A887" s="5" t="n">
        <v>885</v>
      </c>
      <c r="B887" s="5" t="inlineStr">
        <is>
          <t>华中-河南</t>
        </is>
      </c>
      <c r="C887" s="5" t="inlineStr">
        <is>
          <t>事业单位</t>
        </is>
      </c>
      <c r="D887" s="6" t="inlineStr">
        <is>
          <t>HT20260702</t>
        </is>
      </c>
      <c r="E887" s="6" t="inlineStr">
        <is>
          <t>20260528</t>
        </is>
      </c>
      <c r="F887" s="10" t="n">
        <v>267.943</v>
      </c>
      <c r="G887" s="8" t="n"/>
      <c r="H887" s="10" t="n">
        <v>37.83</v>
      </c>
      <c r="I887" s="10" t="n">
        <v>230.113</v>
      </c>
      <c r="J887" s="10" t="n">
        <v>135.135</v>
      </c>
      <c r="K887" s="10" t="n">
        <v>94.97799999999999</v>
      </c>
      <c r="L887" s="8" t="inlineStr">
        <is>
          <t>八部</t>
        </is>
      </c>
      <c r="M887" s="8" t="inlineStr">
        <is>
          <t>吕强</t>
        </is>
      </c>
      <c r="N887" s="8" t="inlineStr">
        <is>
          <t>2-3年</t>
        </is>
      </c>
      <c r="O887" s="8" t="n"/>
    </row>
    <row r="888">
      <c r="A888" s="5" t="n">
        <v>886</v>
      </c>
      <c r="B888" s="5" t="inlineStr">
        <is>
          <t>西北-新疆</t>
        </is>
      </c>
      <c r="C888" s="5" t="inlineStr">
        <is>
          <t>监察司法机关</t>
        </is>
      </c>
      <c r="D888" s="6" t="inlineStr">
        <is>
          <t>HT20260704</t>
        </is>
      </c>
      <c r="E888" s="6" t="inlineStr">
        <is>
          <t>20260825</t>
        </is>
      </c>
      <c r="F888" s="10" t="n">
        <v>28.494</v>
      </c>
      <c r="G888" s="8" t="n"/>
      <c r="H888" s="10" t="n">
        <v>6.655</v>
      </c>
      <c r="I888" s="10" t="n">
        <v>21.839</v>
      </c>
      <c r="J888" s="10" t="n">
        <v>10.086</v>
      </c>
      <c r="K888" s="10" t="n">
        <v>11.753</v>
      </c>
      <c r="L888" s="8" t="inlineStr">
        <is>
          <t>十部</t>
        </is>
      </c>
      <c r="M888" s="8" t="inlineStr">
        <is>
          <t>雷声</t>
        </is>
      </c>
      <c r="N888" s="8" t="inlineStr">
        <is>
          <t>1-2年</t>
        </is>
      </c>
      <c r="O888" s="8" t="n"/>
    </row>
    <row r="889">
      <c r="A889" s="5" t="n">
        <v>887</v>
      </c>
      <c r="B889" s="5" t="inlineStr">
        <is>
          <t>西南-西藏</t>
        </is>
      </c>
      <c r="C889" s="5" t="inlineStr">
        <is>
          <t>政府机关</t>
        </is>
      </c>
      <c r="D889" s="6" t="inlineStr">
        <is>
          <t>HT20260704</t>
        </is>
      </c>
      <c r="E889" s="6" t="inlineStr">
        <is>
          <t>20260825</t>
        </is>
      </c>
      <c r="F889" s="10" t="n">
        <v>982.71</v>
      </c>
      <c r="G889" s="8" t="n"/>
      <c r="H889" s="10" t="n">
        <v>937.258</v>
      </c>
      <c r="I889" s="10" t="n">
        <v>45.452</v>
      </c>
      <c r="J889" s="10" t="n">
        <v>34.772</v>
      </c>
      <c r="K889" s="10" t="n">
        <v>10.68</v>
      </c>
      <c r="L889" s="8" t="inlineStr">
        <is>
          <t>一部</t>
        </is>
      </c>
      <c r="M889" s="8" t="inlineStr">
        <is>
          <t>李娜</t>
        </is>
      </c>
      <c r="N889" s="8" t="inlineStr">
        <is>
          <t>1-2年</t>
        </is>
      </c>
      <c r="O889" s="8" t="n"/>
    </row>
    <row r="890">
      <c r="A890" s="5" t="n">
        <v>888</v>
      </c>
      <c r="B890" s="5" t="inlineStr">
        <is>
          <t>华北-内蒙古</t>
        </is>
      </c>
      <c r="C890" s="5" t="inlineStr">
        <is>
          <t>人大政协</t>
        </is>
      </c>
      <c r="D890" s="6" t="inlineStr">
        <is>
          <t>HT20260704</t>
        </is>
      </c>
      <c r="E890" s="6" t="inlineStr">
        <is>
          <t>20260825</t>
        </is>
      </c>
      <c r="F890" s="10" t="n">
        <v>859.838</v>
      </c>
      <c r="G890" s="8" t="n"/>
      <c r="H890" s="10" t="n">
        <v>856.871</v>
      </c>
      <c r="I890" s="10" t="n">
        <v>2.967</v>
      </c>
      <c r="J890" s="10" t="n">
        <v>0.756</v>
      </c>
      <c r="K890" s="10" t="n">
        <v>2.211</v>
      </c>
      <c r="L890" s="8" t="inlineStr">
        <is>
          <t>六部</t>
        </is>
      </c>
      <c r="M890" s="8" t="inlineStr">
        <is>
          <t>董辉</t>
        </is>
      </c>
      <c r="N890" s="8" t="inlineStr">
        <is>
          <t>1-2年</t>
        </is>
      </c>
      <c r="O890" s="8" t="n"/>
    </row>
    <row r="891">
      <c r="A891" s="5" t="n">
        <v>889</v>
      </c>
      <c r="B891" s="5" t="inlineStr">
        <is>
          <t>华北-河北</t>
        </is>
      </c>
      <c r="C891" s="5" t="inlineStr">
        <is>
          <t>党委机关</t>
        </is>
      </c>
      <c r="D891" s="6" t="inlineStr">
        <is>
          <t>HT20260704</t>
        </is>
      </c>
      <c r="E891" s="6" t="inlineStr">
        <is>
          <t>20260825</t>
        </is>
      </c>
      <c r="F891" s="10" t="n">
        <v>7306.77</v>
      </c>
      <c r="G891" s="8" t="n"/>
      <c r="H891" s="10" t="n">
        <v>7078.295</v>
      </c>
      <c r="I891" s="10" t="n">
        <v>228.475</v>
      </c>
      <c r="J891" s="10" t="n">
        <v>63.101</v>
      </c>
      <c r="K891" s="10" t="n">
        <v>165.374</v>
      </c>
      <c r="L891" s="8" t="inlineStr">
        <is>
          <t>三部</t>
        </is>
      </c>
      <c r="M891" s="8" t="inlineStr">
        <is>
          <t>马超</t>
        </is>
      </c>
      <c r="N891" s="8" t="inlineStr">
        <is>
          <t>1年以内</t>
        </is>
      </c>
      <c r="O891" s="8" t="n"/>
    </row>
    <row r="892">
      <c r="A892" s="5" t="n">
        <v>890</v>
      </c>
      <c r="B892" s="5" t="inlineStr">
        <is>
          <t>华北-山西</t>
        </is>
      </c>
      <c r="C892" s="5" t="inlineStr">
        <is>
          <t>人大政协</t>
        </is>
      </c>
      <c r="D892" s="6" t="inlineStr">
        <is>
          <t>HT20260704</t>
        </is>
      </c>
      <c r="E892" s="6" t="inlineStr">
        <is>
          <t>20260825</t>
        </is>
      </c>
      <c r="F892" s="10" t="n">
        <v>866.776</v>
      </c>
      <c r="G892" s="8" t="n"/>
      <c r="H892" s="10" t="n">
        <v>54.578</v>
      </c>
      <c r="I892" s="10" t="n">
        <v>812.198</v>
      </c>
      <c r="J892" s="10" t="n">
        <v>415.211</v>
      </c>
      <c r="K892" s="10" t="n">
        <v>396.987</v>
      </c>
      <c r="L892" s="8" t="inlineStr">
        <is>
          <t>十部</t>
        </is>
      </c>
      <c r="M892" s="8" t="inlineStr">
        <is>
          <t>阎莉</t>
        </is>
      </c>
      <c r="N892" s="8" t="inlineStr">
        <is>
          <t>2-3年</t>
        </is>
      </c>
      <c r="O892" s="8" t="n"/>
    </row>
    <row r="893">
      <c r="A893" s="5" t="n">
        <v>891</v>
      </c>
      <c r="B893" s="5" t="inlineStr">
        <is>
          <t>华南-广西</t>
        </is>
      </c>
      <c r="C893" s="5" t="inlineStr">
        <is>
          <t>事业单位</t>
        </is>
      </c>
      <c r="D893" s="6" t="inlineStr">
        <is>
          <t>HT20260705</t>
        </is>
      </c>
      <c r="E893" s="6" t="inlineStr">
        <is>
          <t>20260122</t>
        </is>
      </c>
      <c r="F893" s="10" t="n">
        <v>623.476</v>
      </c>
      <c r="G893" s="8" t="n"/>
      <c r="H893" s="10" t="n">
        <v>571.679</v>
      </c>
      <c r="I893" s="10" t="n">
        <v>51.797</v>
      </c>
      <c r="J893" s="10" t="n">
        <v>32.266</v>
      </c>
      <c r="K893" s="10" t="n">
        <v>19.531</v>
      </c>
      <c r="L893" s="8" t="inlineStr">
        <is>
          <t>六部</t>
        </is>
      </c>
      <c r="M893" s="8" t="inlineStr">
        <is>
          <t>唐亮</t>
        </is>
      </c>
      <c r="N893" s="8" t="inlineStr">
        <is>
          <t>1-2年</t>
        </is>
      </c>
      <c r="O893" s="8" t="n"/>
    </row>
    <row r="894">
      <c r="A894" s="5" t="n">
        <v>892</v>
      </c>
      <c r="B894" s="5" t="inlineStr">
        <is>
          <t>华北-山西</t>
        </is>
      </c>
      <c r="C894" s="5" t="inlineStr">
        <is>
          <t>政府机关</t>
        </is>
      </c>
      <c r="D894" s="6" t="inlineStr">
        <is>
          <t>HT20260705</t>
        </is>
      </c>
      <c r="E894" s="6" t="inlineStr">
        <is>
          <t>20260122</t>
        </is>
      </c>
      <c r="F894" s="10" t="n">
        <v>497.994</v>
      </c>
      <c r="G894" s="8" t="n"/>
      <c r="H894" s="10" t="n">
        <v>445.651</v>
      </c>
      <c r="I894" s="10" t="n">
        <v>52.343</v>
      </c>
      <c r="J894" s="10" t="n">
        <v>42.148</v>
      </c>
      <c r="K894" s="10" t="n">
        <v>10.195</v>
      </c>
      <c r="L894" s="8" t="inlineStr">
        <is>
          <t>二部</t>
        </is>
      </c>
      <c r="M894" s="8" t="inlineStr">
        <is>
          <t>吴丽</t>
        </is>
      </c>
      <c r="N894" s="8" t="inlineStr">
        <is>
          <t>1-2年</t>
        </is>
      </c>
      <c r="O894" s="8" t="n"/>
    </row>
    <row r="895">
      <c r="A895" s="5" t="n">
        <v>893</v>
      </c>
      <c r="B895" s="5" t="inlineStr">
        <is>
          <t>华中-湖北</t>
        </is>
      </c>
      <c r="C895" s="5" t="inlineStr">
        <is>
          <t>国有企业</t>
        </is>
      </c>
      <c r="D895" s="6" t="inlineStr">
        <is>
          <t>HT20260705</t>
        </is>
      </c>
      <c r="E895" s="6" t="inlineStr">
        <is>
          <t>20260122</t>
        </is>
      </c>
      <c r="F895" s="10" t="n">
        <v>62.46</v>
      </c>
      <c r="G895" s="8" t="n"/>
      <c r="H895" s="10" t="n">
        <v>31.736</v>
      </c>
      <c r="I895" s="10" t="n">
        <v>30.724</v>
      </c>
      <c r="J895" s="10" t="n">
        <v>12.426</v>
      </c>
      <c r="K895" s="10" t="n">
        <v>18.298</v>
      </c>
      <c r="L895" s="8" t="inlineStr">
        <is>
          <t>六部</t>
        </is>
      </c>
      <c r="M895" s="8" t="inlineStr">
        <is>
          <t>曹阳</t>
        </is>
      </c>
      <c r="N895" s="8" t="inlineStr">
        <is>
          <t>1-2年</t>
        </is>
      </c>
      <c r="O895" s="8" t="n"/>
    </row>
    <row r="896">
      <c r="A896" s="5" t="n">
        <v>894</v>
      </c>
      <c r="B896" s="5" t="inlineStr">
        <is>
          <t>华南-广东</t>
        </is>
      </c>
      <c r="C896" s="5" t="inlineStr">
        <is>
          <t>政府机关</t>
        </is>
      </c>
      <c r="D896" s="6" t="inlineStr">
        <is>
          <t>HT20260705</t>
        </is>
      </c>
      <c r="E896" s="6" t="inlineStr">
        <is>
          <t>20260122</t>
        </is>
      </c>
      <c r="F896" s="10" t="n">
        <v>64.247</v>
      </c>
      <c r="G896" s="8" t="n"/>
      <c r="H896" s="10" t="n">
        <v>48.17</v>
      </c>
      <c r="I896" s="10" t="n">
        <v>16.077</v>
      </c>
      <c r="J896" s="10" t="n">
        <v>6.3</v>
      </c>
      <c r="K896" s="10" t="n">
        <v>9.776999999999999</v>
      </c>
      <c r="L896" s="8" t="inlineStr">
        <is>
          <t>三部</t>
        </is>
      </c>
      <c r="M896" s="8" t="inlineStr">
        <is>
          <t>朱军</t>
        </is>
      </c>
      <c r="N896" s="8" t="inlineStr">
        <is>
          <t>1-2年</t>
        </is>
      </c>
      <c r="O896" s="8" t="n"/>
    </row>
    <row r="897">
      <c r="A897" s="5" t="n">
        <v>895</v>
      </c>
      <c r="B897" s="5" t="inlineStr">
        <is>
          <t>华东-江苏</t>
        </is>
      </c>
      <c r="C897" s="5" t="inlineStr">
        <is>
          <t>监察司法机关</t>
        </is>
      </c>
      <c r="D897" s="6" t="inlineStr">
        <is>
          <t>HT20260705</t>
        </is>
      </c>
      <c r="E897" s="6" t="inlineStr">
        <is>
          <t>20260122</t>
        </is>
      </c>
      <c r="F897" s="10" t="n">
        <v>346.522</v>
      </c>
      <c r="G897" s="8" t="n"/>
      <c r="H897" s="10" t="n">
        <v>170.408</v>
      </c>
      <c r="I897" s="10" t="n">
        <v>176.114</v>
      </c>
      <c r="J897" s="10" t="n">
        <v>36.598</v>
      </c>
      <c r="K897" s="10" t="n">
        <v>139.516</v>
      </c>
      <c r="L897" s="8" t="inlineStr">
        <is>
          <t>二部</t>
        </is>
      </c>
      <c r="M897" s="8" t="inlineStr">
        <is>
          <t>杨磊</t>
        </is>
      </c>
      <c r="N897" s="8" t="inlineStr">
        <is>
          <t>2-3年</t>
        </is>
      </c>
      <c r="O897" s="8" t="n"/>
    </row>
    <row r="898">
      <c r="A898" s="5" t="n">
        <v>896</v>
      </c>
      <c r="B898" s="5" t="inlineStr">
        <is>
          <t>东北-吉林</t>
        </is>
      </c>
      <c r="C898" s="5" t="inlineStr">
        <is>
          <t>党委机关</t>
        </is>
      </c>
      <c r="D898" s="6" t="inlineStr">
        <is>
          <t>HT20260706</t>
        </is>
      </c>
      <c r="E898" s="6" t="inlineStr">
        <is>
          <t>20260514</t>
        </is>
      </c>
      <c r="F898" s="10" t="n">
        <v>436.046</v>
      </c>
      <c r="G898" s="8" t="n"/>
      <c r="H898" s="10" t="n">
        <v>358.272</v>
      </c>
      <c r="I898" s="10" t="n">
        <v>77.774</v>
      </c>
      <c r="J898" s="10" t="n">
        <v>54.757</v>
      </c>
      <c r="K898" s="10" t="n">
        <v>23.017</v>
      </c>
      <c r="L898" s="8" t="inlineStr">
        <is>
          <t>四部</t>
        </is>
      </c>
      <c r="M898" s="8" t="inlineStr">
        <is>
          <t>何萍</t>
        </is>
      </c>
      <c r="N898" s="8" t="inlineStr">
        <is>
          <t>1年以内</t>
        </is>
      </c>
      <c r="O898" s="8" t="n"/>
    </row>
    <row r="899">
      <c r="A899" s="5" t="n">
        <v>897</v>
      </c>
      <c r="B899" s="5" t="inlineStr">
        <is>
          <t>华南-香港</t>
        </is>
      </c>
      <c r="C899" s="5" t="inlineStr">
        <is>
          <t>人大政协</t>
        </is>
      </c>
      <c r="D899" s="6" t="inlineStr">
        <is>
          <t>HT20260706</t>
        </is>
      </c>
      <c r="E899" s="6" t="inlineStr">
        <is>
          <t>20260514</t>
        </is>
      </c>
      <c r="F899" s="10" t="n">
        <v>85.89400000000001</v>
      </c>
      <c r="G899" s="8" t="n"/>
      <c r="H899" s="10" t="n">
        <v>17.494</v>
      </c>
      <c r="I899" s="10" t="n">
        <v>68.40000000000001</v>
      </c>
      <c r="J899" s="10" t="n">
        <v>36.726</v>
      </c>
      <c r="K899" s="10" t="n">
        <v>31.674</v>
      </c>
      <c r="L899" s="8" t="inlineStr">
        <is>
          <t>十部</t>
        </is>
      </c>
      <c r="M899" s="8" t="inlineStr">
        <is>
          <t>薛峰</t>
        </is>
      </c>
      <c r="N899" s="8" t="inlineStr">
        <is>
          <t>2-3年</t>
        </is>
      </c>
      <c r="O899" s="8" t="n"/>
    </row>
    <row r="900">
      <c r="A900" s="5" t="n">
        <v>898</v>
      </c>
      <c r="B900" s="5" t="inlineStr">
        <is>
          <t>华北-北京</t>
        </is>
      </c>
      <c r="C900" s="5" t="inlineStr">
        <is>
          <t>党委机关</t>
        </is>
      </c>
      <c r="D900" s="6" t="inlineStr">
        <is>
          <t>HT20260707</t>
        </is>
      </c>
      <c r="E900" s="6" t="inlineStr">
        <is>
          <t>20260605</t>
        </is>
      </c>
      <c r="F900" s="10" t="n">
        <v>677.123</v>
      </c>
      <c r="G900" s="8" t="n"/>
      <c r="H900" s="10" t="n">
        <v>462.856</v>
      </c>
      <c r="I900" s="10" t="n">
        <v>214.267</v>
      </c>
      <c r="J900" s="10" t="n">
        <v>197.862</v>
      </c>
      <c r="K900" s="10" t="n">
        <v>16.405</v>
      </c>
      <c r="L900" s="8" t="inlineStr">
        <is>
          <t>八部</t>
        </is>
      </c>
      <c r="M900" s="8" t="inlineStr">
        <is>
          <t>卢俊</t>
        </is>
      </c>
      <c r="N900" s="8" t="inlineStr">
        <is>
          <t>2-3年</t>
        </is>
      </c>
      <c r="O900" s="8" t="n"/>
    </row>
    <row r="901">
      <c r="A901" s="5" t="n">
        <v>899</v>
      </c>
      <c r="B901" s="5" t="inlineStr">
        <is>
          <t>华东-江苏</t>
        </is>
      </c>
      <c r="C901" s="5" t="inlineStr">
        <is>
          <t>群团组织</t>
        </is>
      </c>
      <c r="D901" s="6" t="inlineStr">
        <is>
          <t>HT20260708</t>
        </is>
      </c>
      <c r="E901" s="6" t="inlineStr">
        <is>
          <t>20260313</t>
        </is>
      </c>
      <c r="F901" s="10" t="n">
        <v>976.364</v>
      </c>
      <c r="G901" s="8" t="n"/>
      <c r="H901" s="10" t="n">
        <v>94.22499999999999</v>
      </c>
      <c r="I901" s="10" t="n">
        <v>882.139</v>
      </c>
      <c r="J901" s="10" t="n">
        <v>360.537</v>
      </c>
      <c r="K901" s="10" t="n">
        <v>521.602</v>
      </c>
      <c r="L901" s="8" t="inlineStr">
        <is>
          <t>十部</t>
        </is>
      </c>
      <c r="M901" s="8" t="inlineStr">
        <is>
          <t>段勇</t>
        </is>
      </c>
      <c r="N901" s="8" t="inlineStr">
        <is>
          <t>2-3年</t>
        </is>
      </c>
      <c r="O901" s="8" t="n"/>
    </row>
    <row r="902">
      <c r="A902" s="5" t="n">
        <v>900</v>
      </c>
      <c r="B902" s="5" t="inlineStr">
        <is>
          <t>华东-江西</t>
        </is>
      </c>
      <c r="C902" s="5" t="inlineStr">
        <is>
          <t>监察司法机关</t>
        </is>
      </c>
      <c r="D902" s="6" t="inlineStr">
        <is>
          <t>HT20260709</t>
        </is>
      </c>
      <c r="E902" s="6" t="inlineStr">
        <is>
          <t>20260515</t>
        </is>
      </c>
      <c r="F902" s="10" t="n">
        <v>946.474</v>
      </c>
      <c r="G902" s="8" t="n"/>
      <c r="H902" s="10" t="n">
        <v>616.7619999999999</v>
      </c>
      <c r="I902" s="10" t="n">
        <v>329.712</v>
      </c>
      <c r="J902" s="10" t="n">
        <v>295.568</v>
      </c>
      <c r="K902" s="10" t="n">
        <v>34.144</v>
      </c>
      <c r="L902" s="8" t="inlineStr">
        <is>
          <t>八部</t>
        </is>
      </c>
      <c r="M902" s="8" t="inlineStr">
        <is>
          <t>吕强</t>
        </is>
      </c>
      <c r="N902" s="8" t="inlineStr">
        <is>
          <t>1-2年</t>
        </is>
      </c>
      <c r="O902" s="8" t="n"/>
    </row>
    <row r="903">
      <c r="A903" s="5" t="n">
        <v>901</v>
      </c>
      <c r="B903" s="5" t="inlineStr">
        <is>
          <t>华南-香港</t>
        </is>
      </c>
      <c r="C903" s="5" t="inlineStr">
        <is>
          <t>人大政协</t>
        </is>
      </c>
      <c r="D903" s="6" t="inlineStr">
        <is>
          <t>HT20260709</t>
        </is>
      </c>
      <c r="E903" s="6" t="inlineStr">
        <is>
          <t>20260515</t>
        </is>
      </c>
      <c r="F903" s="10" t="n">
        <v>200.303</v>
      </c>
      <c r="G903" s="8" t="n"/>
      <c r="H903" s="10" t="n">
        <v>63.172</v>
      </c>
      <c r="I903" s="10" t="n">
        <v>137.131</v>
      </c>
      <c r="J903" s="10" t="n">
        <v>125.033</v>
      </c>
      <c r="K903" s="10" t="n">
        <v>12.098</v>
      </c>
      <c r="L903" s="8" t="inlineStr">
        <is>
          <t>三部</t>
        </is>
      </c>
      <c r="M903" s="8" t="inlineStr">
        <is>
          <t>胡蓉</t>
        </is>
      </c>
      <c r="N903" s="8" t="inlineStr">
        <is>
          <t>1年以内</t>
        </is>
      </c>
      <c r="O903" s="8" t="n"/>
    </row>
    <row r="904">
      <c r="A904" s="5" t="n">
        <v>902</v>
      </c>
      <c r="B904" s="5" t="inlineStr">
        <is>
          <t>华南-香港</t>
        </is>
      </c>
      <c r="C904" s="5" t="inlineStr">
        <is>
          <t>事业单位</t>
        </is>
      </c>
      <c r="D904" s="6" t="inlineStr">
        <is>
          <t>HT20260709</t>
        </is>
      </c>
      <c r="E904" s="6" t="inlineStr">
        <is>
          <t>20260515</t>
        </is>
      </c>
      <c r="F904" s="10" t="n">
        <v>459.123</v>
      </c>
      <c r="G904" s="8" t="n"/>
      <c r="H904" s="10" t="n">
        <v>65.328</v>
      </c>
      <c r="I904" s="10" t="n">
        <v>393.795</v>
      </c>
      <c r="J904" s="10" t="n">
        <v>177.906</v>
      </c>
      <c r="K904" s="10" t="n">
        <v>215.889</v>
      </c>
      <c r="L904" s="8" t="inlineStr">
        <is>
          <t>四部</t>
        </is>
      </c>
      <c r="M904" s="8" t="inlineStr">
        <is>
          <t>高翔</t>
        </is>
      </c>
      <c r="N904" s="8" t="inlineStr">
        <is>
          <t>1年以内</t>
        </is>
      </c>
      <c r="O904" s="8" t="n"/>
    </row>
    <row r="905">
      <c r="A905" s="5" t="n">
        <v>903</v>
      </c>
      <c r="B905" s="5" t="inlineStr">
        <is>
          <t>东北-黑龙江</t>
        </is>
      </c>
      <c r="C905" s="5" t="inlineStr">
        <is>
          <t>人大政协</t>
        </is>
      </c>
      <c r="D905" s="6" t="inlineStr">
        <is>
          <t>HT20260710</t>
        </is>
      </c>
      <c r="E905" s="6" t="inlineStr">
        <is>
          <t>20260728</t>
        </is>
      </c>
      <c r="F905" s="10" t="n">
        <v>849.522</v>
      </c>
      <c r="G905" s="8" t="n"/>
      <c r="H905" s="10" t="n">
        <v>132.2</v>
      </c>
      <c r="I905" s="10" t="n">
        <v>717.322</v>
      </c>
      <c r="J905" s="10" t="n">
        <v>83.41500000000001</v>
      </c>
      <c r="K905" s="10" t="n">
        <v>633.907</v>
      </c>
      <c r="L905" s="8" t="inlineStr">
        <is>
          <t>二部</t>
        </is>
      </c>
      <c r="M905" s="8" t="inlineStr">
        <is>
          <t>赵敏</t>
        </is>
      </c>
      <c r="N905" s="8" t="inlineStr">
        <is>
          <t>2-3年</t>
        </is>
      </c>
      <c r="O905" s="8" t="n"/>
    </row>
    <row r="906">
      <c r="A906" s="5" t="n">
        <v>904</v>
      </c>
      <c r="B906" s="5" t="inlineStr">
        <is>
          <t>西南-重庆</t>
        </is>
      </c>
      <c r="C906" s="5" t="inlineStr">
        <is>
          <t>人大政协</t>
        </is>
      </c>
      <c r="D906" s="6" t="inlineStr">
        <is>
          <t>HT20260710</t>
        </is>
      </c>
      <c r="E906" s="6" t="inlineStr">
        <is>
          <t>20260728</t>
        </is>
      </c>
      <c r="F906" s="10" t="n">
        <v>493.06</v>
      </c>
      <c r="G906" s="8" t="n"/>
      <c r="H906" s="10" t="n">
        <v>329.735</v>
      </c>
      <c r="I906" s="10" t="n">
        <v>163.325</v>
      </c>
      <c r="J906" s="10" t="n">
        <v>11.33</v>
      </c>
      <c r="K906" s="10" t="n">
        <v>151.995</v>
      </c>
      <c r="L906" s="8" t="inlineStr">
        <is>
          <t>七部</t>
        </is>
      </c>
      <c r="M906" s="8" t="inlineStr">
        <is>
          <t>傅蓉</t>
        </is>
      </c>
      <c r="N906" s="8" t="inlineStr">
        <is>
          <t>1年以内</t>
        </is>
      </c>
      <c r="O906" s="8" t="n"/>
    </row>
    <row r="907">
      <c r="A907" s="5" t="n">
        <v>905</v>
      </c>
      <c r="B907" s="5" t="inlineStr">
        <is>
          <t>华东-浙江</t>
        </is>
      </c>
      <c r="C907" s="5" t="inlineStr">
        <is>
          <t>群团组织</t>
        </is>
      </c>
      <c r="D907" s="6" t="inlineStr">
        <is>
          <t>HT20260711</t>
        </is>
      </c>
      <c r="E907" s="6" t="inlineStr">
        <is>
          <t>20260210</t>
        </is>
      </c>
      <c r="F907" s="10" t="n">
        <v>92.64</v>
      </c>
      <c r="G907" s="8" t="n"/>
      <c r="H907" s="10" t="n">
        <v>0.516</v>
      </c>
      <c r="I907" s="10" t="n">
        <v>92.124</v>
      </c>
      <c r="J907" s="10" t="n">
        <v>90.34</v>
      </c>
      <c r="K907" s="10" t="n">
        <v>1.784</v>
      </c>
      <c r="L907" s="8" t="inlineStr">
        <is>
          <t>五部</t>
        </is>
      </c>
      <c r="M907" s="8" t="inlineStr">
        <is>
          <t>宋佳</t>
        </is>
      </c>
      <c r="N907" s="8" t="inlineStr">
        <is>
          <t>1-2年</t>
        </is>
      </c>
      <c r="O907" s="8" t="n"/>
    </row>
    <row r="908">
      <c r="A908" s="5" t="n">
        <v>906</v>
      </c>
      <c r="B908" s="5" t="inlineStr">
        <is>
          <t>西北-宁夏</t>
        </is>
      </c>
      <c r="C908" s="5" t="inlineStr">
        <is>
          <t>人大政协</t>
        </is>
      </c>
      <c r="D908" s="6" t="inlineStr">
        <is>
          <t>HT20260711</t>
        </is>
      </c>
      <c r="E908" s="6" t="inlineStr">
        <is>
          <t>20260210</t>
        </is>
      </c>
      <c r="F908" s="10" t="n">
        <v>781.309</v>
      </c>
      <c r="G908" s="8" t="n"/>
      <c r="H908" s="10" t="n">
        <v>167.541</v>
      </c>
      <c r="I908" s="10" t="n">
        <v>613.768</v>
      </c>
      <c r="J908" s="10" t="n">
        <v>344.02</v>
      </c>
      <c r="K908" s="10" t="n">
        <v>269.748</v>
      </c>
      <c r="L908" s="8" t="inlineStr">
        <is>
          <t>七部</t>
        </is>
      </c>
      <c r="M908" s="8" t="inlineStr">
        <is>
          <t>许涛</t>
        </is>
      </c>
      <c r="N908" s="8" t="inlineStr">
        <is>
          <t>2-3年</t>
        </is>
      </c>
      <c r="O908" s="8" t="n"/>
    </row>
    <row r="909">
      <c r="A909" s="5" t="n">
        <v>907</v>
      </c>
      <c r="B909" s="5" t="inlineStr">
        <is>
          <t>东北-辽宁</t>
        </is>
      </c>
      <c r="C909" s="5" t="inlineStr">
        <is>
          <t>人大政协</t>
        </is>
      </c>
      <c r="D909" s="6" t="inlineStr">
        <is>
          <t>HT20260711</t>
        </is>
      </c>
      <c r="E909" s="6" t="inlineStr">
        <is>
          <t>20260210</t>
        </is>
      </c>
      <c r="F909" s="10" t="n">
        <v>232.498</v>
      </c>
      <c r="G909" s="8" t="n"/>
      <c r="H909" s="10" t="n">
        <v>47.681</v>
      </c>
      <c r="I909" s="10" t="n">
        <v>184.817</v>
      </c>
      <c r="J909" s="10" t="n">
        <v>13.303</v>
      </c>
      <c r="K909" s="10" t="n">
        <v>171.514</v>
      </c>
      <c r="L909" s="8" t="inlineStr">
        <is>
          <t>三部</t>
        </is>
      </c>
      <c r="M909" s="8" t="inlineStr">
        <is>
          <t>徐涛</t>
        </is>
      </c>
      <c r="N909" s="8" t="inlineStr">
        <is>
          <t>2-3年</t>
        </is>
      </c>
      <c r="O909" s="8" t="n"/>
    </row>
    <row r="910">
      <c r="A910" s="5" t="n">
        <v>908</v>
      </c>
      <c r="B910" s="5" t="inlineStr">
        <is>
          <t>西南-贵州</t>
        </is>
      </c>
      <c r="C910" s="5" t="inlineStr">
        <is>
          <t>监察司法机关</t>
        </is>
      </c>
      <c r="D910" s="6" t="inlineStr">
        <is>
          <t>HT20260712</t>
        </is>
      </c>
      <c r="E910" s="6" t="inlineStr">
        <is>
          <t>20260319</t>
        </is>
      </c>
      <c r="F910" s="10" t="n">
        <v>700.797</v>
      </c>
      <c r="G910" s="8" t="n"/>
      <c r="H910" s="10" t="n">
        <v>344.194</v>
      </c>
      <c r="I910" s="10" t="n">
        <v>356.603</v>
      </c>
      <c r="J910" s="10" t="n">
        <v>292.08</v>
      </c>
      <c r="K910" s="10" t="n">
        <v>64.523</v>
      </c>
      <c r="L910" s="8" t="inlineStr">
        <is>
          <t>九部</t>
        </is>
      </c>
      <c r="M910" s="8" t="inlineStr">
        <is>
          <t>蔡明</t>
        </is>
      </c>
      <c r="N910" s="8" t="inlineStr">
        <is>
          <t>1年以内</t>
        </is>
      </c>
      <c r="O910" s="8" t="n"/>
    </row>
    <row r="911">
      <c r="A911" s="5" t="n">
        <v>909</v>
      </c>
      <c r="B911" s="5" t="inlineStr">
        <is>
          <t>华北-北京</t>
        </is>
      </c>
      <c r="C911" s="5" t="inlineStr">
        <is>
          <t>国有企业</t>
        </is>
      </c>
      <c r="D911" s="6" t="inlineStr">
        <is>
          <t>HT20260712</t>
        </is>
      </c>
      <c r="E911" s="6" t="inlineStr">
        <is>
          <t>20260319</t>
        </is>
      </c>
      <c r="F911" s="10" t="n">
        <v>67.687</v>
      </c>
      <c r="G911" s="8" t="n"/>
      <c r="H911" s="10" t="n">
        <v>36.65</v>
      </c>
      <c r="I911" s="10" t="n">
        <v>31.037</v>
      </c>
      <c r="J911" s="10" t="n">
        <v>16.582</v>
      </c>
      <c r="K911" s="10" t="n">
        <v>14.455</v>
      </c>
      <c r="L911" s="8" t="inlineStr">
        <is>
          <t>五部</t>
        </is>
      </c>
      <c r="M911" s="8" t="inlineStr">
        <is>
          <t>韩梅</t>
        </is>
      </c>
      <c r="N911" s="8" t="inlineStr">
        <is>
          <t>1年以内</t>
        </is>
      </c>
      <c r="O911" s="8" t="n"/>
    </row>
    <row r="912">
      <c r="A912" s="5" t="n">
        <v>910</v>
      </c>
      <c r="B912" s="5" t="inlineStr">
        <is>
          <t>华东-江西</t>
        </is>
      </c>
      <c r="C912" s="5" t="inlineStr">
        <is>
          <t>人大政协</t>
        </is>
      </c>
      <c r="D912" s="6" t="inlineStr">
        <is>
          <t>HT20260713</t>
        </is>
      </c>
      <c r="E912" s="6" t="inlineStr">
        <is>
          <t>20260711</t>
        </is>
      </c>
      <c r="F912" s="10" t="n">
        <v>106.148</v>
      </c>
      <c r="G912" s="8" t="n"/>
      <c r="H912" s="10" t="n">
        <v>73.27800000000001</v>
      </c>
      <c r="I912" s="10" t="n">
        <v>32.87</v>
      </c>
      <c r="J912" s="10" t="n">
        <v>5.186</v>
      </c>
      <c r="K912" s="10" t="n">
        <v>27.684</v>
      </c>
      <c r="L912" s="8" t="inlineStr">
        <is>
          <t>七部</t>
        </is>
      </c>
      <c r="M912" s="8" t="inlineStr">
        <is>
          <t>许涛</t>
        </is>
      </c>
      <c r="N912" s="8" t="inlineStr">
        <is>
          <t>2-3年</t>
        </is>
      </c>
      <c r="O912" s="8" t="n"/>
    </row>
    <row r="913">
      <c r="A913" s="5" t="n">
        <v>911</v>
      </c>
      <c r="B913" s="5" t="inlineStr">
        <is>
          <t>华南-海南</t>
        </is>
      </c>
      <c r="C913" s="5" t="inlineStr">
        <is>
          <t>人大政协</t>
        </is>
      </c>
      <c r="D913" s="6" t="inlineStr">
        <is>
          <t>HT20260713</t>
        </is>
      </c>
      <c r="E913" s="6" t="inlineStr">
        <is>
          <t>20260711</t>
        </is>
      </c>
      <c r="F913" s="10" t="n">
        <v>803.258</v>
      </c>
      <c r="G913" s="8" t="n"/>
      <c r="H913" s="10" t="n">
        <v>224.475</v>
      </c>
      <c r="I913" s="10" t="n">
        <v>578.783</v>
      </c>
      <c r="J913" s="10" t="n">
        <v>133.92</v>
      </c>
      <c r="K913" s="10" t="n">
        <v>444.863</v>
      </c>
      <c r="L913" s="8" t="inlineStr">
        <is>
          <t>二部</t>
        </is>
      </c>
      <c r="M913" s="8" t="inlineStr">
        <is>
          <t>黄强</t>
        </is>
      </c>
      <c r="N913" s="8" t="inlineStr">
        <is>
          <t>1-2年</t>
        </is>
      </c>
      <c r="O913" s="8" t="n"/>
    </row>
    <row r="914">
      <c r="A914" s="5" t="n">
        <v>912</v>
      </c>
      <c r="B914" s="5" t="inlineStr">
        <is>
          <t>华中-湖南</t>
        </is>
      </c>
      <c r="C914" s="5" t="inlineStr">
        <is>
          <t>政府机关</t>
        </is>
      </c>
      <c r="D914" s="6" t="inlineStr">
        <is>
          <t>HT20260713</t>
        </is>
      </c>
      <c r="E914" s="6" t="inlineStr">
        <is>
          <t>20260711</t>
        </is>
      </c>
      <c r="F914" s="10" t="n">
        <v>60.712</v>
      </c>
      <c r="G914" s="8" t="n"/>
      <c r="H914" s="10" t="n">
        <v>28.61</v>
      </c>
      <c r="I914" s="10" t="n">
        <v>32.102</v>
      </c>
      <c r="J914" s="10" t="n">
        <v>3.468</v>
      </c>
      <c r="K914" s="10" t="n">
        <v>28.634</v>
      </c>
      <c r="L914" s="8" t="inlineStr">
        <is>
          <t>二部</t>
        </is>
      </c>
      <c r="M914" s="8" t="inlineStr">
        <is>
          <t>杨磊</t>
        </is>
      </c>
      <c r="N914" s="8" t="inlineStr">
        <is>
          <t>1-2年</t>
        </is>
      </c>
      <c r="O914" s="8" t="n"/>
    </row>
    <row r="915">
      <c r="A915" s="5" t="n">
        <v>913</v>
      </c>
      <c r="B915" s="5" t="inlineStr">
        <is>
          <t>东北-黑龙江</t>
        </is>
      </c>
      <c r="C915" s="5" t="inlineStr">
        <is>
          <t>政府机关</t>
        </is>
      </c>
      <c r="D915" s="6" t="inlineStr">
        <is>
          <t>HT20260714</t>
        </is>
      </c>
      <c r="E915" s="6" t="inlineStr">
        <is>
          <t>20260506</t>
        </is>
      </c>
      <c r="F915" s="10" t="n">
        <v>272.552</v>
      </c>
      <c r="G915" s="8" t="n"/>
      <c r="H915" s="10" t="n">
        <v>81.938</v>
      </c>
      <c r="I915" s="10" t="n">
        <v>190.614</v>
      </c>
      <c r="J915" s="10" t="n">
        <v>97.205</v>
      </c>
      <c r="K915" s="10" t="n">
        <v>93.40900000000001</v>
      </c>
      <c r="L915" s="8" t="inlineStr">
        <is>
          <t>八部</t>
        </is>
      </c>
      <c r="M915" s="8" t="inlineStr">
        <is>
          <t>卢俊</t>
        </is>
      </c>
      <c r="N915" s="8" t="inlineStr">
        <is>
          <t>1-2年</t>
        </is>
      </c>
      <c r="O915" s="8" t="n"/>
    </row>
    <row r="916">
      <c r="A916" s="5" t="n">
        <v>914</v>
      </c>
      <c r="B916" s="5" t="inlineStr">
        <is>
          <t>华中-湖北</t>
        </is>
      </c>
      <c r="C916" s="5" t="inlineStr">
        <is>
          <t>群团组织</t>
        </is>
      </c>
      <c r="D916" s="6" t="inlineStr">
        <is>
          <t>HT20260714</t>
        </is>
      </c>
      <c r="E916" s="6" t="inlineStr">
        <is>
          <t>20260506</t>
        </is>
      </c>
      <c r="F916" s="10" t="n">
        <v>905.867</v>
      </c>
      <c r="G916" s="8" t="n"/>
      <c r="H916" s="10" t="n">
        <v>74.962</v>
      </c>
      <c r="I916" s="10" t="n">
        <v>830.905</v>
      </c>
      <c r="J916" s="10" t="n">
        <v>172.122</v>
      </c>
      <c r="K916" s="10" t="n">
        <v>658.783</v>
      </c>
      <c r="L916" s="8" t="inlineStr">
        <is>
          <t>八部</t>
        </is>
      </c>
      <c r="M916" s="8" t="inlineStr">
        <is>
          <t>卢俊</t>
        </is>
      </c>
      <c r="N916" s="8" t="inlineStr">
        <is>
          <t>2-3年</t>
        </is>
      </c>
      <c r="O916" s="8" t="n"/>
    </row>
    <row r="917">
      <c r="A917" s="5" t="n">
        <v>915</v>
      </c>
      <c r="B917" s="5" t="inlineStr">
        <is>
          <t>华东-福建</t>
        </is>
      </c>
      <c r="C917" s="5" t="inlineStr">
        <is>
          <t>事业单位</t>
        </is>
      </c>
      <c r="D917" s="6" t="inlineStr">
        <is>
          <t>HT20260715</t>
        </is>
      </c>
      <c r="E917" s="6" t="inlineStr">
        <is>
          <t>20260217</t>
        </is>
      </c>
      <c r="F917" s="10" t="n">
        <v>1259.284</v>
      </c>
      <c r="G917" s="8" t="n"/>
      <c r="H917" s="10" t="n">
        <v>1150.779</v>
      </c>
      <c r="I917" s="10" t="n">
        <v>108.505</v>
      </c>
      <c r="J917" s="10" t="n">
        <v>11.833</v>
      </c>
      <c r="K917" s="10" t="n">
        <v>96.672</v>
      </c>
      <c r="L917" s="8" t="inlineStr">
        <is>
          <t>四部</t>
        </is>
      </c>
      <c r="M917" s="8" t="inlineStr">
        <is>
          <t>罗刚</t>
        </is>
      </c>
      <c r="N917" s="8" t="inlineStr">
        <is>
          <t>2-3年</t>
        </is>
      </c>
      <c r="O917" s="8" t="n"/>
    </row>
    <row r="918">
      <c r="A918" s="5" t="n">
        <v>916</v>
      </c>
      <c r="B918" s="5" t="inlineStr">
        <is>
          <t>东北-吉林</t>
        </is>
      </c>
      <c r="C918" s="5" t="inlineStr">
        <is>
          <t>事业单位</t>
        </is>
      </c>
      <c r="D918" s="6" t="inlineStr">
        <is>
          <t>HT20260717</t>
        </is>
      </c>
      <c r="E918" s="6" t="inlineStr">
        <is>
          <t>20260430</t>
        </is>
      </c>
      <c r="F918" s="10" t="n">
        <v>377.149</v>
      </c>
      <c r="G918" s="8" t="n"/>
      <c r="H918" s="10" t="n">
        <v>348.132</v>
      </c>
      <c r="I918" s="10" t="n">
        <v>29.017</v>
      </c>
      <c r="J918" s="10" t="n">
        <v>16.217</v>
      </c>
      <c r="K918" s="10" t="n">
        <v>12.8</v>
      </c>
      <c r="L918" s="8" t="inlineStr">
        <is>
          <t>三部</t>
        </is>
      </c>
      <c r="M918" s="8" t="inlineStr">
        <is>
          <t>徐涛</t>
        </is>
      </c>
      <c r="N918" s="8" t="inlineStr">
        <is>
          <t>1-2年</t>
        </is>
      </c>
      <c r="O918" s="8" t="n"/>
    </row>
    <row r="919">
      <c r="A919" s="5" t="n">
        <v>917</v>
      </c>
      <c r="B919" s="5" t="inlineStr">
        <is>
          <t>华北-山西</t>
        </is>
      </c>
      <c r="C919" s="5" t="inlineStr">
        <is>
          <t>政府机关</t>
        </is>
      </c>
      <c r="D919" s="6" t="inlineStr">
        <is>
          <t>HT20260718</t>
        </is>
      </c>
      <c r="E919" s="6" t="inlineStr">
        <is>
          <t>20260120</t>
        </is>
      </c>
      <c r="F919" s="10" t="n">
        <v>563.16</v>
      </c>
      <c r="G919" s="8" t="n"/>
      <c r="H919" s="10" t="n">
        <v>333.979</v>
      </c>
      <c r="I919" s="10" t="n">
        <v>229.181</v>
      </c>
      <c r="J919" s="10" t="n">
        <v>57.528</v>
      </c>
      <c r="K919" s="10" t="n">
        <v>171.653</v>
      </c>
      <c r="L919" s="8" t="inlineStr">
        <is>
          <t>五部</t>
        </is>
      </c>
      <c r="M919" s="8" t="inlineStr">
        <is>
          <t>宋佳</t>
        </is>
      </c>
      <c r="N919" s="8" t="inlineStr">
        <is>
          <t>1-2年</t>
        </is>
      </c>
      <c r="O919" s="8" t="n"/>
    </row>
    <row r="920">
      <c r="A920" s="5" t="n">
        <v>918</v>
      </c>
      <c r="B920" s="5" t="inlineStr">
        <is>
          <t>华南-澳门</t>
        </is>
      </c>
      <c r="C920" s="5" t="inlineStr">
        <is>
          <t>政府机关</t>
        </is>
      </c>
      <c r="D920" s="6" t="inlineStr">
        <is>
          <t>HT20260718</t>
        </is>
      </c>
      <c r="E920" s="6" t="inlineStr">
        <is>
          <t>20260120</t>
        </is>
      </c>
      <c r="F920" s="10" t="n">
        <v>960.427</v>
      </c>
      <c r="G920" s="8" t="n"/>
      <c r="H920" s="10" t="n">
        <v>43.672</v>
      </c>
      <c r="I920" s="10" t="n">
        <v>916.755</v>
      </c>
      <c r="J920" s="10" t="n">
        <v>813.122</v>
      </c>
      <c r="K920" s="10" t="n">
        <v>103.633</v>
      </c>
      <c r="L920" s="8" t="inlineStr">
        <is>
          <t>六部</t>
        </is>
      </c>
      <c r="M920" s="8" t="inlineStr">
        <is>
          <t>程琳</t>
        </is>
      </c>
      <c r="N920" s="8" t="inlineStr">
        <is>
          <t>2-3年</t>
        </is>
      </c>
      <c r="O920" s="8" t="n"/>
    </row>
    <row r="921">
      <c r="A921" s="5" t="n">
        <v>919</v>
      </c>
      <c r="B921" s="5" t="inlineStr">
        <is>
          <t>西北-陕西</t>
        </is>
      </c>
      <c r="C921" s="5" t="inlineStr">
        <is>
          <t>党委机关</t>
        </is>
      </c>
      <c r="D921" s="6" t="inlineStr">
        <is>
          <t>HT20260718</t>
        </is>
      </c>
      <c r="E921" s="6" t="inlineStr">
        <is>
          <t>20260120</t>
        </is>
      </c>
      <c r="F921" s="10" t="n">
        <v>324.748</v>
      </c>
      <c r="G921" s="8" t="n"/>
      <c r="H921" s="10" t="n">
        <v>156.711</v>
      </c>
      <c r="I921" s="10" t="n">
        <v>168.037</v>
      </c>
      <c r="J921" s="10" t="n">
        <v>32.802</v>
      </c>
      <c r="K921" s="10" t="n">
        <v>135.235</v>
      </c>
      <c r="L921" s="8" t="inlineStr">
        <is>
          <t>七部</t>
        </is>
      </c>
      <c r="M921" s="8" t="inlineStr">
        <is>
          <t>邓丽</t>
        </is>
      </c>
      <c r="N921" s="8" t="inlineStr">
        <is>
          <t>1-2年</t>
        </is>
      </c>
      <c r="O921" s="8" t="n"/>
    </row>
    <row r="922">
      <c r="A922" s="5" t="n">
        <v>920</v>
      </c>
      <c r="B922" s="5" t="inlineStr">
        <is>
          <t>华东-福建</t>
        </is>
      </c>
      <c r="C922" s="5" t="inlineStr">
        <is>
          <t>基层自治组织</t>
        </is>
      </c>
      <c r="D922" s="6" t="inlineStr">
        <is>
          <t>HT20260718</t>
        </is>
      </c>
      <c r="E922" s="6" t="inlineStr">
        <is>
          <t>20260120</t>
        </is>
      </c>
      <c r="F922" s="10" t="n">
        <v>1090.765</v>
      </c>
      <c r="G922" s="8" t="n"/>
      <c r="H922" s="10" t="n">
        <v>19.398</v>
      </c>
      <c r="I922" s="10" t="n">
        <v>1071.367</v>
      </c>
      <c r="J922" s="10" t="n">
        <v>927.187</v>
      </c>
      <c r="K922" s="10" t="n">
        <v>144.18</v>
      </c>
      <c r="L922" s="8" t="inlineStr">
        <is>
          <t>七部</t>
        </is>
      </c>
      <c r="M922" s="8" t="inlineStr">
        <is>
          <t>许涛</t>
        </is>
      </c>
      <c r="N922" s="8" t="inlineStr">
        <is>
          <t>1-2年</t>
        </is>
      </c>
      <c r="O922" s="8" t="n"/>
    </row>
    <row r="923">
      <c r="A923" s="5" t="n">
        <v>921</v>
      </c>
      <c r="B923" s="5" t="inlineStr">
        <is>
          <t>华中-河南</t>
        </is>
      </c>
      <c r="C923" s="5" t="inlineStr">
        <is>
          <t>事业单位</t>
        </is>
      </c>
      <c r="D923" s="6" t="inlineStr">
        <is>
          <t>HT20260719</t>
        </is>
      </c>
      <c r="E923" s="6" t="inlineStr">
        <is>
          <t>20260812</t>
        </is>
      </c>
      <c r="F923" s="10" t="n">
        <v>401.158</v>
      </c>
      <c r="G923" s="8" t="n"/>
      <c r="H923" s="10" t="n">
        <v>107.845</v>
      </c>
      <c r="I923" s="10" t="n">
        <v>293.313</v>
      </c>
      <c r="J923" s="10" t="n">
        <v>19.847</v>
      </c>
      <c r="K923" s="10" t="n">
        <v>273.466</v>
      </c>
      <c r="L923" s="8" t="inlineStr">
        <is>
          <t>四部</t>
        </is>
      </c>
      <c r="M923" s="8" t="inlineStr">
        <is>
          <t>林燕</t>
        </is>
      </c>
      <c r="N923" s="8" t="inlineStr">
        <is>
          <t>1-2年</t>
        </is>
      </c>
      <c r="O923" s="8" t="n"/>
    </row>
    <row r="924">
      <c r="A924" s="5" t="n">
        <v>922</v>
      </c>
      <c r="B924" s="5" t="inlineStr">
        <is>
          <t>华中-河南</t>
        </is>
      </c>
      <c r="C924" s="5" t="inlineStr">
        <is>
          <t>群团组织</t>
        </is>
      </c>
      <c r="D924" s="6" t="inlineStr">
        <is>
          <t>HT20260719</t>
        </is>
      </c>
      <c r="E924" s="6" t="inlineStr">
        <is>
          <t>20260812</t>
        </is>
      </c>
      <c r="F924" s="10" t="n">
        <v>217.292</v>
      </c>
      <c r="G924" s="8" t="n"/>
      <c r="H924" s="10" t="n">
        <v>10.181</v>
      </c>
      <c r="I924" s="10" t="n">
        <v>207.111</v>
      </c>
      <c r="J924" s="10" t="n">
        <v>163.054</v>
      </c>
      <c r="K924" s="10" t="n">
        <v>44.057</v>
      </c>
      <c r="L924" s="8" t="inlineStr">
        <is>
          <t>八部</t>
        </is>
      </c>
      <c r="M924" s="8" t="inlineStr">
        <is>
          <t>卢俊</t>
        </is>
      </c>
      <c r="N924" s="8" t="inlineStr">
        <is>
          <t>1-2年</t>
        </is>
      </c>
      <c r="O924" s="8" t="n"/>
    </row>
    <row r="925">
      <c r="A925" s="5" t="n">
        <v>923</v>
      </c>
      <c r="B925" s="5" t="inlineStr">
        <is>
          <t>华东-安徽</t>
        </is>
      </c>
      <c r="C925" s="5" t="inlineStr">
        <is>
          <t>国有企业</t>
        </is>
      </c>
      <c r="D925" s="6" t="inlineStr">
        <is>
          <t>HT20260719</t>
        </is>
      </c>
      <c r="E925" s="6" t="inlineStr">
        <is>
          <t>20260812</t>
        </is>
      </c>
      <c r="F925" s="10" t="n">
        <v>8413.384</v>
      </c>
      <c r="G925" s="8" t="n"/>
      <c r="H925" s="10" t="n">
        <v>2660.953</v>
      </c>
      <c r="I925" s="10" t="n">
        <v>5752.431</v>
      </c>
      <c r="J925" s="10" t="n">
        <v>5637.328</v>
      </c>
      <c r="K925" s="10" t="n">
        <v>115.103</v>
      </c>
      <c r="L925" s="8" t="inlineStr">
        <is>
          <t>二部</t>
        </is>
      </c>
      <c r="M925" s="8" t="inlineStr">
        <is>
          <t>赵敏</t>
        </is>
      </c>
      <c r="N925" s="8" t="inlineStr">
        <is>
          <t>1-2年</t>
        </is>
      </c>
      <c r="O925" s="8" t="n"/>
    </row>
    <row r="926">
      <c r="A926" s="5" t="n">
        <v>924</v>
      </c>
      <c r="B926" s="5" t="inlineStr">
        <is>
          <t>华北-北京</t>
        </is>
      </c>
      <c r="C926" s="5" t="inlineStr">
        <is>
          <t>国有企业</t>
        </is>
      </c>
      <c r="D926" s="6" t="inlineStr">
        <is>
          <t>HT20260723</t>
        </is>
      </c>
      <c r="E926" s="6" t="inlineStr">
        <is>
          <t>20260323</t>
        </is>
      </c>
      <c r="F926" s="10" t="n">
        <v>1519.113</v>
      </c>
      <c r="G926" s="8" t="n"/>
      <c r="H926" s="10" t="n">
        <v>1038.28</v>
      </c>
      <c r="I926" s="10" t="n">
        <v>480.833</v>
      </c>
      <c r="J926" s="10" t="n">
        <v>186.735</v>
      </c>
      <c r="K926" s="10" t="n">
        <v>294.098</v>
      </c>
      <c r="L926" s="8" t="inlineStr">
        <is>
          <t>三部</t>
        </is>
      </c>
      <c r="M926" s="8" t="inlineStr">
        <is>
          <t>马超</t>
        </is>
      </c>
      <c r="N926" s="8" t="inlineStr">
        <is>
          <t>1年以内</t>
        </is>
      </c>
      <c r="O926" s="8" t="n"/>
    </row>
    <row r="927">
      <c r="A927" s="5" t="n">
        <v>925</v>
      </c>
      <c r="B927" s="5" t="inlineStr">
        <is>
          <t>西南-重庆</t>
        </is>
      </c>
      <c r="C927" s="5" t="inlineStr">
        <is>
          <t>监察司法机关</t>
        </is>
      </c>
      <c r="D927" s="6" t="inlineStr">
        <is>
          <t>HT20260724</t>
        </is>
      </c>
      <c r="E927" s="6" t="inlineStr">
        <is>
          <t>20260127</t>
        </is>
      </c>
      <c r="F927" s="10" t="n">
        <v>29.274</v>
      </c>
      <c r="G927" s="8" t="n"/>
      <c r="H927" s="10" t="n">
        <v>8.451000000000001</v>
      </c>
      <c r="I927" s="10" t="n">
        <v>20.823</v>
      </c>
      <c r="J927" s="10" t="n">
        <v>16.187</v>
      </c>
      <c r="K927" s="10" t="n">
        <v>4.636</v>
      </c>
      <c r="L927" s="8" t="inlineStr">
        <is>
          <t>五部</t>
        </is>
      </c>
      <c r="M927" s="8" t="inlineStr">
        <is>
          <t>韩梅</t>
        </is>
      </c>
      <c r="N927" s="8" t="inlineStr">
        <is>
          <t>1年以内</t>
        </is>
      </c>
      <c r="O927" s="8" t="n"/>
    </row>
    <row r="928">
      <c r="A928" s="5" t="n">
        <v>926</v>
      </c>
      <c r="B928" s="5" t="inlineStr">
        <is>
          <t>华东-安徽</t>
        </is>
      </c>
      <c r="C928" s="5" t="inlineStr">
        <is>
          <t>党委机关</t>
        </is>
      </c>
      <c r="D928" s="6" t="inlineStr">
        <is>
          <t>HT20260724</t>
        </is>
      </c>
      <c r="E928" s="6" t="inlineStr">
        <is>
          <t>20260127</t>
        </is>
      </c>
      <c r="F928" s="10" t="n">
        <v>746.002</v>
      </c>
      <c r="G928" s="8" t="n"/>
      <c r="H928" s="10" t="n">
        <v>732.3630000000001</v>
      </c>
      <c r="I928" s="10" t="n">
        <v>13.639</v>
      </c>
      <c r="J928" s="10" t="n">
        <v>8.179</v>
      </c>
      <c r="K928" s="10" t="n">
        <v>5.46</v>
      </c>
      <c r="L928" s="8" t="inlineStr">
        <is>
          <t>三部</t>
        </is>
      </c>
      <c r="M928" s="8" t="inlineStr">
        <is>
          <t>胡蓉</t>
        </is>
      </c>
      <c r="N928" s="8" t="inlineStr">
        <is>
          <t>1年以内</t>
        </is>
      </c>
      <c r="O928" s="8" t="n"/>
    </row>
    <row r="929">
      <c r="A929" s="5" t="n">
        <v>927</v>
      </c>
      <c r="B929" s="5" t="inlineStr">
        <is>
          <t>西南-西藏</t>
        </is>
      </c>
      <c r="C929" s="5" t="inlineStr">
        <is>
          <t>党委机关</t>
        </is>
      </c>
      <c r="D929" s="6" t="inlineStr">
        <is>
          <t>HT20260725</t>
        </is>
      </c>
      <c r="E929" s="6" t="inlineStr">
        <is>
          <t>20260722</t>
        </is>
      </c>
      <c r="F929" s="10" t="n">
        <v>756.295</v>
      </c>
      <c r="G929" s="8" t="n"/>
      <c r="H929" s="10" t="n">
        <v>575.595</v>
      </c>
      <c r="I929" s="10" t="n">
        <v>180.7</v>
      </c>
      <c r="J929" s="10" t="n">
        <v>19.956</v>
      </c>
      <c r="K929" s="10" t="n">
        <v>160.744</v>
      </c>
      <c r="L929" s="8" t="inlineStr">
        <is>
          <t>五部</t>
        </is>
      </c>
      <c r="M929" s="8" t="inlineStr">
        <is>
          <t>梁雪</t>
        </is>
      </c>
      <c r="N929" s="8" t="inlineStr">
        <is>
          <t>2-3年</t>
        </is>
      </c>
      <c r="O929" s="8" t="n"/>
    </row>
    <row r="930">
      <c r="A930" s="5" t="n">
        <v>928</v>
      </c>
      <c r="B930" s="5" t="inlineStr">
        <is>
          <t>东北-黑龙江</t>
        </is>
      </c>
      <c r="C930" s="5" t="inlineStr">
        <is>
          <t>监察司法机关</t>
        </is>
      </c>
      <c r="D930" s="6" t="inlineStr">
        <is>
          <t>HT20260725</t>
        </is>
      </c>
      <c r="E930" s="6" t="inlineStr">
        <is>
          <t>20260722</t>
        </is>
      </c>
      <c r="F930" s="10" t="n">
        <v>865.376</v>
      </c>
      <c r="G930" s="8" t="n"/>
      <c r="H930" s="10" t="n">
        <v>484.78</v>
      </c>
      <c r="I930" s="10" t="n">
        <v>380.596</v>
      </c>
      <c r="J930" s="10" t="n">
        <v>155.488</v>
      </c>
      <c r="K930" s="10" t="n">
        <v>225.108</v>
      </c>
      <c r="L930" s="8" t="inlineStr">
        <is>
          <t>十部</t>
        </is>
      </c>
      <c r="M930" s="8" t="inlineStr">
        <is>
          <t>侯敏</t>
        </is>
      </c>
      <c r="N930" s="8" t="inlineStr">
        <is>
          <t>1-2年</t>
        </is>
      </c>
      <c r="O930" s="8" t="n"/>
    </row>
    <row r="931">
      <c r="A931" s="5" t="n">
        <v>929</v>
      </c>
      <c r="B931" s="5" t="inlineStr">
        <is>
          <t>华东-江苏</t>
        </is>
      </c>
      <c r="C931" s="5" t="inlineStr">
        <is>
          <t>人大政协</t>
        </is>
      </c>
      <c r="D931" s="6" t="inlineStr">
        <is>
          <t>HT20260726</t>
        </is>
      </c>
      <c r="E931" s="6" t="inlineStr">
        <is>
          <t>20260711</t>
        </is>
      </c>
      <c r="F931" s="10" t="n">
        <v>234.401</v>
      </c>
      <c r="G931" s="8" t="n"/>
      <c r="H931" s="10" t="n">
        <v>75.349</v>
      </c>
      <c r="I931" s="10" t="n">
        <v>159.052</v>
      </c>
      <c r="J931" s="10" t="n">
        <v>120.952</v>
      </c>
      <c r="K931" s="10" t="n">
        <v>38.1</v>
      </c>
      <c r="L931" s="8" t="inlineStr">
        <is>
          <t>六部</t>
        </is>
      </c>
      <c r="M931" s="8" t="inlineStr">
        <is>
          <t>董辉</t>
        </is>
      </c>
      <c r="N931" s="8" t="inlineStr">
        <is>
          <t>1年以内</t>
        </is>
      </c>
      <c r="O931" s="8" t="n"/>
    </row>
    <row r="932">
      <c r="A932" s="5" t="n">
        <v>930</v>
      </c>
      <c r="B932" s="5" t="inlineStr">
        <is>
          <t>西南-重庆</t>
        </is>
      </c>
      <c r="C932" s="5" t="inlineStr">
        <is>
          <t>党委机关</t>
        </is>
      </c>
      <c r="D932" s="6" t="inlineStr">
        <is>
          <t>HT20260726</t>
        </is>
      </c>
      <c r="E932" s="6" t="inlineStr">
        <is>
          <t>20260711</t>
        </is>
      </c>
      <c r="F932" s="10" t="n">
        <v>833.953</v>
      </c>
      <c r="G932" s="8" t="n"/>
      <c r="H932" s="10" t="n">
        <v>78.83199999999999</v>
      </c>
      <c r="I932" s="10" t="n">
        <v>755.121</v>
      </c>
      <c r="J932" s="10" t="n">
        <v>582.644</v>
      </c>
      <c r="K932" s="10" t="n">
        <v>172.477</v>
      </c>
      <c r="L932" s="8" t="inlineStr">
        <is>
          <t>一部</t>
        </is>
      </c>
      <c r="M932" s="8" t="inlineStr">
        <is>
          <t>刘洋</t>
        </is>
      </c>
      <c r="N932" s="8" t="inlineStr">
        <is>
          <t>2-3年</t>
        </is>
      </c>
      <c r="O932" s="8" t="n"/>
    </row>
    <row r="933">
      <c r="A933" s="5" t="n">
        <v>931</v>
      </c>
      <c r="B933" s="5" t="inlineStr">
        <is>
          <t>西南-四川</t>
        </is>
      </c>
      <c r="C933" s="5" t="inlineStr">
        <is>
          <t>人大政协</t>
        </is>
      </c>
      <c r="D933" s="6" t="inlineStr">
        <is>
          <t>HT20260726</t>
        </is>
      </c>
      <c r="E933" s="6" t="inlineStr">
        <is>
          <t>20260711</t>
        </is>
      </c>
      <c r="F933" s="10" t="n">
        <v>835.006</v>
      </c>
      <c r="G933" s="8" t="n"/>
      <c r="H933" s="10" t="n">
        <v>218.078</v>
      </c>
      <c r="I933" s="10" t="n">
        <v>616.928</v>
      </c>
      <c r="J933" s="10" t="n">
        <v>585.667</v>
      </c>
      <c r="K933" s="10" t="n">
        <v>31.261</v>
      </c>
      <c r="L933" s="8" t="inlineStr">
        <is>
          <t>五部</t>
        </is>
      </c>
      <c r="M933" s="8" t="inlineStr">
        <is>
          <t>宋佳</t>
        </is>
      </c>
      <c r="N933" s="8" t="inlineStr">
        <is>
          <t>1年以内</t>
        </is>
      </c>
      <c r="O933" s="8" t="n"/>
    </row>
    <row r="934">
      <c r="A934" s="5" t="n">
        <v>932</v>
      </c>
      <c r="B934" s="5" t="inlineStr">
        <is>
          <t>华中-河南</t>
        </is>
      </c>
      <c r="C934" s="5" t="inlineStr">
        <is>
          <t>基层自治组织</t>
        </is>
      </c>
      <c r="D934" s="6" t="inlineStr">
        <is>
          <t>HT20260727</t>
        </is>
      </c>
      <c r="E934" s="6" t="inlineStr">
        <is>
          <t>20260529</t>
        </is>
      </c>
      <c r="F934" s="10" t="n">
        <v>754.644</v>
      </c>
      <c r="G934" s="8" t="n"/>
      <c r="H934" s="10" t="n">
        <v>290.599</v>
      </c>
      <c r="I934" s="10" t="n">
        <v>464.045</v>
      </c>
      <c r="J934" s="10" t="n">
        <v>308.438</v>
      </c>
      <c r="K934" s="10" t="n">
        <v>155.607</v>
      </c>
      <c r="L934" s="8" t="inlineStr">
        <is>
          <t>七部</t>
        </is>
      </c>
      <c r="M934" s="8" t="inlineStr">
        <is>
          <t>许涛</t>
        </is>
      </c>
      <c r="N934" s="8" t="inlineStr">
        <is>
          <t>1-2年</t>
        </is>
      </c>
      <c r="O934" s="8" t="n"/>
    </row>
    <row r="935">
      <c r="A935" s="5" t="n">
        <v>933</v>
      </c>
      <c r="B935" s="5" t="inlineStr">
        <is>
          <t>华东-江苏</t>
        </is>
      </c>
      <c r="C935" s="5" t="inlineStr">
        <is>
          <t>人大政协</t>
        </is>
      </c>
      <c r="D935" s="6" t="inlineStr">
        <is>
          <t>HT20260727</t>
        </is>
      </c>
      <c r="E935" s="6" t="inlineStr">
        <is>
          <t>20260529</t>
        </is>
      </c>
      <c r="F935" s="10" t="n">
        <v>58.292</v>
      </c>
      <c r="G935" s="8" t="n"/>
      <c r="H935" s="10" t="n">
        <v>5.777</v>
      </c>
      <c r="I935" s="10" t="n">
        <v>52.515</v>
      </c>
      <c r="J935" s="10" t="n">
        <v>47.985</v>
      </c>
      <c r="K935" s="10" t="n">
        <v>4.53</v>
      </c>
      <c r="L935" s="8" t="inlineStr">
        <is>
          <t>十部</t>
        </is>
      </c>
      <c r="M935" s="8" t="inlineStr">
        <is>
          <t>薛峰</t>
        </is>
      </c>
      <c r="N935" s="8" t="inlineStr">
        <is>
          <t>1年以内</t>
        </is>
      </c>
      <c r="O935" s="8" t="n"/>
    </row>
    <row r="936">
      <c r="A936" s="5" t="n">
        <v>934</v>
      </c>
      <c r="B936" s="5" t="inlineStr">
        <is>
          <t>华中-湖北</t>
        </is>
      </c>
      <c r="C936" s="5" t="inlineStr">
        <is>
          <t>群团组织</t>
        </is>
      </c>
      <c r="D936" s="6" t="inlineStr">
        <is>
          <t>HT20260728</t>
        </is>
      </c>
      <c r="E936" s="6" t="inlineStr">
        <is>
          <t>20260628</t>
        </is>
      </c>
      <c r="F936" s="10" t="n">
        <v>477.036</v>
      </c>
      <c r="G936" s="8" t="n"/>
      <c r="H936" s="10" t="n">
        <v>250.206</v>
      </c>
      <c r="I936" s="10" t="n">
        <v>226.83</v>
      </c>
      <c r="J936" s="10" t="n">
        <v>4.082</v>
      </c>
      <c r="K936" s="10" t="n">
        <v>222.748</v>
      </c>
      <c r="L936" s="8" t="inlineStr">
        <is>
          <t>九部</t>
        </is>
      </c>
      <c r="M936" s="8" t="inlineStr">
        <is>
          <t>魏红</t>
        </is>
      </c>
      <c r="N936" s="8" t="inlineStr">
        <is>
          <t>1年以内</t>
        </is>
      </c>
      <c r="O936" s="8" t="n"/>
    </row>
    <row r="937">
      <c r="A937" s="5" t="n">
        <v>935</v>
      </c>
      <c r="B937" s="5" t="inlineStr">
        <is>
          <t>西北-陕西</t>
        </is>
      </c>
      <c r="C937" s="5" t="inlineStr">
        <is>
          <t>事业单位</t>
        </is>
      </c>
      <c r="D937" s="6" t="inlineStr">
        <is>
          <t>HT20260728</t>
        </is>
      </c>
      <c r="E937" s="6" t="inlineStr">
        <is>
          <t>20260628</t>
        </is>
      </c>
      <c r="F937" s="10" t="n">
        <v>306.237</v>
      </c>
      <c r="G937" s="8" t="n"/>
      <c r="H937" s="10" t="n">
        <v>4.026</v>
      </c>
      <c r="I937" s="10" t="n">
        <v>302.211</v>
      </c>
      <c r="J937" s="10" t="n">
        <v>204.298</v>
      </c>
      <c r="K937" s="10" t="n">
        <v>97.913</v>
      </c>
      <c r="L937" s="8" t="inlineStr">
        <is>
          <t>一部</t>
        </is>
      </c>
      <c r="M937" s="8" t="inlineStr">
        <is>
          <t>陈静</t>
        </is>
      </c>
      <c r="N937" s="8" t="inlineStr">
        <is>
          <t>2-3年</t>
        </is>
      </c>
      <c r="O937" s="8" t="n"/>
    </row>
    <row r="938">
      <c r="A938" s="5" t="n">
        <v>936</v>
      </c>
      <c r="B938" s="5" t="inlineStr">
        <is>
          <t>西南-四川</t>
        </is>
      </c>
      <c r="C938" s="5" t="inlineStr">
        <is>
          <t>事业单位</t>
        </is>
      </c>
      <c r="D938" s="6" t="inlineStr">
        <is>
          <t>HT20260728</t>
        </is>
      </c>
      <c r="E938" s="6" t="inlineStr">
        <is>
          <t>20260628</t>
        </is>
      </c>
      <c r="F938" s="10" t="n">
        <v>823.301</v>
      </c>
      <c r="G938" s="8" t="n"/>
      <c r="H938" s="10" t="n">
        <v>123.463</v>
      </c>
      <c r="I938" s="10" t="n">
        <v>699.838</v>
      </c>
      <c r="J938" s="10" t="n">
        <v>45.653</v>
      </c>
      <c r="K938" s="10" t="n">
        <v>654.1849999999999</v>
      </c>
      <c r="L938" s="8" t="inlineStr">
        <is>
          <t>三部</t>
        </is>
      </c>
      <c r="M938" s="8" t="inlineStr">
        <is>
          <t>孙艳</t>
        </is>
      </c>
      <c r="N938" s="8" t="inlineStr">
        <is>
          <t>1-2年</t>
        </is>
      </c>
      <c r="O938" s="8" t="n"/>
    </row>
    <row r="939">
      <c r="A939" s="5" t="n">
        <v>937</v>
      </c>
      <c r="B939" s="5" t="inlineStr">
        <is>
          <t>华北-内蒙古</t>
        </is>
      </c>
      <c r="C939" s="5" t="inlineStr">
        <is>
          <t>事业单位</t>
        </is>
      </c>
      <c r="D939" s="6" t="inlineStr">
        <is>
          <t>HT20260729</t>
        </is>
      </c>
      <c r="E939" s="6" t="inlineStr">
        <is>
          <t>20260611</t>
        </is>
      </c>
      <c r="F939" s="10" t="n">
        <v>207.88</v>
      </c>
      <c r="G939" s="8" t="n"/>
      <c r="H939" s="10" t="n">
        <v>142.991</v>
      </c>
      <c r="I939" s="10" t="n">
        <v>64.889</v>
      </c>
      <c r="J939" s="10" t="n">
        <v>42.288</v>
      </c>
      <c r="K939" s="10" t="n">
        <v>22.601</v>
      </c>
      <c r="L939" s="8" t="inlineStr">
        <is>
          <t>七部</t>
        </is>
      </c>
      <c r="M939" s="8" t="inlineStr">
        <is>
          <t>沈刚</t>
        </is>
      </c>
      <c r="N939" s="8" t="inlineStr">
        <is>
          <t>1年以内</t>
        </is>
      </c>
      <c r="O939" s="8" t="n"/>
    </row>
    <row r="940">
      <c r="A940" s="5" t="n">
        <v>938</v>
      </c>
      <c r="B940" s="5" t="inlineStr">
        <is>
          <t>西南-云南</t>
        </is>
      </c>
      <c r="C940" s="5" t="inlineStr">
        <is>
          <t>国有企业</t>
        </is>
      </c>
      <c r="D940" s="6" t="inlineStr">
        <is>
          <t>HT20260730</t>
        </is>
      </c>
      <c r="E940" s="6" t="inlineStr">
        <is>
          <t>20260418</t>
        </is>
      </c>
      <c r="F940" s="10" t="n">
        <v>378.477</v>
      </c>
      <c r="G940" s="8" t="n"/>
      <c r="H940" s="10" t="n">
        <v>51.355</v>
      </c>
      <c r="I940" s="10" t="n">
        <v>327.122</v>
      </c>
      <c r="J940" s="10" t="n">
        <v>125.932</v>
      </c>
      <c r="K940" s="10" t="n">
        <v>201.19</v>
      </c>
      <c r="L940" s="8" t="inlineStr">
        <is>
          <t>七部</t>
        </is>
      </c>
      <c r="M940" s="8" t="inlineStr">
        <is>
          <t>袁博</t>
        </is>
      </c>
      <c r="N940" s="8" t="inlineStr">
        <is>
          <t>1年以内</t>
        </is>
      </c>
      <c r="O940" s="8" t="n"/>
    </row>
    <row r="941">
      <c r="A941" s="5" t="n">
        <v>939</v>
      </c>
      <c r="B941" s="5" t="inlineStr">
        <is>
          <t>华东-江苏</t>
        </is>
      </c>
      <c r="C941" s="5" t="inlineStr">
        <is>
          <t>事业单位</t>
        </is>
      </c>
      <c r="D941" s="6" t="inlineStr">
        <is>
          <t>HT20260731</t>
        </is>
      </c>
      <c r="E941" s="6" t="inlineStr">
        <is>
          <t>20260902</t>
        </is>
      </c>
      <c r="F941" s="10" t="n">
        <v>924.857</v>
      </c>
      <c r="G941" s="8" t="n"/>
      <c r="H941" s="10" t="n">
        <v>185.246</v>
      </c>
      <c r="I941" s="10" t="n">
        <v>739.611</v>
      </c>
      <c r="J941" s="10" t="n">
        <v>482.256</v>
      </c>
      <c r="K941" s="10" t="n">
        <v>257.355</v>
      </c>
      <c r="L941" s="8" t="inlineStr">
        <is>
          <t>八部</t>
        </is>
      </c>
      <c r="M941" s="8" t="inlineStr">
        <is>
          <t>苏珊</t>
        </is>
      </c>
      <c r="N941" s="8" t="inlineStr">
        <is>
          <t>2-3年</t>
        </is>
      </c>
      <c r="O941" s="8" t="n"/>
    </row>
    <row r="942">
      <c r="A942" s="5" t="n">
        <v>940</v>
      </c>
      <c r="B942" s="5" t="inlineStr">
        <is>
          <t>西北-陕西</t>
        </is>
      </c>
      <c r="C942" s="5" t="inlineStr">
        <is>
          <t>国有企业</t>
        </is>
      </c>
      <c r="D942" s="6" t="inlineStr">
        <is>
          <t>HT20260731</t>
        </is>
      </c>
      <c r="E942" s="6" t="inlineStr">
        <is>
          <t>20260902</t>
        </is>
      </c>
      <c r="F942" s="10" t="n">
        <v>720.648</v>
      </c>
      <c r="G942" s="8" t="n"/>
      <c r="H942" s="10" t="n">
        <v>559.356</v>
      </c>
      <c r="I942" s="10" t="n">
        <v>161.292</v>
      </c>
      <c r="J942" s="10" t="n">
        <v>106.12</v>
      </c>
      <c r="K942" s="10" t="n">
        <v>55.172</v>
      </c>
      <c r="L942" s="8" t="inlineStr">
        <is>
          <t>六部</t>
        </is>
      </c>
      <c r="M942" s="8" t="inlineStr">
        <is>
          <t>程琳</t>
        </is>
      </c>
      <c r="N942" s="8" t="inlineStr">
        <is>
          <t>2-3年</t>
        </is>
      </c>
      <c r="O942" s="8" t="n"/>
    </row>
    <row r="943">
      <c r="A943" s="5" t="n">
        <v>941</v>
      </c>
      <c r="B943" s="5" t="inlineStr">
        <is>
          <t>华南-广西</t>
        </is>
      </c>
      <c r="C943" s="5" t="inlineStr">
        <is>
          <t>事业单位</t>
        </is>
      </c>
      <c r="D943" s="6" t="inlineStr">
        <is>
          <t>HT20260801</t>
        </is>
      </c>
      <c r="E943" s="6" t="inlineStr">
        <is>
          <t>20260330</t>
        </is>
      </c>
      <c r="F943" s="10" t="n">
        <v>369.978</v>
      </c>
      <c r="G943" s="8" t="n"/>
      <c r="H943" s="10" t="n">
        <v>309.159</v>
      </c>
      <c r="I943" s="10" t="n">
        <v>60.819</v>
      </c>
      <c r="J943" s="10" t="n">
        <v>60.615</v>
      </c>
      <c r="K943" s="10" t="n">
        <v>0.204</v>
      </c>
      <c r="L943" s="8" t="inlineStr">
        <is>
          <t>九部</t>
        </is>
      </c>
      <c r="M943" s="8" t="inlineStr">
        <is>
          <t>蔡明</t>
        </is>
      </c>
      <c r="N943" s="8" t="inlineStr">
        <is>
          <t>2-3年</t>
        </is>
      </c>
      <c r="O943" s="8" t="n"/>
    </row>
    <row r="944">
      <c r="A944" s="5" t="n">
        <v>942</v>
      </c>
      <c r="B944" s="5" t="inlineStr">
        <is>
          <t>华北-河北</t>
        </is>
      </c>
      <c r="C944" s="5" t="inlineStr">
        <is>
          <t>监察司法机关</t>
        </is>
      </c>
      <c r="D944" s="6" t="inlineStr">
        <is>
          <t>HT20260803</t>
        </is>
      </c>
      <c r="E944" s="6" t="inlineStr">
        <is>
          <t>20260605</t>
        </is>
      </c>
      <c r="F944" s="10" t="n">
        <v>562.2089999999999</v>
      </c>
      <c r="G944" s="8" t="n"/>
      <c r="H944" s="10" t="n">
        <v>20.965</v>
      </c>
      <c r="I944" s="10" t="n">
        <v>541.244</v>
      </c>
      <c r="J944" s="10" t="n">
        <v>373.634</v>
      </c>
      <c r="K944" s="10" t="n">
        <v>167.61</v>
      </c>
      <c r="L944" s="8" t="inlineStr">
        <is>
          <t>十部</t>
        </is>
      </c>
      <c r="M944" s="8" t="inlineStr">
        <is>
          <t>雷声</t>
        </is>
      </c>
      <c r="N944" s="8" t="inlineStr">
        <is>
          <t>1-2年</t>
        </is>
      </c>
      <c r="O944" s="8" t="n"/>
    </row>
    <row r="945">
      <c r="A945" s="5" t="n">
        <v>943</v>
      </c>
      <c r="B945" s="5" t="inlineStr">
        <is>
          <t>华中-湖南</t>
        </is>
      </c>
      <c r="C945" s="5" t="inlineStr">
        <is>
          <t>政府机关</t>
        </is>
      </c>
      <c r="D945" s="6" t="inlineStr">
        <is>
          <t>HT20260804</t>
        </is>
      </c>
      <c r="E945" s="6" t="inlineStr">
        <is>
          <t>20260125</t>
        </is>
      </c>
      <c r="F945" s="10" t="n">
        <v>414.769</v>
      </c>
      <c r="G945" s="8" t="n"/>
      <c r="H945" s="10" t="n">
        <v>85.48</v>
      </c>
      <c r="I945" s="10" t="n">
        <v>329.289</v>
      </c>
      <c r="J945" s="10" t="n">
        <v>75.27800000000001</v>
      </c>
      <c r="K945" s="10" t="n">
        <v>254.011</v>
      </c>
      <c r="L945" s="8" t="inlineStr">
        <is>
          <t>十部</t>
        </is>
      </c>
      <c r="M945" s="8" t="inlineStr">
        <is>
          <t>段勇</t>
        </is>
      </c>
      <c r="N945" s="8" t="inlineStr">
        <is>
          <t>2-3年</t>
        </is>
      </c>
      <c r="O945" s="8" t="n"/>
    </row>
    <row r="946">
      <c r="A946" s="5" t="n">
        <v>944</v>
      </c>
      <c r="B946" s="5" t="inlineStr">
        <is>
          <t>华北-天津</t>
        </is>
      </c>
      <c r="C946" s="5" t="inlineStr">
        <is>
          <t>党委机关</t>
        </is>
      </c>
      <c r="D946" s="6" t="inlineStr">
        <is>
          <t>HT20260804</t>
        </is>
      </c>
      <c r="E946" s="6" t="inlineStr">
        <is>
          <t>20260125</t>
        </is>
      </c>
      <c r="F946" s="10" t="n">
        <v>115.802</v>
      </c>
      <c r="G946" s="8" t="n"/>
      <c r="H946" s="10" t="n">
        <v>93.423</v>
      </c>
      <c r="I946" s="10" t="n">
        <v>22.379</v>
      </c>
      <c r="J946" s="10" t="n">
        <v>13.67</v>
      </c>
      <c r="K946" s="10" t="n">
        <v>8.709</v>
      </c>
      <c r="L946" s="8" t="inlineStr">
        <is>
          <t>一部</t>
        </is>
      </c>
      <c r="M946" s="8" t="inlineStr">
        <is>
          <t>张伟</t>
        </is>
      </c>
      <c r="N946" s="8" t="inlineStr">
        <is>
          <t>2-3年</t>
        </is>
      </c>
      <c r="O946" s="8" t="n"/>
    </row>
    <row r="947">
      <c r="A947" s="5" t="n">
        <v>945</v>
      </c>
      <c r="B947" s="5" t="inlineStr">
        <is>
          <t>华中-湖南</t>
        </is>
      </c>
      <c r="C947" s="5" t="inlineStr">
        <is>
          <t>群团组织</t>
        </is>
      </c>
      <c r="D947" s="6" t="inlineStr">
        <is>
          <t>HT20260804</t>
        </is>
      </c>
      <c r="E947" s="6" t="inlineStr">
        <is>
          <t>20260125</t>
        </is>
      </c>
      <c r="F947" s="10" t="n">
        <v>249.348</v>
      </c>
      <c r="G947" s="8" t="n"/>
      <c r="H947" s="10" t="n">
        <v>138.883</v>
      </c>
      <c r="I947" s="10" t="n">
        <v>110.465</v>
      </c>
      <c r="J947" s="10" t="n">
        <v>94.20699999999999</v>
      </c>
      <c r="K947" s="10" t="n">
        <v>16.258</v>
      </c>
      <c r="L947" s="8" t="inlineStr">
        <is>
          <t>一部</t>
        </is>
      </c>
      <c r="M947" s="8" t="inlineStr">
        <is>
          <t>张伟</t>
        </is>
      </c>
      <c r="N947" s="8" t="inlineStr">
        <is>
          <t>2-3年</t>
        </is>
      </c>
      <c r="O947" s="8" t="n"/>
    </row>
    <row r="948">
      <c r="A948" s="5" t="n">
        <v>946</v>
      </c>
      <c r="B948" s="5" t="inlineStr">
        <is>
          <t>华东-安徽</t>
        </is>
      </c>
      <c r="C948" s="5" t="inlineStr">
        <is>
          <t>党委机关</t>
        </is>
      </c>
      <c r="D948" s="6" t="inlineStr">
        <is>
          <t>HT20260805</t>
        </is>
      </c>
      <c r="E948" s="6" t="inlineStr">
        <is>
          <t>20260805</t>
        </is>
      </c>
      <c r="F948" s="10" t="n">
        <v>21.116</v>
      </c>
      <c r="G948" s="8" t="n"/>
      <c r="H948" s="10" t="n">
        <v>10.598</v>
      </c>
      <c r="I948" s="10" t="n">
        <v>10.518</v>
      </c>
      <c r="J948" s="10" t="n">
        <v>0.063</v>
      </c>
      <c r="K948" s="10" t="n">
        <v>10.455</v>
      </c>
      <c r="L948" s="8" t="inlineStr">
        <is>
          <t>十部</t>
        </is>
      </c>
      <c r="M948" s="8" t="inlineStr">
        <is>
          <t>薛峰</t>
        </is>
      </c>
      <c r="N948" s="8" t="inlineStr">
        <is>
          <t>2-3年</t>
        </is>
      </c>
      <c r="O948" s="8" t="n"/>
    </row>
    <row r="949">
      <c r="A949" s="5" t="n">
        <v>947</v>
      </c>
      <c r="B949" s="5" t="inlineStr">
        <is>
          <t>华东-上海</t>
        </is>
      </c>
      <c r="C949" s="5" t="inlineStr">
        <is>
          <t>政府机关</t>
        </is>
      </c>
      <c r="D949" s="6" t="inlineStr">
        <is>
          <t>HT20260805</t>
        </is>
      </c>
      <c r="E949" s="6" t="inlineStr">
        <is>
          <t>20260805</t>
        </is>
      </c>
      <c r="F949" s="10" t="n">
        <v>12.424</v>
      </c>
      <c r="G949" s="8" t="n"/>
      <c r="H949" s="10" t="n">
        <v>1.346</v>
      </c>
      <c r="I949" s="10" t="n">
        <v>11.078</v>
      </c>
      <c r="J949" s="10" t="n">
        <v>2.694</v>
      </c>
      <c r="K949" s="10" t="n">
        <v>8.384</v>
      </c>
      <c r="L949" s="8" t="inlineStr">
        <is>
          <t>一部</t>
        </is>
      </c>
      <c r="M949" s="8" t="inlineStr">
        <is>
          <t>陈静</t>
        </is>
      </c>
      <c r="N949" s="8" t="inlineStr">
        <is>
          <t>1-2年</t>
        </is>
      </c>
      <c r="O949" s="8" t="n"/>
    </row>
    <row r="950">
      <c r="A950" s="5" t="n">
        <v>948</v>
      </c>
      <c r="B950" s="5" t="inlineStr">
        <is>
          <t>华南-澳门</t>
        </is>
      </c>
      <c r="C950" s="5" t="inlineStr">
        <is>
          <t>党委机关</t>
        </is>
      </c>
      <c r="D950" s="6" t="inlineStr">
        <is>
          <t>HT20260805</t>
        </is>
      </c>
      <c r="E950" s="6" t="inlineStr">
        <is>
          <t>20260805</t>
        </is>
      </c>
      <c r="F950" s="10" t="n">
        <v>676.355</v>
      </c>
      <c r="G950" s="8" t="n"/>
      <c r="H950" s="10" t="n">
        <v>329.595</v>
      </c>
      <c r="I950" s="10" t="n">
        <v>346.76</v>
      </c>
      <c r="J950" s="10" t="n">
        <v>129.862</v>
      </c>
      <c r="K950" s="10" t="n">
        <v>216.898</v>
      </c>
      <c r="L950" s="8" t="inlineStr">
        <is>
          <t>六部</t>
        </is>
      </c>
      <c r="M950" s="8" t="inlineStr">
        <is>
          <t>董辉</t>
        </is>
      </c>
      <c r="N950" s="8" t="inlineStr">
        <is>
          <t>1-2年</t>
        </is>
      </c>
      <c r="O950" s="8" t="n"/>
    </row>
    <row r="951">
      <c r="A951" s="5" t="n">
        <v>949</v>
      </c>
      <c r="B951" s="5" t="inlineStr">
        <is>
          <t>华南-海南</t>
        </is>
      </c>
      <c r="C951" s="5" t="inlineStr">
        <is>
          <t>政府机关</t>
        </is>
      </c>
      <c r="D951" s="6" t="inlineStr">
        <is>
          <t>HT20260807</t>
        </is>
      </c>
      <c r="E951" s="6" t="inlineStr">
        <is>
          <t>20260303</t>
        </is>
      </c>
      <c r="F951" s="10" t="n">
        <v>797.415</v>
      </c>
      <c r="G951" s="8" t="n"/>
      <c r="H951" s="10" t="n">
        <v>278.289</v>
      </c>
      <c r="I951" s="10" t="n">
        <v>519.126</v>
      </c>
      <c r="J951" s="10" t="n">
        <v>10.043</v>
      </c>
      <c r="K951" s="10" t="n">
        <v>509.083</v>
      </c>
      <c r="L951" s="8" t="inlineStr">
        <is>
          <t>八部</t>
        </is>
      </c>
      <c r="M951" s="8" t="inlineStr">
        <is>
          <t>苏珊</t>
        </is>
      </c>
      <c r="N951" s="8" t="inlineStr">
        <is>
          <t>1年以内</t>
        </is>
      </c>
      <c r="O951" s="8" t="n"/>
    </row>
    <row r="952">
      <c r="A952" s="5" t="n">
        <v>950</v>
      </c>
      <c r="B952" s="5" t="inlineStr">
        <is>
          <t>华南-澳门</t>
        </is>
      </c>
      <c r="C952" s="5" t="inlineStr">
        <is>
          <t>人大政协</t>
        </is>
      </c>
      <c r="D952" s="6" t="inlineStr">
        <is>
          <t>HT20260807</t>
        </is>
      </c>
      <c r="E952" s="6" t="inlineStr">
        <is>
          <t>20260303</t>
        </is>
      </c>
      <c r="F952" s="10" t="n">
        <v>580.569</v>
      </c>
      <c r="G952" s="8" t="n"/>
      <c r="H952" s="10" t="n">
        <v>56.14</v>
      </c>
      <c r="I952" s="10" t="n">
        <v>524.429</v>
      </c>
      <c r="J952" s="10" t="n">
        <v>433.202</v>
      </c>
      <c r="K952" s="10" t="n">
        <v>91.227</v>
      </c>
      <c r="L952" s="8" t="inlineStr">
        <is>
          <t>二部</t>
        </is>
      </c>
      <c r="M952" s="8" t="inlineStr">
        <is>
          <t>杨磊</t>
        </is>
      </c>
      <c r="N952" s="8" t="inlineStr">
        <is>
          <t>1-2年</t>
        </is>
      </c>
      <c r="O952" s="8" t="n"/>
    </row>
    <row r="953">
      <c r="A953" s="5" t="n">
        <v>951</v>
      </c>
      <c r="B953" s="5" t="inlineStr">
        <is>
          <t>华东-上海</t>
        </is>
      </c>
      <c r="C953" s="5" t="inlineStr">
        <is>
          <t>群团组织</t>
        </is>
      </c>
      <c r="D953" s="6" t="inlineStr">
        <is>
          <t>HT20260807</t>
        </is>
      </c>
      <c r="E953" s="6" t="inlineStr">
        <is>
          <t>20260303</t>
        </is>
      </c>
      <c r="F953" s="10" t="n">
        <v>372.398</v>
      </c>
      <c r="G953" s="8" t="n"/>
      <c r="H953" s="10" t="n">
        <v>348.689</v>
      </c>
      <c r="I953" s="10" t="n">
        <v>23.709</v>
      </c>
      <c r="J953" s="10" t="n">
        <v>16.193</v>
      </c>
      <c r="K953" s="10" t="n">
        <v>7.516</v>
      </c>
      <c r="L953" s="8" t="inlineStr">
        <is>
          <t>九部</t>
        </is>
      </c>
      <c r="M953" s="8" t="inlineStr">
        <is>
          <t>丁磊</t>
        </is>
      </c>
      <c r="N953" s="8" t="inlineStr">
        <is>
          <t>2-3年</t>
        </is>
      </c>
      <c r="O953" s="8" t="n"/>
    </row>
    <row r="954">
      <c r="A954" s="5" t="n">
        <v>952</v>
      </c>
      <c r="B954" s="5" t="inlineStr">
        <is>
          <t>华东-上海</t>
        </is>
      </c>
      <c r="C954" s="5" t="inlineStr">
        <is>
          <t>群团组织</t>
        </is>
      </c>
      <c r="D954" s="6" t="inlineStr">
        <is>
          <t>HT20260808</t>
        </is>
      </c>
      <c r="E954" s="6" t="inlineStr">
        <is>
          <t>20260901</t>
        </is>
      </c>
      <c r="F954" s="10" t="n">
        <v>860.655</v>
      </c>
      <c r="G954" s="8" t="n"/>
      <c r="H954" s="10" t="n">
        <v>636.8049999999999</v>
      </c>
      <c r="I954" s="10" t="n">
        <v>223.85</v>
      </c>
      <c r="J954" s="10" t="n">
        <v>168.084</v>
      </c>
      <c r="K954" s="10" t="n">
        <v>55.766</v>
      </c>
      <c r="L954" s="8" t="inlineStr">
        <is>
          <t>十部</t>
        </is>
      </c>
      <c r="M954" s="8" t="inlineStr">
        <is>
          <t>阎莉</t>
        </is>
      </c>
      <c r="N954" s="8" t="inlineStr">
        <is>
          <t>1年以内</t>
        </is>
      </c>
      <c r="O954" s="8" t="n"/>
    </row>
    <row r="955">
      <c r="A955" s="5" t="n">
        <v>953</v>
      </c>
      <c r="B955" s="5" t="inlineStr">
        <is>
          <t>华北-北京</t>
        </is>
      </c>
      <c r="C955" s="5" t="inlineStr">
        <is>
          <t>监察司法机关</t>
        </is>
      </c>
      <c r="D955" s="6" t="inlineStr">
        <is>
          <t>HT20260809</t>
        </is>
      </c>
      <c r="E955" s="6" t="inlineStr">
        <is>
          <t>20260213</t>
        </is>
      </c>
      <c r="F955" s="10" t="n">
        <v>865.144</v>
      </c>
      <c r="G955" s="8" t="n"/>
      <c r="H955" s="10" t="n">
        <v>433.579</v>
      </c>
      <c r="I955" s="10" t="n">
        <v>431.565</v>
      </c>
      <c r="J955" s="10" t="n">
        <v>64.965</v>
      </c>
      <c r="K955" s="10" t="n">
        <v>366.6</v>
      </c>
      <c r="L955" s="8" t="inlineStr">
        <is>
          <t>二部</t>
        </is>
      </c>
      <c r="M955" s="8" t="inlineStr">
        <is>
          <t>黄强</t>
        </is>
      </c>
      <c r="N955" s="8" t="inlineStr">
        <is>
          <t>1年以内</t>
        </is>
      </c>
      <c r="O955" s="8" t="n"/>
    </row>
    <row r="956">
      <c r="A956" s="5" t="n">
        <v>954</v>
      </c>
      <c r="B956" s="5" t="inlineStr">
        <is>
          <t>东北-黑龙江</t>
        </is>
      </c>
      <c r="C956" s="5" t="inlineStr">
        <is>
          <t>人大政协</t>
        </is>
      </c>
      <c r="D956" s="6" t="inlineStr">
        <is>
          <t>HT20260810</t>
        </is>
      </c>
      <c r="E956" s="6" t="inlineStr">
        <is>
          <t>20260323</t>
        </is>
      </c>
      <c r="F956" s="10" t="n">
        <v>72.631</v>
      </c>
      <c r="G956" s="8" t="n"/>
      <c r="H956" s="10" t="n">
        <v>70.754</v>
      </c>
      <c r="I956" s="10" t="n">
        <v>1.877</v>
      </c>
      <c r="J956" s="10" t="n">
        <v>1.164</v>
      </c>
      <c r="K956" s="10" t="n">
        <v>0.713</v>
      </c>
      <c r="L956" s="8" t="inlineStr">
        <is>
          <t>二部</t>
        </is>
      </c>
      <c r="M956" s="8" t="inlineStr">
        <is>
          <t>黄强</t>
        </is>
      </c>
      <c r="N956" s="8" t="inlineStr">
        <is>
          <t>1-2年</t>
        </is>
      </c>
      <c r="O956" s="8" t="n"/>
    </row>
    <row r="957">
      <c r="A957" s="5" t="n">
        <v>955</v>
      </c>
      <c r="B957" s="5" t="inlineStr">
        <is>
          <t>华东-安徽</t>
        </is>
      </c>
      <c r="C957" s="5" t="inlineStr">
        <is>
          <t>人大政协</t>
        </is>
      </c>
      <c r="D957" s="6" t="inlineStr">
        <is>
          <t>HT20260811</t>
        </is>
      </c>
      <c r="E957" s="6" t="inlineStr">
        <is>
          <t>20260828</t>
        </is>
      </c>
      <c r="F957" s="10" t="n">
        <v>258.87</v>
      </c>
      <c r="G957" s="8" t="n"/>
      <c r="H957" s="10" t="n">
        <v>118.607</v>
      </c>
      <c r="I957" s="10" t="n">
        <v>140.263</v>
      </c>
      <c r="J957" s="10" t="n">
        <v>47.977</v>
      </c>
      <c r="K957" s="10" t="n">
        <v>92.286</v>
      </c>
      <c r="L957" s="8" t="inlineStr">
        <is>
          <t>五部</t>
        </is>
      </c>
      <c r="M957" s="8" t="inlineStr">
        <is>
          <t>郑浩</t>
        </is>
      </c>
      <c r="N957" s="8" t="inlineStr">
        <is>
          <t>2-3年</t>
        </is>
      </c>
      <c r="O957" s="8" t="n"/>
    </row>
    <row r="958">
      <c r="A958" s="5" t="n">
        <v>956</v>
      </c>
      <c r="B958" s="5" t="inlineStr">
        <is>
          <t>华东-台湾</t>
        </is>
      </c>
      <c r="C958" s="5" t="inlineStr">
        <is>
          <t>监察司法机关</t>
        </is>
      </c>
      <c r="D958" s="6" t="inlineStr">
        <is>
          <t>HT20260812</t>
        </is>
      </c>
      <c r="E958" s="6" t="inlineStr">
        <is>
          <t>20260111</t>
        </is>
      </c>
      <c r="F958" s="10" t="n">
        <v>4568.343</v>
      </c>
      <c r="G958" s="8" t="n"/>
      <c r="H958" s="10" t="n">
        <v>3760.223</v>
      </c>
      <c r="I958" s="10" t="n">
        <v>808.12</v>
      </c>
      <c r="J958" s="10" t="n">
        <v>670.399</v>
      </c>
      <c r="K958" s="10" t="n">
        <v>137.721</v>
      </c>
      <c r="L958" s="8" t="inlineStr">
        <is>
          <t>二部</t>
        </is>
      </c>
      <c r="M958" s="8" t="inlineStr">
        <is>
          <t>吴丽</t>
        </is>
      </c>
      <c r="N958" s="8" t="inlineStr">
        <is>
          <t>1-2年</t>
        </is>
      </c>
      <c r="O958" s="8" t="n"/>
    </row>
    <row r="959">
      <c r="A959" s="5" t="n">
        <v>957</v>
      </c>
      <c r="B959" s="5" t="inlineStr">
        <is>
          <t>华南-海南</t>
        </is>
      </c>
      <c r="C959" s="5" t="inlineStr">
        <is>
          <t>人大政协</t>
        </is>
      </c>
      <c r="D959" s="6" t="inlineStr">
        <is>
          <t>HT20260814</t>
        </is>
      </c>
      <c r="E959" s="6" t="inlineStr">
        <is>
          <t>20260121</t>
        </is>
      </c>
      <c r="F959" s="10" t="n">
        <v>314.909</v>
      </c>
      <c r="G959" s="8" t="n"/>
      <c r="H959" s="10" t="n">
        <v>11.886</v>
      </c>
      <c r="I959" s="10" t="n">
        <v>303.023</v>
      </c>
      <c r="J959" s="10" t="n">
        <v>170.484</v>
      </c>
      <c r="K959" s="10" t="n">
        <v>132.539</v>
      </c>
      <c r="L959" s="8" t="inlineStr">
        <is>
          <t>三部</t>
        </is>
      </c>
      <c r="M959" s="8" t="inlineStr">
        <is>
          <t>胡蓉</t>
        </is>
      </c>
      <c r="N959" s="8" t="inlineStr">
        <is>
          <t>1年以内</t>
        </is>
      </c>
      <c r="O959" s="8" t="n"/>
    </row>
    <row r="960">
      <c r="A960" s="5" t="n">
        <v>958</v>
      </c>
      <c r="B960" s="5" t="inlineStr">
        <is>
          <t>华东-安徽</t>
        </is>
      </c>
      <c r="C960" s="5" t="inlineStr">
        <is>
          <t>群团组织</t>
        </is>
      </c>
      <c r="D960" s="6" t="inlineStr">
        <is>
          <t>HT20260814</t>
        </is>
      </c>
      <c r="E960" s="6" t="inlineStr">
        <is>
          <t>20260121</t>
        </is>
      </c>
      <c r="F960" s="10" t="n">
        <v>840.799</v>
      </c>
      <c r="G960" s="8" t="n"/>
      <c r="H960" s="10" t="n">
        <v>293.31</v>
      </c>
      <c r="I960" s="10" t="n">
        <v>547.489</v>
      </c>
      <c r="J960" s="10" t="n">
        <v>130.18</v>
      </c>
      <c r="K960" s="10" t="n">
        <v>417.309</v>
      </c>
      <c r="L960" s="8" t="inlineStr">
        <is>
          <t>五部</t>
        </is>
      </c>
      <c r="M960" s="8" t="inlineStr">
        <is>
          <t>宋佳</t>
        </is>
      </c>
      <c r="N960" s="8" t="inlineStr">
        <is>
          <t>2-3年</t>
        </is>
      </c>
      <c r="O960" s="8" t="n"/>
    </row>
    <row r="961">
      <c r="A961" s="5" t="n">
        <v>959</v>
      </c>
      <c r="B961" s="5" t="inlineStr">
        <is>
          <t>华东-安徽</t>
        </is>
      </c>
      <c r="C961" s="5" t="inlineStr">
        <is>
          <t>监察司法机关</t>
        </is>
      </c>
      <c r="D961" s="6" t="inlineStr">
        <is>
          <t>HT20260814</t>
        </is>
      </c>
      <c r="E961" s="6" t="inlineStr">
        <is>
          <t>20260121</t>
        </is>
      </c>
      <c r="F961" s="10" t="n">
        <v>540.917</v>
      </c>
      <c r="G961" s="8" t="n"/>
      <c r="H961" s="10" t="n">
        <v>539.707</v>
      </c>
      <c r="I961" s="10" t="n">
        <v>1.21</v>
      </c>
      <c r="J961" s="10" t="n">
        <v>0.252</v>
      </c>
      <c r="K961" s="10" t="n">
        <v>0.958</v>
      </c>
      <c r="L961" s="8" t="inlineStr">
        <is>
          <t>七部</t>
        </is>
      </c>
      <c r="M961" s="8" t="inlineStr">
        <is>
          <t>傅蓉</t>
        </is>
      </c>
      <c r="N961" s="8" t="inlineStr">
        <is>
          <t>2-3年</t>
        </is>
      </c>
      <c r="O961" s="8" t="n"/>
    </row>
    <row r="962">
      <c r="A962" s="5" t="n">
        <v>960</v>
      </c>
      <c r="B962" s="5" t="inlineStr">
        <is>
          <t>东北-辽宁</t>
        </is>
      </c>
      <c r="C962" s="5" t="inlineStr">
        <is>
          <t>基层自治组织</t>
        </is>
      </c>
      <c r="D962" s="6" t="inlineStr">
        <is>
          <t>HT20260815</t>
        </is>
      </c>
      <c r="E962" s="6" t="inlineStr">
        <is>
          <t>20260528</t>
        </is>
      </c>
      <c r="F962" s="10" t="n">
        <v>863.211</v>
      </c>
      <c r="G962" s="8" t="n"/>
      <c r="H962" s="10" t="n">
        <v>58.76</v>
      </c>
      <c r="I962" s="10" t="n">
        <v>804.451</v>
      </c>
      <c r="J962" s="10" t="n">
        <v>304.111</v>
      </c>
      <c r="K962" s="10" t="n">
        <v>500.34</v>
      </c>
      <c r="L962" s="8" t="inlineStr">
        <is>
          <t>一部</t>
        </is>
      </c>
      <c r="M962" s="8" t="inlineStr">
        <is>
          <t>王芳</t>
        </is>
      </c>
      <c r="N962" s="8" t="inlineStr">
        <is>
          <t>1-2年</t>
        </is>
      </c>
      <c r="O962" s="8" t="n"/>
    </row>
    <row r="963">
      <c r="A963" s="5" t="n">
        <v>961</v>
      </c>
      <c r="B963" s="5" t="inlineStr">
        <is>
          <t>华北-山西</t>
        </is>
      </c>
      <c r="C963" s="5" t="inlineStr">
        <is>
          <t>群团组织</t>
        </is>
      </c>
      <c r="D963" s="6" t="inlineStr">
        <is>
          <t>HT20260816</t>
        </is>
      </c>
      <c r="E963" s="6" t="inlineStr">
        <is>
          <t>20260314</t>
        </is>
      </c>
      <c r="F963" s="10" t="n">
        <v>432.756</v>
      </c>
      <c r="G963" s="8" t="n"/>
      <c r="H963" s="10" t="n">
        <v>109.495</v>
      </c>
      <c r="I963" s="10" t="n">
        <v>323.261</v>
      </c>
      <c r="J963" s="10" t="n">
        <v>183.793</v>
      </c>
      <c r="K963" s="10" t="n">
        <v>139.468</v>
      </c>
      <c r="L963" s="8" t="inlineStr">
        <is>
          <t>八部</t>
        </is>
      </c>
      <c r="M963" s="8" t="inlineStr">
        <is>
          <t>曾辉</t>
        </is>
      </c>
      <c r="N963" s="8" t="inlineStr">
        <is>
          <t>1年以内</t>
        </is>
      </c>
      <c r="O963" s="8" t="n"/>
    </row>
    <row r="964">
      <c r="A964" s="5" t="n">
        <v>962</v>
      </c>
      <c r="B964" s="5" t="inlineStr">
        <is>
          <t>华北-天津</t>
        </is>
      </c>
      <c r="C964" s="5" t="inlineStr">
        <is>
          <t>国有企业</t>
        </is>
      </c>
      <c r="D964" s="6" t="inlineStr">
        <is>
          <t>HT20260817</t>
        </is>
      </c>
      <c r="E964" s="6" t="inlineStr">
        <is>
          <t>20260321</t>
        </is>
      </c>
      <c r="F964" s="10" t="n">
        <v>281.699</v>
      </c>
      <c r="G964" s="8" t="n"/>
      <c r="H964" s="10" t="n">
        <v>87.023</v>
      </c>
      <c r="I964" s="10" t="n">
        <v>194.676</v>
      </c>
      <c r="J964" s="10" t="n">
        <v>175.798</v>
      </c>
      <c r="K964" s="10" t="n">
        <v>18.878</v>
      </c>
      <c r="L964" s="8" t="inlineStr">
        <is>
          <t>四部</t>
        </is>
      </c>
      <c r="M964" s="8" t="inlineStr">
        <is>
          <t>高翔</t>
        </is>
      </c>
      <c r="N964" s="8" t="inlineStr">
        <is>
          <t>2-3年</t>
        </is>
      </c>
      <c r="O964" s="8" t="n"/>
    </row>
    <row r="965">
      <c r="A965" s="5" t="n">
        <v>963</v>
      </c>
      <c r="B965" s="5" t="inlineStr">
        <is>
          <t>华南-海南</t>
        </is>
      </c>
      <c r="C965" s="5" t="inlineStr">
        <is>
          <t>国有企业</t>
        </is>
      </c>
      <c r="D965" s="6" t="inlineStr">
        <is>
          <t>HT20260818</t>
        </is>
      </c>
      <c r="E965" s="6" t="inlineStr">
        <is>
          <t>20260727</t>
        </is>
      </c>
      <c r="F965" s="10" t="n">
        <v>462.297</v>
      </c>
      <c r="G965" s="8" t="n"/>
      <c r="H965" s="10" t="n">
        <v>27.979</v>
      </c>
      <c r="I965" s="10" t="n">
        <v>434.318</v>
      </c>
      <c r="J965" s="10" t="n">
        <v>133.852</v>
      </c>
      <c r="K965" s="10" t="n">
        <v>300.466</v>
      </c>
      <c r="L965" s="8" t="inlineStr">
        <is>
          <t>八部</t>
        </is>
      </c>
      <c r="M965" s="8" t="inlineStr">
        <is>
          <t>曾辉</t>
        </is>
      </c>
      <c r="N965" s="8" t="inlineStr">
        <is>
          <t>1-2年</t>
        </is>
      </c>
      <c r="O965" s="8" t="n"/>
    </row>
    <row r="966">
      <c r="A966" s="5" t="n">
        <v>964</v>
      </c>
      <c r="B966" s="5" t="inlineStr">
        <is>
          <t>西南-云南</t>
        </is>
      </c>
      <c r="C966" s="5" t="inlineStr">
        <is>
          <t>群团组织</t>
        </is>
      </c>
      <c r="D966" s="6" t="inlineStr">
        <is>
          <t>HT20260818</t>
        </is>
      </c>
      <c r="E966" s="6" t="inlineStr">
        <is>
          <t>20260727</t>
        </is>
      </c>
      <c r="F966" s="10" t="n">
        <v>409.218</v>
      </c>
      <c r="G966" s="8" t="n"/>
      <c r="H966" s="10" t="n">
        <v>316.427</v>
      </c>
      <c r="I966" s="10" t="n">
        <v>92.791</v>
      </c>
      <c r="J966" s="10" t="n">
        <v>69.13800000000001</v>
      </c>
      <c r="K966" s="10" t="n">
        <v>23.653</v>
      </c>
      <c r="L966" s="8" t="inlineStr">
        <is>
          <t>二部</t>
        </is>
      </c>
      <c r="M966" s="8" t="inlineStr">
        <is>
          <t>吴丽</t>
        </is>
      </c>
      <c r="N966" s="8" t="inlineStr">
        <is>
          <t>2-3年</t>
        </is>
      </c>
      <c r="O966" s="8" t="n"/>
    </row>
    <row r="967">
      <c r="A967" s="5" t="n">
        <v>965</v>
      </c>
      <c r="B967" s="5" t="inlineStr">
        <is>
          <t>华北-山西</t>
        </is>
      </c>
      <c r="C967" s="5" t="inlineStr">
        <is>
          <t>群团组织</t>
        </is>
      </c>
      <c r="D967" s="6" t="inlineStr">
        <is>
          <t>HT20260820</t>
        </is>
      </c>
      <c r="E967" s="6" t="inlineStr">
        <is>
          <t>20260708</t>
        </is>
      </c>
      <c r="F967" s="10" t="n">
        <v>677.381</v>
      </c>
      <c r="G967" s="8" t="n"/>
      <c r="H967" s="10" t="n">
        <v>349.044</v>
      </c>
      <c r="I967" s="10" t="n">
        <v>328.337</v>
      </c>
      <c r="J967" s="10" t="n">
        <v>81.36199999999999</v>
      </c>
      <c r="K967" s="10" t="n">
        <v>246.975</v>
      </c>
      <c r="L967" s="8" t="inlineStr">
        <is>
          <t>五部</t>
        </is>
      </c>
      <c r="M967" s="8" t="inlineStr">
        <is>
          <t>宋佳</t>
        </is>
      </c>
      <c r="N967" s="8" t="inlineStr">
        <is>
          <t>1年以内</t>
        </is>
      </c>
      <c r="O967" s="8" t="n"/>
    </row>
    <row r="968">
      <c r="A968" s="5" t="n">
        <v>966</v>
      </c>
      <c r="B968" s="5" t="inlineStr">
        <is>
          <t>华东-台湾</t>
        </is>
      </c>
      <c r="C968" s="5" t="inlineStr">
        <is>
          <t>政府机关</t>
        </is>
      </c>
      <c r="D968" s="6" t="inlineStr">
        <is>
          <t>HT20260823</t>
        </is>
      </c>
      <c r="E968" s="6" t="inlineStr">
        <is>
          <t>20260514</t>
        </is>
      </c>
      <c r="F968" s="10" t="n">
        <v>822.9880000000001</v>
      </c>
      <c r="G968" s="8" t="n"/>
      <c r="H968" s="10" t="n">
        <v>627.913</v>
      </c>
      <c r="I968" s="10" t="n">
        <v>195.075</v>
      </c>
      <c r="J968" s="10" t="n">
        <v>126.971</v>
      </c>
      <c r="K968" s="10" t="n">
        <v>68.104</v>
      </c>
      <c r="L968" s="8" t="inlineStr">
        <is>
          <t>二部</t>
        </is>
      </c>
      <c r="M968" s="8" t="inlineStr">
        <is>
          <t>黄强</t>
        </is>
      </c>
      <c r="N968" s="8" t="inlineStr">
        <is>
          <t>1-2年</t>
        </is>
      </c>
      <c r="O968" s="8" t="n"/>
    </row>
    <row r="969">
      <c r="A969" s="5" t="n">
        <v>967</v>
      </c>
      <c r="B969" s="5" t="inlineStr">
        <is>
          <t>华东-上海</t>
        </is>
      </c>
      <c r="C969" s="5" t="inlineStr">
        <is>
          <t>党委机关</t>
        </is>
      </c>
      <c r="D969" s="6" t="inlineStr">
        <is>
          <t>HT20260823</t>
        </is>
      </c>
      <c r="E969" s="6" t="inlineStr">
        <is>
          <t>20260514</t>
        </is>
      </c>
      <c r="F969" s="10" t="n">
        <v>904.394</v>
      </c>
      <c r="G969" s="8" t="n"/>
      <c r="H969" s="10" t="n">
        <v>875.861</v>
      </c>
      <c r="I969" s="10" t="n">
        <v>28.533</v>
      </c>
      <c r="J969" s="10" t="n">
        <v>9.358000000000001</v>
      </c>
      <c r="K969" s="10" t="n">
        <v>19.175</v>
      </c>
      <c r="L969" s="8" t="inlineStr">
        <is>
          <t>九部</t>
        </is>
      </c>
      <c r="M969" s="8" t="inlineStr">
        <is>
          <t>蔡明</t>
        </is>
      </c>
      <c r="N969" s="8" t="inlineStr">
        <is>
          <t>1年以内</t>
        </is>
      </c>
      <c r="O969" s="8" t="n"/>
    </row>
    <row r="970">
      <c r="A970" s="5" t="n">
        <v>968</v>
      </c>
      <c r="B970" s="5" t="inlineStr">
        <is>
          <t>东北-吉林</t>
        </is>
      </c>
      <c r="C970" s="5" t="inlineStr">
        <is>
          <t>党委机关</t>
        </is>
      </c>
      <c r="D970" s="6" t="inlineStr">
        <is>
          <t>HT20260824</t>
        </is>
      </c>
      <c r="E970" s="6" t="inlineStr">
        <is>
          <t>20260128</t>
        </is>
      </c>
      <c r="F970" s="10" t="n">
        <v>206.622</v>
      </c>
      <c r="G970" s="8" t="n"/>
      <c r="H970" s="10" t="n">
        <v>194.52</v>
      </c>
      <c r="I970" s="10" t="n">
        <v>12.102</v>
      </c>
      <c r="J970" s="10" t="n">
        <v>10.135</v>
      </c>
      <c r="K970" s="10" t="n">
        <v>1.967</v>
      </c>
      <c r="L970" s="8" t="inlineStr">
        <is>
          <t>五部</t>
        </is>
      </c>
      <c r="M970" s="8" t="inlineStr">
        <is>
          <t>谢峰</t>
        </is>
      </c>
      <c r="N970" s="8" t="inlineStr">
        <is>
          <t>1年以内</t>
        </is>
      </c>
      <c r="O970" s="8" t="n"/>
    </row>
    <row r="971">
      <c r="A971" s="5" t="n">
        <v>969</v>
      </c>
      <c r="B971" s="5" t="inlineStr">
        <is>
          <t>西北-新疆</t>
        </is>
      </c>
      <c r="C971" s="5" t="inlineStr">
        <is>
          <t>国有企业</t>
        </is>
      </c>
      <c r="D971" s="6" t="inlineStr">
        <is>
          <t>HT20260824</t>
        </is>
      </c>
      <c r="E971" s="6" t="inlineStr">
        <is>
          <t>20260128</t>
        </is>
      </c>
      <c r="F971" s="10" t="n">
        <v>144.235</v>
      </c>
      <c r="G971" s="8" t="n"/>
      <c r="H971" s="10" t="n">
        <v>58.476</v>
      </c>
      <c r="I971" s="10" t="n">
        <v>85.759</v>
      </c>
      <c r="J971" s="10" t="n">
        <v>85.11799999999999</v>
      </c>
      <c r="K971" s="10" t="n">
        <v>0.641</v>
      </c>
      <c r="L971" s="8" t="inlineStr">
        <is>
          <t>三部</t>
        </is>
      </c>
      <c r="M971" s="8" t="inlineStr">
        <is>
          <t>马超</t>
        </is>
      </c>
      <c r="N971" s="8" t="inlineStr">
        <is>
          <t>1-2年</t>
        </is>
      </c>
      <c r="O971" s="8" t="n"/>
    </row>
    <row r="972">
      <c r="A972" s="5" t="n">
        <v>970</v>
      </c>
      <c r="B972" s="5" t="inlineStr">
        <is>
          <t>华东-安徽</t>
        </is>
      </c>
      <c r="C972" s="5" t="inlineStr">
        <is>
          <t>事业单位</t>
        </is>
      </c>
      <c r="D972" s="6" t="inlineStr">
        <is>
          <t>HT20260824</t>
        </is>
      </c>
      <c r="E972" s="6" t="inlineStr">
        <is>
          <t>20260128</t>
        </is>
      </c>
      <c r="F972" s="10" t="n">
        <v>616.338</v>
      </c>
      <c r="G972" s="8" t="n"/>
      <c r="H972" s="10" t="n">
        <v>251.681</v>
      </c>
      <c r="I972" s="10" t="n">
        <v>364.657</v>
      </c>
      <c r="J972" s="10" t="n">
        <v>330.682</v>
      </c>
      <c r="K972" s="10" t="n">
        <v>33.975</v>
      </c>
      <c r="L972" s="8" t="inlineStr">
        <is>
          <t>十部</t>
        </is>
      </c>
      <c r="M972" s="8" t="inlineStr">
        <is>
          <t>段勇</t>
        </is>
      </c>
      <c r="N972" s="8" t="inlineStr">
        <is>
          <t>1-2年</t>
        </is>
      </c>
      <c r="O972" s="8" t="n"/>
    </row>
    <row r="973">
      <c r="A973" s="5" t="n">
        <v>971</v>
      </c>
      <c r="B973" s="5" t="inlineStr">
        <is>
          <t>华中-湖南</t>
        </is>
      </c>
      <c r="C973" s="5" t="inlineStr">
        <is>
          <t>群团组织</t>
        </is>
      </c>
      <c r="D973" s="6" t="inlineStr">
        <is>
          <t>HT20260824</t>
        </is>
      </c>
      <c r="E973" s="6" t="inlineStr">
        <is>
          <t>20260128</t>
        </is>
      </c>
      <c r="F973" s="10" t="n">
        <v>555.758</v>
      </c>
      <c r="G973" s="8" t="n"/>
      <c r="H973" s="10" t="n">
        <v>217.44</v>
      </c>
      <c r="I973" s="10" t="n">
        <v>338.318</v>
      </c>
      <c r="J973" s="10" t="n">
        <v>278.649</v>
      </c>
      <c r="K973" s="10" t="n">
        <v>59.669</v>
      </c>
      <c r="L973" s="8" t="inlineStr">
        <is>
          <t>三部</t>
        </is>
      </c>
      <c r="M973" s="8" t="inlineStr">
        <is>
          <t>胡蓉</t>
        </is>
      </c>
      <c r="N973" s="8" t="inlineStr">
        <is>
          <t>2-3年</t>
        </is>
      </c>
      <c r="O973" s="8" t="n"/>
    </row>
    <row r="974">
      <c r="A974" s="5" t="n">
        <v>972</v>
      </c>
      <c r="B974" s="5" t="inlineStr">
        <is>
          <t>华东-浙江</t>
        </is>
      </c>
      <c r="C974" s="5" t="inlineStr">
        <is>
          <t>国有企业</t>
        </is>
      </c>
      <c r="D974" s="6" t="inlineStr">
        <is>
          <t>HT20260825</t>
        </is>
      </c>
      <c r="E974" s="6" t="inlineStr">
        <is>
          <t>20260421</t>
        </is>
      </c>
      <c r="F974" s="10" t="n">
        <v>11.556</v>
      </c>
      <c r="G974" s="8" t="n"/>
      <c r="H974" s="10" t="n">
        <v>11.497</v>
      </c>
      <c r="I974" s="10" t="n">
        <v>0.059</v>
      </c>
      <c r="J974" s="10" t="n">
        <v>0.043</v>
      </c>
      <c r="K974" s="10" t="n">
        <v>0.016</v>
      </c>
      <c r="L974" s="8" t="inlineStr">
        <is>
          <t>三部</t>
        </is>
      </c>
      <c r="M974" s="8" t="inlineStr">
        <is>
          <t>孙艳</t>
        </is>
      </c>
      <c r="N974" s="8" t="inlineStr">
        <is>
          <t>2-3年</t>
        </is>
      </c>
      <c r="O974" s="8" t="n"/>
    </row>
    <row r="975">
      <c r="A975" s="5" t="n">
        <v>973</v>
      </c>
      <c r="B975" s="5" t="inlineStr">
        <is>
          <t>华北-河北</t>
        </is>
      </c>
      <c r="C975" s="5" t="inlineStr">
        <is>
          <t>事业单位</t>
        </is>
      </c>
      <c r="D975" s="6" t="inlineStr">
        <is>
          <t>HT20260825</t>
        </is>
      </c>
      <c r="E975" s="6" t="inlineStr">
        <is>
          <t>20260421</t>
        </is>
      </c>
      <c r="F975" s="10" t="n">
        <v>482.808</v>
      </c>
      <c r="G975" s="8" t="n"/>
      <c r="H975" s="10" t="n">
        <v>420.018</v>
      </c>
      <c r="I975" s="10" t="n">
        <v>62.79</v>
      </c>
      <c r="J975" s="10" t="n">
        <v>26.529</v>
      </c>
      <c r="K975" s="10" t="n">
        <v>36.261</v>
      </c>
      <c r="L975" s="8" t="inlineStr">
        <is>
          <t>八部</t>
        </is>
      </c>
      <c r="M975" s="8" t="inlineStr">
        <is>
          <t>吕强</t>
        </is>
      </c>
      <c r="N975" s="8" t="inlineStr">
        <is>
          <t>2-3年</t>
        </is>
      </c>
      <c r="O975" s="8" t="n"/>
    </row>
    <row r="976">
      <c r="A976" s="5" t="n">
        <v>974</v>
      </c>
      <c r="B976" s="5" t="inlineStr">
        <is>
          <t>华中-河南</t>
        </is>
      </c>
      <c r="C976" s="5" t="inlineStr">
        <is>
          <t>基层自治组织</t>
        </is>
      </c>
      <c r="D976" s="6" t="inlineStr">
        <is>
          <t>HT20260825</t>
        </is>
      </c>
      <c r="E976" s="6" t="inlineStr">
        <is>
          <t>20260421</t>
        </is>
      </c>
      <c r="F976" s="10" t="n">
        <v>340.856</v>
      </c>
      <c r="G976" s="8" t="n"/>
      <c r="H976" s="10" t="n">
        <v>87.11</v>
      </c>
      <c r="I976" s="10" t="n">
        <v>253.746</v>
      </c>
      <c r="J976" s="10" t="n">
        <v>199.78</v>
      </c>
      <c r="K976" s="10" t="n">
        <v>53.966</v>
      </c>
      <c r="L976" s="8" t="inlineStr">
        <is>
          <t>七部</t>
        </is>
      </c>
      <c r="M976" s="8" t="inlineStr">
        <is>
          <t>邓丽</t>
        </is>
      </c>
      <c r="N976" s="8" t="inlineStr">
        <is>
          <t>1年以内</t>
        </is>
      </c>
      <c r="O976" s="8" t="n"/>
    </row>
    <row r="977">
      <c r="A977" s="5" t="n">
        <v>975</v>
      </c>
      <c r="B977" s="5" t="inlineStr">
        <is>
          <t>华南-海南</t>
        </is>
      </c>
      <c r="C977" s="5" t="inlineStr">
        <is>
          <t>人大政协</t>
        </is>
      </c>
      <c r="D977" s="6" t="inlineStr">
        <is>
          <t>HT20260826</t>
        </is>
      </c>
      <c r="E977" s="6" t="inlineStr">
        <is>
          <t>20260905</t>
        </is>
      </c>
      <c r="F977" s="10" t="n">
        <v>5182.657</v>
      </c>
      <c r="G977" s="8" t="n"/>
      <c r="H977" s="10" t="n">
        <v>921.169</v>
      </c>
      <c r="I977" s="10" t="n">
        <v>4261.488</v>
      </c>
      <c r="J977" s="10" t="n">
        <v>782.1559999999999</v>
      </c>
      <c r="K977" s="10" t="n">
        <v>3479.332</v>
      </c>
      <c r="L977" s="8" t="inlineStr">
        <is>
          <t>九部</t>
        </is>
      </c>
      <c r="M977" s="8" t="inlineStr">
        <is>
          <t>魏红</t>
        </is>
      </c>
      <c r="N977" s="8" t="inlineStr">
        <is>
          <t>1-2年</t>
        </is>
      </c>
      <c r="O977" s="8" t="n"/>
    </row>
    <row r="978">
      <c r="A978" s="5" t="n">
        <v>976</v>
      </c>
      <c r="B978" s="5" t="inlineStr">
        <is>
          <t>东北-辽宁</t>
        </is>
      </c>
      <c r="C978" s="5" t="inlineStr">
        <is>
          <t>党委机关</t>
        </is>
      </c>
      <c r="D978" s="6" t="inlineStr">
        <is>
          <t>HT20260827</t>
        </is>
      </c>
      <c r="E978" s="6" t="inlineStr">
        <is>
          <t>20260707</t>
        </is>
      </c>
      <c r="F978" s="10" t="n">
        <v>242.678</v>
      </c>
      <c r="G978" s="8" t="n"/>
      <c r="H978" s="10" t="n">
        <v>34.787</v>
      </c>
      <c r="I978" s="10" t="n">
        <v>207.891</v>
      </c>
      <c r="J978" s="10" t="n">
        <v>163.452</v>
      </c>
      <c r="K978" s="10" t="n">
        <v>44.439</v>
      </c>
      <c r="L978" s="8" t="inlineStr">
        <is>
          <t>九部</t>
        </is>
      </c>
      <c r="M978" s="8" t="inlineStr">
        <is>
          <t>魏红</t>
        </is>
      </c>
      <c r="N978" s="8" t="inlineStr">
        <is>
          <t>2-3年</t>
        </is>
      </c>
      <c r="O978" s="8" t="n"/>
    </row>
    <row r="979">
      <c r="A979" s="5" t="n">
        <v>977</v>
      </c>
      <c r="B979" s="5" t="inlineStr">
        <is>
          <t>华东-台湾</t>
        </is>
      </c>
      <c r="C979" s="5" t="inlineStr">
        <is>
          <t>国有企业</t>
        </is>
      </c>
      <c r="D979" s="6" t="inlineStr">
        <is>
          <t>HT20260827</t>
        </is>
      </c>
      <c r="E979" s="6" t="inlineStr">
        <is>
          <t>20260707</t>
        </is>
      </c>
      <c r="F979" s="10" t="n">
        <v>902.0309999999999</v>
      </c>
      <c r="G979" s="8" t="n"/>
      <c r="H979" s="10" t="n">
        <v>174.29</v>
      </c>
      <c r="I979" s="10" t="n">
        <v>727.741</v>
      </c>
      <c r="J979" s="10" t="n">
        <v>170.807</v>
      </c>
      <c r="K979" s="10" t="n">
        <v>556.934</v>
      </c>
      <c r="L979" s="8" t="inlineStr">
        <is>
          <t>六部</t>
        </is>
      </c>
      <c r="M979" s="8" t="inlineStr">
        <is>
          <t>程琳</t>
        </is>
      </c>
      <c r="N979" s="8" t="inlineStr">
        <is>
          <t>2-3年</t>
        </is>
      </c>
      <c r="O979" s="8" t="n"/>
    </row>
    <row r="980">
      <c r="A980" s="5" t="n">
        <v>978</v>
      </c>
      <c r="B980" s="5" t="inlineStr">
        <is>
          <t>西北-陕西</t>
        </is>
      </c>
      <c r="C980" s="5" t="inlineStr">
        <is>
          <t>监察司法机关</t>
        </is>
      </c>
      <c r="D980" s="6" t="inlineStr">
        <is>
          <t>HT20260828</t>
        </is>
      </c>
      <c r="E980" s="6" t="inlineStr">
        <is>
          <t>20260112</t>
        </is>
      </c>
      <c r="F980" s="10" t="n">
        <v>20.332</v>
      </c>
      <c r="G980" s="8" t="n"/>
      <c r="H980" s="10" t="n">
        <v>6.024</v>
      </c>
      <c r="I980" s="10" t="n">
        <v>14.308</v>
      </c>
      <c r="J980" s="10" t="n">
        <v>12.707</v>
      </c>
      <c r="K980" s="10" t="n">
        <v>1.601</v>
      </c>
      <c r="L980" s="8" t="inlineStr">
        <is>
          <t>七部</t>
        </is>
      </c>
      <c r="M980" s="8" t="inlineStr">
        <is>
          <t>邓丽</t>
        </is>
      </c>
      <c r="N980" s="8" t="inlineStr">
        <is>
          <t>2-3年</t>
        </is>
      </c>
      <c r="O980" s="8" t="n"/>
    </row>
    <row r="981">
      <c r="A981" s="5" t="n">
        <v>979</v>
      </c>
      <c r="B981" s="5" t="inlineStr">
        <is>
          <t>西北-新疆</t>
        </is>
      </c>
      <c r="C981" s="5" t="inlineStr">
        <is>
          <t>人大政协</t>
        </is>
      </c>
      <c r="D981" s="6" t="inlineStr">
        <is>
          <t>HT20260828</t>
        </is>
      </c>
      <c r="E981" s="6" t="inlineStr">
        <is>
          <t>20260112</t>
        </is>
      </c>
      <c r="F981" s="10" t="n">
        <v>491.291</v>
      </c>
      <c r="G981" s="8" t="n"/>
      <c r="H981" s="10" t="n">
        <v>358.041</v>
      </c>
      <c r="I981" s="10" t="n">
        <v>133.25</v>
      </c>
      <c r="J981" s="10" t="n">
        <v>15.521</v>
      </c>
      <c r="K981" s="10" t="n">
        <v>117.729</v>
      </c>
      <c r="L981" s="8" t="inlineStr">
        <is>
          <t>六部</t>
        </is>
      </c>
      <c r="M981" s="8" t="inlineStr">
        <is>
          <t>曹阳</t>
        </is>
      </c>
      <c r="N981" s="8" t="inlineStr">
        <is>
          <t>1年以内</t>
        </is>
      </c>
      <c r="O981" s="8" t="n"/>
    </row>
    <row r="982">
      <c r="A982" s="5" t="n">
        <v>980</v>
      </c>
      <c r="B982" s="5" t="inlineStr">
        <is>
          <t>华南-广东</t>
        </is>
      </c>
      <c r="C982" s="5" t="inlineStr">
        <is>
          <t>人大政协</t>
        </is>
      </c>
      <c r="D982" s="6" t="inlineStr">
        <is>
          <t>HT20260830</t>
        </is>
      </c>
      <c r="E982" s="6" t="inlineStr">
        <is>
          <t>20260422</t>
        </is>
      </c>
      <c r="F982" s="10" t="n">
        <v>95.869</v>
      </c>
      <c r="G982" s="8" t="n"/>
      <c r="H982" s="10" t="n">
        <v>61.265</v>
      </c>
      <c r="I982" s="10" t="n">
        <v>34.604</v>
      </c>
      <c r="J982" s="10" t="n">
        <v>28.26</v>
      </c>
      <c r="K982" s="10" t="n">
        <v>6.344</v>
      </c>
      <c r="L982" s="8" t="inlineStr">
        <is>
          <t>四部</t>
        </is>
      </c>
      <c r="M982" s="8" t="inlineStr">
        <is>
          <t>郭鹏</t>
        </is>
      </c>
      <c r="N982" s="8" t="inlineStr">
        <is>
          <t>2-3年</t>
        </is>
      </c>
      <c r="O982" s="8" t="n"/>
    </row>
    <row r="983">
      <c r="A983" s="5" t="n">
        <v>981</v>
      </c>
      <c r="B983" s="5" t="inlineStr">
        <is>
          <t>华东-山东</t>
        </is>
      </c>
      <c r="C983" s="5" t="inlineStr">
        <is>
          <t>人大政协</t>
        </is>
      </c>
      <c r="D983" s="6" t="inlineStr">
        <is>
          <t>HT20260831</t>
        </is>
      </c>
      <c r="E983" s="6" t="inlineStr">
        <is>
          <t>20260619</t>
        </is>
      </c>
      <c r="F983" s="10" t="n">
        <v>850.523</v>
      </c>
      <c r="G983" s="8" t="n"/>
      <c r="H983" s="10" t="n">
        <v>557.518</v>
      </c>
      <c r="I983" s="10" t="n">
        <v>293.005</v>
      </c>
      <c r="J983" s="10" t="n">
        <v>134.586</v>
      </c>
      <c r="K983" s="10" t="n">
        <v>158.419</v>
      </c>
      <c r="L983" s="8" t="inlineStr">
        <is>
          <t>十部</t>
        </is>
      </c>
      <c r="M983" s="8" t="inlineStr">
        <is>
          <t>雷声</t>
        </is>
      </c>
      <c r="N983" s="8" t="inlineStr">
        <is>
          <t>2-3年</t>
        </is>
      </c>
      <c r="O983" s="8" t="n"/>
    </row>
    <row r="984">
      <c r="A984" s="5" t="n">
        <v>982</v>
      </c>
      <c r="B984" s="5" t="inlineStr">
        <is>
          <t>华东-安徽</t>
        </is>
      </c>
      <c r="C984" s="5" t="inlineStr">
        <is>
          <t>群团组织</t>
        </is>
      </c>
      <c r="D984" s="6" t="inlineStr">
        <is>
          <t>HT20260831</t>
        </is>
      </c>
      <c r="E984" s="6" t="inlineStr">
        <is>
          <t>20260619</t>
        </is>
      </c>
      <c r="F984" s="10" t="n">
        <v>418.843</v>
      </c>
      <c r="G984" s="8" t="n"/>
      <c r="H984" s="10" t="n">
        <v>347.91</v>
      </c>
      <c r="I984" s="10" t="n">
        <v>70.93300000000001</v>
      </c>
      <c r="J984" s="10" t="n">
        <v>34.393</v>
      </c>
      <c r="K984" s="10" t="n">
        <v>36.54</v>
      </c>
      <c r="L984" s="8" t="inlineStr">
        <is>
          <t>五部</t>
        </is>
      </c>
      <c r="M984" s="8" t="inlineStr">
        <is>
          <t>梁雪</t>
        </is>
      </c>
      <c r="N984" s="8" t="inlineStr">
        <is>
          <t>2-3年</t>
        </is>
      </c>
      <c r="O984" s="8" t="n"/>
    </row>
    <row r="985">
      <c r="A985" s="5" t="n">
        <v>983</v>
      </c>
      <c r="B985" s="5" t="inlineStr">
        <is>
          <t>华北-河北</t>
        </is>
      </c>
      <c r="C985" s="5" t="inlineStr">
        <is>
          <t>基层自治组织</t>
        </is>
      </c>
      <c r="D985" s="6" t="inlineStr">
        <is>
          <t>HT20260902</t>
        </is>
      </c>
      <c r="E985" s="6" t="inlineStr">
        <is>
          <t>20260422</t>
        </is>
      </c>
      <c r="F985" s="10" t="n">
        <v>925.277</v>
      </c>
      <c r="G985" s="8" t="n"/>
      <c r="H985" s="10" t="n">
        <v>902.846</v>
      </c>
      <c r="I985" s="10" t="n">
        <v>22.431</v>
      </c>
      <c r="J985" s="10" t="n">
        <v>12.392</v>
      </c>
      <c r="K985" s="10" t="n">
        <v>10.039</v>
      </c>
      <c r="L985" s="8" t="inlineStr">
        <is>
          <t>四部</t>
        </is>
      </c>
      <c r="M985" s="8" t="inlineStr">
        <is>
          <t>罗刚</t>
        </is>
      </c>
      <c r="N985" s="8" t="inlineStr">
        <is>
          <t>2-3年</t>
        </is>
      </c>
      <c r="O985" s="8" t="n"/>
    </row>
    <row r="986">
      <c r="A986" s="5" t="n">
        <v>984</v>
      </c>
      <c r="B986" s="5" t="inlineStr">
        <is>
          <t>华东-山东</t>
        </is>
      </c>
      <c r="C986" s="5" t="inlineStr">
        <is>
          <t>人大政协</t>
        </is>
      </c>
      <c r="D986" s="6" t="inlineStr">
        <is>
          <t>HT20260903</t>
        </is>
      </c>
      <c r="E986" s="6" t="inlineStr">
        <is>
          <t>20260721</t>
        </is>
      </c>
      <c r="F986" s="10" t="n">
        <v>305.563</v>
      </c>
      <c r="G986" s="8" t="n"/>
      <c r="H986" s="10" t="n">
        <v>107.8</v>
      </c>
      <c r="I986" s="10" t="n">
        <v>197.763</v>
      </c>
      <c r="J986" s="10" t="n">
        <v>79.117</v>
      </c>
      <c r="K986" s="10" t="n">
        <v>118.646</v>
      </c>
      <c r="L986" s="8" t="inlineStr">
        <is>
          <t>九部</t>
        </is>
      </c>
      <c r="M986" s="8" t="inlineStr">
        <is>
          <t>丁磊</t>
        </is>
      </c>
      <c r="N986" s="8" t="inlineStr">
        <is>
          <t>1年以内</t>
        </is>
      </c>
      <c r="O986" s="8" t="inlineStr">
        <is>
          <t>产品不合格</t>
        </is>
      </c>
    </row>
    <row r="987">
      <c r="A987" s="5" t="n">
        <v>985</v>
      </c>
      <c r="B987" s="5" t="inlineStr">
        <is>
          <t>西北-青海</t>
        </is>
      </c>
      <c r="C987" s="5" t="inlineStr">
        <is>
          <t>监察司法机关</t>
        </is>
      </c>
      <c r="D987" s="6" t="inlineStr">
        <is>
          <t>HT20260905</t>
        </is>
      </c>
      <c r="E987" s="6" t="inlineStr">
        <is>
          <t>20260218</t>
        </is>
      </c>
      <c r="F987" s="10" t="n">
        <v>61.168</v>
      </c>
      <c r="G987" s="8" t="n"/>
      <c r="H987" s="10" t="n">
        <v>53.614</v>
      </c>
      <c r="I987" s="10" t="n">
        <v>7.554</v>
      </c>
      <c r="J987" s="10" t="n">
        <v>0.859</v>
      </c>
      <c r="K987" s="10" t="n">
        <v>6.695</v>
      </c>
      <c r="L987" s="8" t="inlineStr">
        <is>
          <t>八部</t>
        </is>
      </c>
      <c r="M987" s="8" t="inlineStr">
        <is>
          <t>苏珊</t>
        </is>
      </c>
      <c r="N987" s="8" t="inlineStr">
        <is>
          <t>1年以内</t>
        </is>
      </c>
      <c r="O987" s="8" t="n"/>
    </row>
    <row r="988">
      <c r="A988" s="5" t="n">
        <v>986</v>
      </c>
      <c r="B988" s="5" t="inlineStr">
        <is>
          <t>华东-浙江</t>
        </is>
      </c>
      <c r="C988" s="5" t="inlineStr">
        <is>
          <t>事业单位</t>
        </is>
      </c>
      <c r="D988" s="6" t="inlineStr">
        <is>
          <t>HT20260905</t>
        </is>
      </c>
      <c r="E988" s="6" t="inlineStr">
        <is>
          <t>20260218</t>
        </is>
      </c>
      <c r="F988" s="10" t="n">
        <v>7607.343</v>
      </c>
      <c r="G988" s="8" t="n"/>
      <c r="H988" s="10" t="n">
        <v>4877.941</v>
      </c>
      <c r="I988" s="10" t="n">
        <v>2729.402</v>
      </c>
      <c r="J988" s="10" t="n">
        <v>2026.71</v>
      </c>
      <c r="K988" s="10" t="n">
        <v>702.692</v>
      </c>
      <c r="L988" s="8" t="inlineStr">
        <is>
          <t>六部</t>
        </is>
      </c>
      <c r="M988" s="8" t="inlineStr">
        <is>
          <t>董辉</t>
        </is>
      </c>
      <c r="N988" s="8" t="inlineStr">
        <is>
          <t>1-2年</t>
        </is>
      </c>
      <c r="O988" s="8" t="n"/>
    </row>
    <row r="989">
      <c r="A989" s="5" t="n">
        <v>987</v>
      </c>
      <c r="B989" s="5" t="inlineStr">
        <is>
          <t>西南-西藏</t>
        </is>
      </c>
      <c r="C989" s="5" t="inlineStr">
        <is>
          <t>人大政协</t>
        </is>
      </c>
      <c r="D989" s="6" t="inlineStr">
        <is>
          <t>HT20260906</t>
        </is>
      </c>
      <c r="E989" s="6" t="inlineStr">
        <is>
          <t>20260627</t>
        </is>
      </c>
      <c r="F989" s="10" t="n">
        <v>300.428</v>
      </c>
      <c r="G989" s="8" t="n"/>
      <c r="H989" s="10" t="n">
        <v>295.689</v>
      </c>
      <c r="I989" s="10" t="n">
        <v>4.739</v>
      </c>
      <c r="J989" s="10" t="n">
        <v>0.461</v>
      </c>
      <c r="K989" s="10" t="n">
        <v>4.278</v>
      </c>
      <c r="L989" s="8" t="inlineStr">
        <is>
          <t>八部</t>
        </is>
      </c>
      <c r="M989" s="8" t="inlineStr">
        <is>
          <t>苏珊</t>
        </is>
      </c>
      <c r="N989" s="8" t="inlineStr">
        <is>
          <t>2-3年</t>
        </is>
      </c>
      <c r="O989" s="8" t="n"/>
    </row>
    <row r="990">
      <c r="A990" s="5" t="n">
        <v>988</v>
      </c>
      <c r="B990" s="5" t="inlineStr">
        <is>
          <t>华中-河南</t>
        </is>
      </c>
      <c r="C990" s="5" t="inlineStr">
        <is>
          <t>国有企业</t>
        </is>
      </c>
      <c r="D990" s="6" t="inlineStr">
        <is>
          <t>HT20260907</t>
        </is>
      </c>
      <c r="E990" s="6" t="inlineStr">
        <is>
          <t>20260626</t>
        </is>
      </c>
      <c r="F990" s="10" t="n">
        <v>387.075</v>
      </c>
      <c r="G990" s="8" t="n"/>
      <c r="H990" s="10" t="n">
        <v>197.323</v>
      </c>
      <c r="I990" s="10" t="n">
        <v>189.752</v>
      </c>
      <c r="J990" s="10" t="n">
        <v>169.147</v>
      </c>
      <c r="K990" s="10" t="n">
        <v>20.605</v>
      </c>
      <c r="L990" s="8" t="inlineStr">
        <is>
          <t>一部</t>
        </is>
      </c>
      <c r="M990" s="8" t="inlineStr">
        <is>
          <t>王芳</t>
        </is>
      </c>
      <c r="N990" s="8" t="inlineStr">
        <is>
          <t>1-2年</t>
        </is>
      </c>
      <c r="O990" s="8" t="n"/>
    </row>
    <row r="991">
      <c r="A991" s="5" t="n">
        <v>989</v>
      </c>
      <c r="B991" s="5" t="inlineStr">
        <is>
          <t>东北-吉林</t>
        </is>
      </c>
      <c r="C991" s="5" t="inlineStr">
        <is>
          <t>人大政协</t>
        </is>
      </c>
      <c r="D991" s="6" t="inlineStr">
        <is>
          <t>HT20260907</t>
        </is>
      </c>
      <c r="E991" s="6" t="inlineStr">
        <is>
          <t>20260626</t>
        </is>
      </c>
      <c r="F991" s="10" t="n">
        <v>73.705</v>
      </c>
      <c r="G991" s="8" t="n"/>
      <c r="H991" s="10" t="n">
        <v>23.821</v>
      </c>
      <c r="I991" s="10" t="n">
        <v>49.884</v>
      </c>
      <c r="J991" s="10" t="n">
        <v>36.051</v>
      </c>
      <c r="K991" s="10" t="n">
        <v>13.833</v>
      </c>
      <c r="L991" s="8" t="inlineStr">
        <is>
          <t>五部</t>
        </is>
      </c>
      <c r="M991" s="8" t="inlineStr">
        <is>
          <t>谢峰</t>
        </is>
      </c>
      <c r="N991" s="8" t="inlineStr">
        <is>
          <t>1年以内</t>
        </is>
      </c>
      <c r="O991" s="8" t="n"/>
    </row>
    <row r="992">
      <c r="A992" s="5" t="n">
        <v>990</v>
      </c>
      <c r="B992" s="5" t="inlineStr">
        <is>
          <t>西南-云南</t>
        </is>
      </c>
      <c r="C992" s="5" t="inlineStr">
        <is>
          <t>基层自治组织</t>
        </is>
      </c>
      <c r="D992" s="6" t="inlineStr">
        <is>
          <t>HT20260908</t>
        </is>
      </c>
      <c r="E992" s="6" t="inlineStr">
        <is>
          <t>20260602</t>
        </is>
      </c>
      <c r="F992" s="10" t="n">
        <v>641.2569999999999</v>
      </c>
      <c r="G992" s="8" t="n"/>
      <c r="H992" s="10" t="n">
        <v>148.21</v>
      </c>
      <c r="I992" s="10" t="n">
        <v>493.047</v>
      </c>
      <c r="J992" s="10" t="n">
        <v>146.99</v>
      </c>
      <c r="K992" s="10" t="n">
        <v>346.057</v>
      </c>
      <c r="L992" s="8" t="inlineStr">
        <is>
          <t>八部</t>
        </is>
      </c>
      <c r="M992" s="8" t="inlineStr">
        <is>
          <t>吕强</t>
        </is>
      </c>
      <c r="N992" s="8" t="inlineStr">
        <is>
          <t>1年以内</t>
        </is>
      </c>
      <c r="O992" s="8" t="n"/>
    </row>
    <row r="993">
      <c r="A993" s="5" t="n">
        <v>991</v>
      </c>
      <c r="B993" s="5" t="inlineStr">
        <is>
          <t>华南-广西</t>
        </is>
      </c>
      <c r="C993" s="5" t="inlineStr">
        <is>
          <t>政府机关</t>
        </is>
      </c>
      <c r="D993" s="6" t="inlineStr">
        <is>
          <t>HT20260910</t>
        </is>
      </c>
      <c r="E993" s="6" t="inlineStr">
        <is>
          <t>20260530</t>
        </is>
      </c>
      <c r="F993" s="10" t="n">
        <v>276.288</v>
      </c>
      <c r="G993" s="8" t="n"/>
      <c r="H993" s="10" t="n">
        <v>22.816</v>
      </c>
      <c r="I993" s="10" t="n">
        <v>253.472</v>
      </c>
      <c r="J993" s="10" t="n">
        <v>119.863</v>
      </c>
      <c r="K993" s="10" t="n">
        <v>133.609</v>
      </c>
      <c r="L993" s="8" t="inlineStr">
        <is>
          <t>七部</t>
        </is>
      </c>
      <c r="M993" s="8" t="inlineStr">
        <is>
          <t>沈刚</t>
        </is>
      </c>
      <c r="N993" s="8" t="inlineStr">
        <is>
          <t>2-3年</t>
        </is>
      </c>
      <c r="O993" s="8" t="n"/>
    </row>
    <row r="994">
      <c r="A994" s="5" t="n">
        <v>992</v>
      </c>
      <c r="B994" s="5" t="inlineStr">
        <is>
          <t>西南-贵州</t>
        </is>
      </c>
      <c r="C994" s="5" t="inlineStr">
        <is>
          <t>党委机关</t>
        </is>
      </c>
      <c r="D994" s="6" t="inlineStr">
        <is>
          <t>HT20260910</t>
        </is>
      </c>
      <c r="E994" s="6" t="inlineStr">
        <is>
          <t>20260530</t>
        </is>
      </c>
      <c r="F994" s="10" t="n">
        <v>555.896</v>
      </c>
      <c r="G994" s="8" t="n"/>
      <c r="H994" s="10" t="n">
        <v>501.543</v>
      </c>
      <c r="I994" s="10" t="n">
        <v>54.353</v>
      </c>
      <c r="J994" s="10" t="n">
        <v>15.947</v>
      </c>
      <c r="K994" s="10" t="n">
        <v>38.406</v>
      </c>
      <c r="L994" s="8" t="inlineStr">
        <is>
          <t>三部</t>
        </is>
      </c>
      <c r="M994" s="8" t="inlineStr">
        <is>
          <t>孙艳</t>
        </is>
      </c>
      <c r="N994" s="8" t="inlineStr">
        <is>
          <t>1-2年</t>
        </is>
      </c>
      <c r="O994" s="8" t="n"/>
    </row>
    <row r="995">
      <c r="A995" s="5" t="n">
        <v>993</v>
      </c>
      <c r="B995" s="5" t="inlineStr">
        <is>
          <t>华南-海南</t>
        </is>
      </c>
      <c r="C995" s="5" t="inlineStr">
        <is>
          <t>党委机关</t>
        </is>
      </c>
      <c r="D995" s="6" t="inlineStr">
        <is>
          <t>HT20260911</t>
        </is>
      </c>
      <c r="E995" s="6" t="inlineStr">
        <is>
          <t>20260407</t>
        </is>
      </c>
      <c r="F995" s="10" t="n">
        <v>732.628</v>
      </c>
      <c r="G995" s="8" t="n"/>
      <c r="H995" s="10" t="n">
        <v>509.023</v>
      </c>
      <c r="I995" s="10" t="n">
        <v>223.605</v>
      </c>
      <c r="J995" s="10" t="n">
        <v>13.033</v>
      </c>
      <c r="K995" s="10" t="n">
        <v>210.572</v>
      </c>
      <c r="L995" s="8" t="inlineStr">
        <is>
          <t>十部</t>
        </is>
      </c>
      <c r="M995" s="8" t="inlineStr">
        <is>
          <t>雷声</t>
        </is>
      </c>
      <c r="N995" s="8" t="inlineStr">
        <is>
          <t>1年以内</t>
        </is>
      </c>
      <c r="O995" s="8" t="n"/>
    </row>
    <row r="996">
      <c r="A996" s="5" t="n">
        <v>994</v>
      </c>
      <c r="B996" s="5" t="inlineStr">
        <is>
          <t>华北-山西</t>
        </is>
      </c>
      <c r="C996" s="5" t="inlineStr">
        <is>
          <t>监察司法机关</t>
        </is>
      </c>
      <c r="D996" s="6" t="inlineStr">
        <is>
          <t>HT20260912</t>
        </is>
      </c>
      <c r="E996" s="6" t="inlineStr">
        <is>
          <t>20260729</t>
        </is>
      </c>
      <c r="F996" s="10" t="n">
        <v>797.295</v>
      </c>
      <c r="G996" s="8" t="n"/>
      <c r="H996" s="10" t="n">
        <v>225.514</v>
      </c>
      <c r="I996" s="10" t="n">
        <v>571.7809999999999</v>
      </c>
      <c r="J996" s="10" t="n">
        <v>416.253</v>
      </c>
      <c r="K996" s="10" t="n">
        <v>155.528</v>
      </c>
      <c r="L996" s="8" t="inlineStr">
        <is>
          <t>八部</t>
        </is>
      </c>
      <c r="M996" s="8" t="inlineStr">
        <is>
          <t>卢俊</t>
        </is>
      </c>
      <c r="N996" s="8" t="inlineStr">
        <is>
          <t>1年以内</t>
        </is>
      </c>
      <c r="O996" s="8" t="n"/>
    </row>
    <row r="997">
      <c r="A997" s="5" t="n">
        <v>995</v>
      </c>
      <c r="B997" s="5" t="inlineStr">
        <is>
          <t>华南-广西</t>
        </is>
      </c>
      <c r="C997" s="5" t="inlineStr">
        <is>
          <t>国有企业</t>
        </is>
      </c>
      <c r="D997" s="6" t="inlineStr">
        <is>
          <t>HT20260912</t>
        </is>
      </c>
      <c r="E997" s="6" t="inlineStr">
        <is>
          <t>20260729</t>
        </is>
      </c>
      <c r="F997" s="10" t="n">
        <v>225.468</v>
      </c>
      <c r="G997" s="8" t="n"/>
      <c r="H997" s="10" t="n">
        <v>214.755</v>
      </c>
      <c r="I997" s="10" t="n">
        <v>10.713</v>
      </c>
      <c r="J997" s="10" t="n">
        <v>0.836</v>
      </c>
      <c r="K997" s="10" t="n">
        <v>9.877000000000001</v>
      </c>
      <c r="L997" s="8" t="inlineStr">
        <is>
          <t>八部</t>
        </is>
      </c>
      <c r="M997" s="8" t="inlineStr">
        <is>
          <t>苏珊</t>
        </is>
      </c>
      <c r="N997" s="8" t="inlineStr">
        <is>
          <t>2-3年</t>
        </is>
      </c>
      <c r="O997" s="8" t="n"/>
    </row>
    <row r="998">
      <c r="A998" s="5" t="n">
        <v>996</v>
      </c>
      <c r="B998" s="5" t="inlineStr">
        <is>
          <t>华东-江西</t>
        </is>
      </c>
      <c r="C998" s="5" t="inlineStr">
        <is>
          <t>国有企业</t>
        </is>
      </c>
      <c r="D998" s="6" t="inlineStr">
        <is>
          <t>HT20260914</t>
        </is>
      </c>
      <c r="E998" s="6" t="inlineStr">
        <is>
          <t>20260113</t>
        </is>
      </c>
      <c r="F998" s="10" t="n">
        <v>858.167</v>
      </c>
      <c r="G998" s="8" t="n"/>
      <c r="H998" s="10" t="n">
        <v>408.695</v>
      </c>
      <c r="I998" s="10" t="n">
        <v>449.472</v>
      </c>
      <c r="J998" s="10" t="n">
        <v>8.869</v>
      </c>
      <c r="K998" s="10" t="n">
        <v>440.603</v>
      </c>
      <c r="L998" s="8" t="inlineStr">
        <is>
          <t>五部</t>
        </is>
      </c>
      <c r="M998" s="8" t="inlineStr">
        <is>
          <t>郑浩</t>
        </is>
      </c>
      <c r="N998" s="8" t="inlineStr">
        <is>
          <t>2-3年</t>
        </is>
      </c>
      <c r="O998" s="8" t="inlineStr">
        <is>
          <t>公司负债</t>
        </is>
      </c>
    </row>
    <row r="999">
      <c r="A999" s="5" t="n">
        <v>997</v>
      </c>
      <c r="B999" s="5" t="inlineStr">
        <is>
          <t>华南-澳门</t>
        </is>
      </c>
      <c r="C999" s="5" t="inlineStr">
        <is>
          <t>监察司法机关</t>
        </is>
      </c>
      <c r="D999" s="6" t="inlineStr">
        <is>
          <t>HT20260914</t>
        </is>
      </c>
      <c r="E999" s="6" t="inlineStr">
        <is>
          <t>20260113</t>
        </is>
      </c>
      <c r="F999" s="10" t="n">
        <v>31.54</v>
      </c>
      <c r="G999" s="8" t="n"/>
      <c r="H999" s="10" t="n">
        <v>31.167</v>
      </c>
      <c r="I999" s="10" t="n">
        <v>0.373</v>
      </c>
      <c r="J999" s="10" t="n">
        <v>0.273</v>
      </c>
      <c r="K999" s="10" t="n">
        <v>0.1</v>
      </c>
      <c r="L999" s="8" t="inlineStr">
        <is>
          <t>十部</t>
        </is>
      </c>
      <c r="M999" s="8" t="inlineStr">
        <is>
          <t>雷声</t>
        </is>
      </c>
      <c r="N999" s="8" t="inlineStr">
        <is>
          <t>1年以内</t>
        </is>
      </c>
      <c r="O999" s="8" t="n"/>
    </row>
    <row r="1000">
      <c r="A1000" s="5" t="n">
        <v>998</v>
      </c>
      <c r="B1000" s="5" t="inlineStr">
        <is>
          <t>西北-甘肃</t>
        </is>
      </c>
      <c r="C1000" s="5" t="inlineStr">
        <is>
          <t>群团组织</t>
        </is>
      </c>
      <c r="D1000" s="6" t="inlineStr">
        <is>
          <t>HT20260915</t>
        </is>
      </c>
      <c r="E1000" s="6" t="inlineStr">
        <is>
          <t>20260520</t>
        </is>
      </c>
      <c r="F1000" s="10" t="n">
        <v>2019.796</v>
      </c>
      <c r="G1000" s="8" t="n"/>
      <c r="H1000" s="10" t="n">
        <v>561.02</v>
      </c>
      <c r="I1000" s="10" t="n">
        <v>1458.776</v>
      </c>
      <c r="J1000" s="10" t="n">
        <v>583.744</v>
      </c>
      <c r="K1000" s="10" t="n">
        <v>875.032</v>
      </c>
      <c r="L1000" s="8" t="inlineStr">
        <is>
          <t>二部</t>
        </is>
      </c>
      <c r="M1000" s="8" t="inlineStr">
        <is>
          <t>吴丽</t>
        </is>
      </c>
      <c r="N1000" s="8" t="inlineStr">
        <is>
          <t>2-3年</t>
        </is>
      </c>
      <c r="O1000" s="8" t="n"/>
    </row>
    <row r="1001">
      <c r="A1001" s="5" t="n">
        <v>999</v>
      </c>
      <c r="B1001" s="5" t="inlineStr">
        <is>
          <t>东北-吉林</t>
        </is>
      </c>
      <c r="C1001" s="5" t="inlineStr">
        <is>
          <t>政府机关</t>
        </is>
      </c>
      <c r="D1001" s="6" t="inlineStr">
        <is>
          <t>HT20260915</t>
        </is>
      </c>
      <c r="E1001" s="6" t="inlineStr">
        <is>
          <t>20260520</t>
        </is>
      </c>
      <c r="F1001" s="10" t="n">
        <v>450.732</v>
      </c>
      <c r="G1001" s="8" t="n"/>
      <c r="H1001" s="10" t="n">
        <v>128.547</v>
      </c>
      <c r="I1001" s="10" t="n">
        <v>322.185</v>
      </c>
      <c r="J1001" s="10" t="n">
        <v>147.574</v>
      </c>
      <c r="K1001" s="10" t="n">
        <v>174.611</v>
      </c>
      <c r="L1001" s="8" t="inlineStr">
        <is>
          <t>五部</t>
        </is>
      </c>
      <c r="M1001" s="8" t="inlineStr">
        <is>
          <t>郑浩</t>
        </is>
      </c>
      <c r="N1001" s="8" t="inlineStr">
        <is>
          <t>1-2年</t>
        </is>
      </c>
      <c r="O1001" s="8" t="n"/>
    </row>
    <row r="1002">
      <c r="A1002" s="5" t="n">
        <v>1000</v>
      </c>
      <c r="B1002" s="5" t="inlineStr">
        <is>
          <t>西南-重庆</t>
        </is>
      </c>
      <c r="C1002" s="5" t="inlineStr">
        <is>
          <t>事业单位</t>
        </is>
      </c>
      <c r="D1002" s="6" t="inlineStr">
        <is>
          <t>HT20260915</t>
        </is>
      </c>
      <c r="E1002" s="6" t="inlineStr">
        <is>
          <t>20260520</t>
        </is>
      </c>
      <c r="F1002" s="10" t="n">
        <v>751.5890000000001</v>
      </c>
      <c r="G1002" s="8" t="n"/>
      <c r="H1002" s="10" t="n">
        <v>432.991</v>
      </c>
      <c r="I1002" s="10" t="n">
        <v>318.598</v>
      </c>
      <c r="J1002" s="10" t="n">
        <v>77.015</v>
      </c>
      <c r="K1002" s="10" t="n">
        <v>241.583</v>
      </c>
      <c r="L1002" s="8" t="inlineStr">
        <is>
          <t>八部</t>
        </is>
      </c>
      <c r="M1002" s="8" t="inlineStr">
        <is>
          <t>苏珊</t>
        </is>
      </c>
      <c r="N1002" s="8" t="inlineStr">
        <is>
          <t>2-3年</t>
        </is>
      </c>
      <c r="O1002" s="8" t="n"/>
    </row>
  </sheetData>
  <autoFilter ref="A2:O10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14" customWidth="1" style="9" min="2" max="2"/>
    <col width="15" customWidth="1" style="9" min="3" max="3"/>
    <col width="13" customWidth="1" style="9" min="4" max="4"/>
    <col width="11" customWidth="1" style="9" min="5" max="5"/>
    <col width="13" customWidth="1" style="9" min="6" max="6"/>
    <col width="13" customWidth="1" style="9" min="7" max="7"/>
    <col width="12" customWidth="1" style="9" min="8" max="8"/>
    <col width="12" customWidth="1" style="9" min="9" max="9"/>
    <col width="13" customWidth="1" style="9" min="10" max="10"/>
    <col width="8" customWidth="1" style="9" min="11" max="11"/>
    <col width="9" customWidth="1" style="9" min="12" max="12"/>
    <col width="10" customWidth="1" style="9" min="13" max="13"/>
    <col width="25" customWidth="1" style="9" min="14" max="14"/>
  </cols>
  <sheetData>
    <row r="1">
      <c r="A1" s="11" t="inlineStr">
        <is>
          <t>同一合同号数据合并汇总</t>
        </is>
      </c>
    </row>
    <row r="2">
      <c r="A2" s="12" t="inlineStr">
        <is>
          <t>序号</t>
        </is>
      </c>
      <c r="B2" s="12" t="inlineStr">
        <is>
          <t>区域</t>
        </is>
      </c>
      <c r="C2" s="12" t="inlineStr">
        <is>
          <t>客户分类</t>
        </is>
      </c>
      <c r="D2" s="12" t="inlineStr">
        <is>
          <t>合同号</t>
        </is>
      </c>
      <c r="E2" s="12" t="inlineStr">
        <is>
          <t>开票日期</t>
        </is>
      </c>
      <c r="F2" s="12" t="inlineStr">
        <is>
          <t>合同金额</t>
        </is>
      </c>
      <c r="G2" s="12" t="inlineStr">
        <is>
          <t>未开票金额</t>
        </is>
      </c>
      <c r="H2" s="12" t="inlineStr">
        <is>
          <t>开票金额</t>
        </is>
      </c>
      <c r="I2" s="12" t="inlineStr">
        <is>
          <t>回款合计</t>
        </is>
      </c>
      <c r="J2" s="12" t="inlineStr">
        <is>
          <t>开票未回款</t>
        </is>
      </c>
      <c r="K2" s="12" t="inlineStr">
        <is>
          <t>部门</t>
        </is>
      </c>
      <c r="L2" s="12" t="inlineStr">
        <is>
          <t>责任人</t>
        </is>
      </c>
      <c r="M2" s="12" t="inlineStr">
        <is>
          <t>账龄</t>
        </is>
      </c>
      <c r="N2" s="12" t="inlineStr">
        <is>
          <t>未回款原因分类</t>
        </is>
      </c>
    </row>
    <row r="3">
      <c r="A3" s="13">
        <f>ROW()-2</f>
        <v>1</v>
      </c>
      <c r="B3" s="14" t="str">
        <f>IFERROR(INDEX(原始数据!$B$3:$B$1002,MATCH(1,INDEX((原始数据!$D$3:$D$1002="HT20250101")*(原始数据!$B$3:$B$1002&lt;&gt;""),0),0)),"")</f>
        <v>华东-山东</v>
      </c>
      <c r="C3" s="14" t="str">
        <f>IFERROR(INDEX(原始数据!$C$3:$C$1002,MATCH(1,INDEX((原始数据!$D$3:$D$1002="HT20250101")*(原始数据!$C$3:$C$1002&lt;&gt;""),0),0)),"")</f>
        <v>基层自治组织</v>
      </c>
      <c r="D3" s="15" t="inlineStr">
        <is>
          <t>HT20250101</t>
        </is>
      </c>
      <c r="E3" s="16">
        <f>IFERROR(INDEX(原始数据!$E$3:$E$1002,MATCH(1,INDEX((原始数据!$D$3:$D$1002="HT20250101")*(原始数据!$E$3:$E$1002&lt;&gt;""),0),0)),"")</f>
        <v>20250801</v>
      </c>
      <c r="F3" s="17">
        <f>SUMIFS(原始数据!$F$3:$F$1002,原始数据!$D$3:$D$1002,"HT20250101")</f>
        <v>903.192</v>
      </c>
      <c r="G3" s="17">
        <f>SUMIFS(原始数据!$H$3:$H$1002,原始数据!$D$3:$D$1002,"HT20250101")</f>
        <v>125.917</v>
      </c>
      <c r="H3" s="17">
        <f>SUMIFS(原始数据!$I$3:$I$1002,原始数据!$D$3:$D$1002,"HT20250101")</f>
        <v>777.275</v>
      </c>
      <c r="I3" s="17">
        <f>SUMIFS(原始数据!$J$3:$J$1002,原始数据!$D$3:$D$1002,"HT20250101")</f>
        <v>509.013</v>
      </c>
      <c r="J3" s="17">
        <f>SUMIFS(原始数据!$K$3:$K$1002,原始数据!$D$3:$D$1002,"HT20250101")</f>
        <v>268.262</v>
      </c>
      <c r="K3" s="14" t="str">
        <f>IFERROR(INDEX(原始数据!$L$3:$L$1002,MATCH(1,INDEX((原始数据!$D$3:$D$1002="HT20250101")*(原始数据!$L$3:$L$1002&lt;&gt;""),0),0)),"")</f>
        <v>二部</v>
      </c>
      <c r="L3" s="15" t="str">
        <f>IFERROR(INDEX(原始数据!$M$3:$M$1002,MATCH(1,INDEX((原始数据!$D$3:$D$1002="HT20250101")*(原始数据!$M$3:$M$1002&lt;&gt;""),0),0)),"")</f>
        <v>黄强</v>
      </c>
      <c r="M3" s="14" t="str">
        <f>IFERROR(INDEX(原始数据!$N$3:$N$1002,MATCH(1,INDEX((原始数据!$D$3:$D$1002="HT20250101")*(原始数据!$N$3:$N$1002&lt;&gt;""),0),0)),"")</f>
        <v>1年以内</v>
      </c>
      <c r="N3" s="14" t="inlineStr">
        <is>
          <t>需求不满足</t>
        </is>
      </c>
    </row>
    <row r="4">
      <c r="A4" s="18">
        <f>ROW()-2</f>
        <v>2</v>
      </c>
      <c r="B4" s="19" t="str">
        <f>IFERROR(INDEX(原始数据!$B$3:$B$1002,MATCH(1,INDEX((原始数据!$D$3:$D$1002="HT20250103")*(原始数据!$B$3:$B$1002&lt;&gt;""),0),0)),"")</f>
        <v>西南-贵州</v>
      </c>
      <c r="C4" s="19" t="str">
        <f>IFERROR(INDEX(原始数据!$C$3:$C$1002,MATCH(1,INDEX((原始数据!$D$3:$D$1002="HT20250103")*(原始数据!$C$3:$C$1002&lt;&gt;""),0),0)),"")</f>
        <v>党委机关</v>
      </c>
      <c r="D4" s="20" t="inlineStr">
        <is>
          <t>HT20250103</t>
        </is>
      </c>
      <c r="E4" s="21">
        <f>IFERROR(INDEX(原始数据!$E$3:$E$1002,MATCH(1,INDEX((原始数据!$D$3:$D$1002="HT20250103")*(原始数据!$E$3:$E$1002&lt;&gt;""),0),0)),"")</f>
        <v>20260308</v>
      </c>
      <c r="F4" s="22">
        <f>SUMIFS(原始数据!$F$3:$F$1002,原始数据!$D$3:$D$1002,"HT20250103")</f>
        <v>6997.6320000000005</v>
      </c>
      <c r="G4" s="22">
        <f>SUMIFS(原始数据!$H$3:$H$1002,原始数据!$D$3:$D$1002,"HT20250103")</f>
        <v>2804.9179999999997</v>
      </c>
      <c r="H4" s="22">
        <f>SUMIFS(原始数据!$I$3:$I$1002,原始数据!$D$3:$D$1002,"HT20250103")</f>
        <v>4192.714</v>
      </c>
      <c r="I4" s="22">
        <f>SUMIFS(原始数据!$J$3:$J$1002,原始数据!$D$3:$D$1002,"HT20250103")</f>
        <v>2334.216</v>
      </c>
      <c r="J4" s="22">
        <f>SUMIFS(原始数据!$K$3:$K$1002,原始数据!$D$3:$D$1002,"HT20250103")</f>
        <v>1858.498</v>
      </c>
      <c r="K4" s="19" t="str">
        <f>IFERROR(INDEX(原始数据!$L$3:$L$1002,MATCH(1,INDEX((原始数据!$D$3:$D$1002="HT20250103")*(原始数据!$L$3:$L$1002&lt;&gt;""),0),0)),"")</f>
        <v>六部</v>
      </c>
      <c r="L4" s="20" t="str">
        <f>IFERROR(INDEX(原始数据!$M$3:$M$1002,MATCH(1,INDEX((原始数据!$D$3:$D$1002="HT20250103")*(原始数据!$M$3:$M$1002&lt;&gt;""),0),0)),"")</f>
        <v>程琳</v>
      </c>
      <c r="M4" s="19" t="str">
        <f>IFERROR(INDEX(原始数据!$N$3:$N$1002,MATCH(1,INDEX((原始数据!$D$3:$D$1002="HT20250103")*(原始数据!$N$3:$N$1002&lt;&gt;""),0),0)),"")</f>
        <v>2-3年</v>
      </c>
      <c r="N4" s="19" t="inlineStr">
        <is>
          <t>公司负债、服务不满意</t>
        </is>
      </c>
    </row>
    <row r="5">
      <c r="A5" s="13">
        <f>ROW()-2</f>
        <v>3</v>
      </c>
      <c r="B5" s="14" t="str">
        <f>IFERROR(INDEX(原始数据!$B$3:$B$1002,MATCH(1,INDEX((原始数据!$D$3:$D$1002="HT20250104")*(原始数据!$B$3:$B$1002&lt;&gt;""),0),0)),"")</f>
        <v>华东-山东</v>
      </c>
      <c r="C5" s="14" t="str">
        <f>IFERROR(INDEX(原始数据!$C$3:$C$1002,MATCH(1,INDEX((原始数据!$D$3:$D$1002="HT20250104")*(原始数据!$C$3:$C$1002&lt;&gt;""),0),0)),"")</f>
        <v>监察司法机关</v>
      </c>
      <c r="D5" s="15" t="inlineStr">
        <is>
          <t>HT20250104</t>
        </is>
      </c>
      <c r="E5" s="16">
        <f>IFERROR(INDEX(原始数据!$E$3:$E$1002,MATCH(1,INDEX((原始数据!$D$3:$D$1002="HT20250104")*(原始数据!$E$3:$E$1002&lt;&gt;""),0),0)),"")</f>
        <v>20250921</v>
      </c>
      <c r="F5" s="17">
        <f>SUMIFS(原始数据!$F$3:$F$1002,原始数据!$D$3:$D$1002,"HT20250104")</f>
        <v>1226.862</v>
      </c>
      <c r="G5" s="17">
        <f>SUMIFS(原始数据!$H$3:$H$1002,原始数据!$D$3:$D$1002,"HT20250104")</f>
        <v>734.692</v>
      </c>
      <c r="H5" s="17">
        <f>SUMIFS(原始数据!$I$3:$I$1002,原始数据!$D$3:$D$1002,"HT20250104")</f>
        <v>492.16999999999996</v>
      </c>
      <c r="I5" s="17">
        <f>SUMIFS(原始数据!$J$3:$J$1002,原始数据!$D$3:$D$1002,"HT20250104")</f>
        <v>7.881</v>
      </c>
      <c r="J5" s="17">
        <f>SUMIFS(原始数据!$K$3:$K$1002,原始数据!$D$3:$D$1002,"HT20250104")</f>
        <v>484.289</v>
      </c>
      <c r="K5" s="14" t="str">
        <f>IFERROR(INDEX(原始数据!$L$3:$L$1002,MATCH(1,INDEX((原始数据!$D$3:$D$1002="HT20250104")*(原始数据!$L$3:$L$1002&lt;&gt;""),0),0)),"")</f>
        <v>二部</v>
      </c>
      <c r="L5" s="15" t="str">
        <f>IFERROR(INDEX(原始数据!$M$3:$M$1002,MATCH(1,INDEX((原始数据!$D$3:$D$1002="HT20250104")*(原始数据!$M$3:$M$1002&lt;&gt;""),0),0)),"")</f>
        <v>周杰</v>
      </c>
      <c r="M5" s="14" t="str">
        <f>IFERROR(INDEX(原始数据!$N$3:$N$1002,MATCH(1,INDEX((原始数据!$D$3:$D$1002="HT20250104")*(原始数据!$N$3:$N$1002&lt;&gt;""),0),0)),"")</f>
        <v>1年以内</v>
      </c>
      <c r="N5" s="14" t="inlineStr">
        <is>
          <t>服务不满意</t>
        </is>
      </c>
    </row>
    <row r="6">
      <c r="A6" s="18">
        <f>ROW()-2</f>
        <v>4</v>
      </c>
      <c r="B6" s="19" t="str">
        <f>IFERROR(INDEX(原始数据!$B$3:$B$1002,MATCH(1,INDEX((原始数据!$D$3:$D$1002="HT20250105")*(原始数据!$B$3:$B$1002&lt;&gt;""),0),0)),"")</f>
        <v>西北-青海</v>
      </c>
      <c r="C6" s="19" t="str">
        <f>IFERROR(INDEX(原始数据!$C$3:$C$1002,MATCH(1,INDEX((原始数据!$D$3:$D$1002="HT20250105")*(原始数据!$C$3:$C$1002&lt;&gt;""),0),0)),"")</f>
        <v>国有企业</v>
      </c>
      <c r="D6" s="20" t="inlineStr">
        <is>
          <t>HT20250105</t>
        </is>
      </c>
      <c r="E6" s="21">
        <f>IFERROR(INDEX(原始数据!$E$3:$E$1002,MATCH(1,INDEX((原始数据!$D$3:$D$1002="HT20250105")*(原始数据!$E$3:$E$1002&lt;&gt;""),0),0)),"")</f>
        <v>20250624</v>
      </c>
      <c r="F6" s="22">
        <f>SUMIFS(原始数据!$F$3:$F$1002,原始数据!$D$3:$D$1002,"HT20250105")</f>
        <v>566.6700000000001</v>
      </c>
      <c r="G6" s="22">
        <f>SUMIFS(原始数据!$H$3:$H$1002,原始数据!$D$3:$D$1002,"HT20250105")</f>
        <v>253.639</v>
      </c>
      <c r="H6" s="22">
        <f>SUMIFS(原始数据!$I$3:$I$1002,原始数据!$D$3:$D$1002,"HT20250105")</f>
        <v>313.031</v>
      </c>
      <c r="I6" s="22">
        <f>SUMIFS(原始数据!$J$3:$J$1002,原始数据!$D$3:$D$1002,"HT20250105")</f>
        <v>236.308</v>
      </c>
      <c r="J6" s="22">
        <f>SUMIFS(原始数据!$K$3:$K$1002,原始数据!$D$3:$D$1002,"HT20250105")</f>
        <v>76.723</v>
      </c>
      <c r="K6" s="19" t="str">
        <f>IFERROR(INDEX(原始数据!$L$3:$L$1002,MATCH(1,INDEX((原始数据!$D$3:$D$1002="HT20250105")*(原始数据!$L$3:$L$1002&lt;&gt;""),0),0)),"")</f>
        <v>十部</v>
      </c>
      <c r="L6" s="20" t="str">
        <f>IFERROR(INDEX(原始数据!$M$3:$M$1002,MATCH(1,INDEX((原始数据!$D$3:$D$1002="HT20250105")*(原始数据!$M$3:$M$1002&lt;&gt;""),0),0)),"")</f>
        <v>薛峰</v>
      </c>
      <c r="M6" s="19" t="str">
        <f>IFERROR(INDEX(原始数据!$N$3:$N$1002,MATCH(1,INDEX((原始数据!$D$3:$D$1002="HT20250105")*(原始数据!$N$3:$N$1002&lt;&gt;""),0),0)),"")</f>
        <v>1-2年</v>
      </c>
      <c r="N6" s="19" t="inlineStr">
        <is>
          <t>需求不满足、服务不满意</t>
        </is>
      </c>
    </row>
    <row r="7">
      <c r="A7" s="13">
        <f>ROW()-2</f>
        <v>5</v>
      </c>
      <c r="B7" s="14" t="str">
        <f>IFERROR(INDEX(原始数据!$B$3:$B$1002,MATCH(1,INDEX((原始数据!$D$3:$D$1002="HT20250106")*(原始数据!$B$3:$B$1002&lt;&gt;""),0),0)),"")</f>
        <v>东北-吉林</v>
      </c>
      <c r="C7" s="14" t="str">
        <f>IFERROR(INDEX(原始数据!$C$3:$C$1002,MATCH(1,INDEX((原始数据!$D$3:$D$1002="HT20250106")*(原始数据!$C$3:$C$1002&lt;&gt;""),0),0)),"")</f>
        <v>事业单位</v>
      </c>
      <c r="D7" s="15" t="inlineStr">
        <is>
          <t>HT20250106</t>
        </is>
      </c>
      <c r="E7" s="16">
        <f>IFERROR(INDEX(原始数据!$E$3:$E$1002,MATCH(1,INDEX((原始数据!$D$3:$D$1002="HT20250106")*(原始数据!$E$3:$E$1002&lt;&gt;""),0),0)),"")</f>
        <v>20260321</v>
      </c>
      <c r="F7" s="17">
        <f>SUMIFS(原始数据!$F$3:$F$1002,原始数据!$D$3:$D$1002,"HT20250106")</f>
        <v>1395.156</v>
      </c>
      <c r="G7" s="17">
        <f>SUMIFS(原始数据!$H$3:$H$1002,原始数据!$D$3:$D$1002,"HT20250106")</f>
        <v>577.7</v>
      </c>
      <c r="H7" s="17">
        <f>SUMIFS(原始数据!$I$3:$I$1002,原始数据!$D$3:$D$1002,"HT20250106")</f>
        <v>817.456</v>
      </c>
      <c r="I7" s="17">
        <f>SUMIFS(原始数据!$J$3:$J$1002,原始数据!$D$3:$D$1002,"HT20250106")</f>
        <v>615.614</v>
      </c>
      <c r="J7" s="17">
        <f>SUMIFS(原始数据!$K$3:$K$1002,原始数据!$D$3:$D$1002,"HT20250106")</f>
        <v>201.84199999999998</v>
      </c>
      <c r="K7" s="14" t="str">
        <f>IFERROR(INDEX(原始数据!$L$3:$L$1002,MATCH(1,INDEX((原始数据!$D$3:$D$1002="HT20250106")*(原始数据!$L$3:$L$1002&lt;&gt;""),0),0)),"")</f>
        <v>九部</v>
      </c>
      <c r="L7" s="15" t="str">
        <f>IFERROR(INDEX(原始数据!$M$3:$M$1002,MATCH(1,INDEX((原始数据!$D$3:$D$1002="HT20250106")*(原始数据!$M$3:$M$1002&lt;&gt;""),0),0)),"")</f>
        <v>蒋涛</v>
      </c>
      <c r="M7" s="14" t="str">
        <f>IFERROR(INDEX(原始数据!$N$3:$N$1002,MATCH(1,INDEX((原始数据!$D$3:$D$1002="HT20250106")*(原始数据!$N$3:$N$1002&lt;&gt;""),0),0)),"")</f>
        <v>1-2年</v>
      </c>
      <c r="N7" s="14" t="inlineStr">
        <is>
          <t>服务不满意、产品不合格</t>
        </is>
      </c>
    </row>
    <row r="8">
      <c r="A8" s="18">
        <f>ROW()-2</f>
        <v>6</v>
      </c>
      <c r="B8" s="19" t="str">
        <f>IFERROR(INDEX(原始数据!$B$3:$B$1002,MATCH(1,INDEX((原始数据!$D$3:$D$1002="HT20250108")*(原始数据!$B$3:$B$1002&lt;&gt;""),0),0)),"")</f>
        <v>东北-辽宁</v>
      </c>
      <c r="C8" s="19" t="str">
        <f>IFERROR(INDEX(原始数据!$C$3:$C$1002,MATCH(1,INDEX((原始数据!$D$3:$D$1002="HT20250108")*(原始数据!$C$3:$C$1002&lt;&gt;""),0),0)),"")</f>
        <v>基层自治组织</v>
      </c>
      <c r="D8" s="20" t="inlineStr">
        <is>
          <t>HT20250108</t>
        </is>
      </c>
      <c r="E8" s="21">
        <f>IFERROR(INDEX(原始数据!$E$3:$E$1002,MATCH(1,INDEX((原始数据!$D$3:$D$1002="HT20250108")*(原始数据!$E$3:$E$1002&lt;&gt;""),0),0)),"")</f>
        <v>20250807</v>
      </c>
      <c r="F8" s="22">
        <f>SUMIFS(原始数据!$F$3:$F$1002,原始数据!$D$3:$D$1002,"HT20250108")</f>
        <v>34.12</v>
      </c>
      <c r="G8" s="22">
        <f>SUMIFS(原始数据!$H$3:$H$1002,原始数据!$D$3:$D$1002,"HT20250108")</f>
        <v>2.82</v>
      </c>
      <c r="H8" s="22">
        <f>SUMIFS(原始数据!$I$3:$I$1002,原始数据!$D$3:$D$1002,"HT20250108")</f>
        <v>31.3</v>
      </c>
      <c r="I8" s="22">
        <f>SUMIFS(原始数据!$J$3:$J$1002,原始数据!$D$3:$D$1002,"HT20250108")</f>
        <v>24.023</v>
      </c>
      <c r="J8" s="22">
        <f>SUMIFS(原始数据!$K$3:$K$1002,原始数据!$D$3:$D$1002,"HT20250108")</f>
        <v>7.277</v>
      </c>
      <c r="K8" s="19" t="str">
        <f>IFERROR(INDEX(原始数据!$L$3:$L$1002,MATCH(1,INDEX((原始数据!$D$3:$D$1002="HT20250108")*(原始数据!$L$3:$L$1002&lt;&gt;""),0),0)),"")</f>
        <v>三部</v>
      </c>
      <c r="L8" s="20" t="str">
        <f>IFERROR(INDEX(原始数据!$M$3:$M$1002,MATCH(1,INDEX((原始数据!$D$3:$D$1002="HT20250108")*(原始数据!$M$3:$M$1002&lt;&gt;""),0),0)),"")</f>
        <v>马超</v>
      </c>
      <c r="M8" s="19" t="str">
        <f>IFERROR(INDEX(原始数据!$N$3:$N$1002,MATCH(1,INDEX((原始数据!$D$3:$D$1002="HT20250108")*(原始数据!$N$3:$N$1002&lt;&gt;""),0),0)),"")</f>
        <v>1-2年</v>
      </c>
      <c r="N8" s="19" t="inlineStr"/>
    </row>
    <row r="9">
      <c r="A9" s="13">
        <f>ROW()-2</f>
        <v>7</v>
      </c>
      <c r="B9" s="14" t="str">
        <f>IFERROR(INDEX(原始数据!$B$3:$B$1002,MATCH(1,INDEX((原始数据!$D$3:$D$1002="HT20250109")*(原始数据!$B$3:$B$1002&lt;&gt;""),0),0)),"")</f>
        <v>华北-内蒙古</v>
      </c>
      <c r="C9" s="14" t="str">
        <f>IFERROR(INDEX(原始数据!$C$3:$C$1002,MATCH(1,INDEX((原始数据!$D$3:$D$1002="HT20250109")*(原始数据!$C$3:$C$1002&lt;&gt;""),0),0)),"")</f>
        <v>党委机关</v>
      </c>
      <c r="D9" s="15" t="inlineStr">
        <is>
          <t>HT20250109</t>
        </is>
      </c>
      <c r="E9" s="16">
        <f>IFERROR(INDEX(原始数据!$E$3:$E$1002,MATCH(1,INDEX((原始数据!$D$3:$D$1002="HT20250109")*(原始数据!$E$3:$E$1002&lt;&gt;""),0),0)),"")</f>
        <v>20251224</v>
      </c>
      <c r="F9" s="17">
        <f>SUMIFS(原始数据!$F$3:$F$1002,原始数据!$D$3:$D$1002,"HT20250109")</f>
        <v>221.038</v>
      </c>
      <c r="G9" s="17">
        <f>SUMIFS(原始数据!$H$3:$H$1002,原始数据!$D$3:$D$1002,"HT20250109")</f>
        <v>192.858</v>
      </c>
      <c r="H9" s="17">
        <f>SUMIFS(原始数据!$I$3:$I$1002,原始数据!$D$3:$D$1002,"HT20250109")</f>
        <v>28.18</v>
      </c>
      <c r="I9" s="17">
        <f>SUMIFS(原始数据!$J$3:$J$1002,原始数据!$D$3:$D$1002,"HT20250109")</f>
        <v>21.644</v>
      </c>
      <c r="J9" s="17">
        <f>SUMIFS(原始数据!$K$3:$K$1002,原始数据!$D$3:$D$1002,"HT20250109")</f>
        <v>6.536</v>
      </c>
      <c r="K9" s="14" t="str">
        <f>IFERROR(INDEX(原始数据!$L$3:$L$1002,MATCH(1,INDEX((原始数据!$D$3:$D$1002="HT20250109")*(原始数据!$L$3:$L$1002&lt;&gt;""),0),0)),"")</f>
        <v>二部</v>
      </c>
      <c r="L9" s="15" t="str">
        <f>IFERROR(INDEX(原始数据!$M$3:$M$1002,MATCH(1,INDEX((原始数据!$D$3:$D$1002="HT20250109")*(原始数据!$M$3:$M$1002&lt;&gt;""),0),0)),"")</f>
        <v>杨磊</v>
      </c>
      <c r="M9" s="14" t="str">
        <f>IFERROR(INDEX(原始数据!$N$3:$N$1002,MATCH(1,INDEX((原始数据!$D$3:$D$1002="HT20250109")*(原始数据!$N$3:$N$1002&lt;&gt;""),0),0)),"")</f>
        <v>1年以内</v>
      </c>
      <c r="N9" s="14" t="inlineStr"/>
    </row>
    <row r="10">
      <c r="A10" s="18">
        <f>ROW()-2</f>
        <v>8</v>
      </c>
      <c r="B10" s="19" t="str">
        <f>IFERROR(INDEX(原始数据!$B$3:$B$1002,MATCH(1,INDEX((原始数据!$D$3:$D$1002="HT20250110")*(原始数据!$B$3:$B$1002&lt;&gt;""),0),0)),"")</f>
        <v>西北-宁夏</v>
      </c>
      <c r="C10" s="19" t="str">
        <f>IFERROR(INDEX(原始数据!$C$3:$C$1002,MATCH(1,INDEX((原始数据!$D$3:$D$1002="HT20250110")*(原始数据!$C$3:$C$1002&lt;&gt;""),0),0)),"")</f>
        <v>政府机关</v>
      </c>
      <c r="D10" s="20" t="inlineStr">
        <is>
          <t>HT20250110</t>
        </is>
      </c>
      <c r="E10" s="21">
        <f>IFERROR(INDEX(原始数据!$E$3:$E$1002,MATCH(1,INDEX((原始数据!$D$3:$D$1002="HT20250110")*(原始数据!$E$3:$E$1002&lt;&gt;""),0),0)),"")</f>
        <v>20250514</v>
      </c>
      <c r="F10" s="22">
        <f>SUMIFS(原始数据!$F$3:$F$1002,原始数据!$D$3:$D$1002,"HT20250110")</f>
        <v>92.787</v>
      </c>
      <c r="G10" s="22">
        <f>SUMIFS(原始数据!$H$3:$H$1002,原始数据!$D$3:$D$1002,"HT20250110")</f>
        <v>90.667</v>
      </c>
      <c r="H10" s="22">
        <f>SUMIFS(原始数据!$I$3:$I$1002,原始数据!$D$3:$D$1002,"HT20250110")</f>
        <v>2.12</v>
      </c>
      <c r="I10" s="22">
        <f>SUMIFS(原始数据!$J$3:$J$1002,原始数据!$D$3:$D$1002,"HT20250110")</f>
        <v>1.546</v>
      </c>
      <c r="J10" s="22">
        <f>SUMIFS(原始数据!$K$3:$K$1002,原始数据!$D$3:$D$1002,"HT20250110")</f>
        <v>0.574</v>
      </c>
      <c r="K10" s="19" t="str">
        <f>IFERROR(INDEX(原始数据!$L$3:$L$1002,MATCH(1,INDEX((原始数据!$D$3:$D$1002="HT20250110")*(原始数据!$L$3:$L$1002&lt;&gt;""),0),0)),"")</f>
        <v>一部</v>
      </c>
      <c r="L10" s="20" t="str">
        <f>IFERROR(INDEX(原始数据!$M$3:$M$1002,MATCH(1,INDEX((原始数据!$D$3:$D$1002="HT20250110")*(原始数据!$M$3:$M$1002&lt;&gt;""),0),0)),"")</f>
        <v>张伟</v>
      </c>
      <c r="M10" s="19" t="str">
        <f>IFERROR(INDEX(原始数据!$N$3:$N$1002,MATCH(1,INDEX((原始数据!$D$3:$D$1002="HT20250110")*(原始数据!$N$3:$N$1002&lt;&gt;""),0),0)),"")</f>
        <v>1年以内</v>
      </c>
      <c r="N10" s="19" t="inlineStr"/>
    </row>
    <row r="11">
      <c r="A11" s="13">
        <f>ROW()-2</f>
        <v>9</v>
      </c>
      <c r="B11" s="14" t="str">
        <f>IFERROR(INDEX(原始数据!$B$3:$B$1002,MATCH(1,INDEX((原始数据!$D$3:$D$1002="HT20250111")*(原始数据!$B$3:$B$1002&lt;&gt;""),0),0)),"")</f>
        <v>华东-江苏</v>
      </c>
      <c r="C11" s="14" t="str">
        <f>IFERROR(INDEX(原始数据!$C$3:$C$1002,MATCH(1,INDEX((原始数据!$D$3:$D$1002="HT20250111")*(原始数据!$C$3:$C$1002&lt;&gt;""),0),0)),"")</f>
        <v>国有企业</v>
      </c>
      <c r="D11" s="15" t="inlineStr">
        <is>
          <t>HT20250111</t>
        </is>
      </c>
      <c r="E11" s="16">
        <f>IFERROR(INDEX(原始数据!$E$3:$E$1002,MATCH(1,INDEX((原始数据!$D$3:$D$1002="HT20250111")*(原始数据!$E$3:$E$1002&lt;&gt;""),0),0)),"")</f>
        <v>20250821</v>
      </c>
      <c r="F11" s="17">
        <f>SUMIFS(原始数据!$F$3:$F$1002,原始数据!$D$3:$D$1002,"HT20250111")</f>
        <v>906.296</v>
      </c>
      <c r="G11" s="17">
        <f>SUMIFS(原始数据!$H$3:$H$1002,原始数据!$D$3:$D$1002,"HT20250111")</f>
        <v>511.17</v>
      </c>
      <c r="H11" s="17">
        <f>SUMIFS(原始数据!$I$3:$I$1002,原始数据!$D$3:$D$1002,"HT20250111")</f>
        <v>395.126</v>
      </c>
      <c r="I11" s="17">
        <f>SUMIFS(原始数据!$J$3:$J$1002,原始数据!$D$3:$D$1002,"HT20250111")</f>
        <v>208.178</v>
      </c>
      <c r="J11" s="17">
        <f>SUMIFS(原始数据!$K$3:$K$1002,原始数据!$D$3:$D$1002,"HT20250111")</f>
        <v>186.948</v>
      </c>
      <c r="K11" s="14" t="str">
        <f>IFERROR(INDEX(原始数据!$L$3:$L$1002,MATCH(1,INDEX((原始数据!$D$3:$D$1002="HT20250111")*(原始数据!$L$3:$L$1002&lt;&gt;""),0),0)),"")</f>
        <v>五部</v>
      </c>
      <c r="L11" s="15" t="str">
        <f>IFERROR(INDEX(原始数据!$M$3:$M$1002,MATCH(1,INDEX((原始数据!$D$3:$D$1002="HT20250111")*(原始数据!$M$3:$M$1002&lt;&gt;""),0),0)),"")</f>
        <v>梁雪</v>
      </c>
      <c r="M11" s="14" t="str">
        <f>IFERROR(INDEX(原始数据!$N$3:$N$1002,MATCH(1,INDEX((原始数据!$D$3:$D$1002="HT20250111")*(原始数据!$N$3:$N$1002&lt;&gt;""),0),0)),"")</f>
        <v>1年以内</v>
      </c>
      <c r="N11" s="14" t="inlineStr">
        <is>
          <t>需求不满足</t>
        </is>
      </c>
    </row>
    <row r="12">
      <c r="A12" s="18">
        <f>ROW()-2</f>
        <v>10</v>
      </c>
      <c r="B12" s="19" t="str">
        <f>IFERROR(INDEX(原始数据!$B$3:$B$1002,MATCH(1,INDEX((原始数据!$D$3:$D$1002="HT20250114")*(原始数据!$B$3:$B$1002&lt;&gt;""),0),0)),"")</f>
        <v>华南-澳门</v>
      </c>
      <c r="C12" s="19" t="str">
        <f>IFERROR(INDEX(原始数据!$C$3:$C$1002,MATCH(1,INDEX((原始数据!$D$3:$D$1002="HT20250114")*(原始数据!$C$3:$C$1002&lt;&gt;""),0),0)),"")</f>
        <v>事业单位</v>
      </c>
      <c r="D12" s="20" t="inlineStr">
        <is>
          <t>HT20250114</t>
        </is>
      </c>
      <c r="E12" s="21">
        <f>IFERROR(INDEX(原始数据!$E$3:$E$1002,MATCH(1,INDEX((原始数据!$D$3:$D$1002="HT20250114")*(原始数据!$E$3:$E$1002&lt;&gt;""),0),0)),"")</f>
        <v>20250824</v>
      </c>
      <c r="F12" s="22">
        <f>SUMIFS(原始数据!$F$3:$F$1002,原始数据!$D$3:$D$1002,"HT20250114")</f>
        <v>1048.952</v>
      </c>
      <c r="G12" s="22">
        <f>SUMIFS(原始数据!$H$3:$H$1002,原始数据!$D$3:$D$1002,"HT20250114")</f>
        <v>683.463</v>
      </c>
      <c r="H12" s="22">
        <f>SUMIFS(原始数据!$I$3:$I$1002,原始数据!$D$3:$D$1002,"HT20250114")</f>
        <v>365.48900000000003</v>
      </c>
      <c r="I12" s="22">
        <f>SUMIFS(原始数据!$J$3:$J$1002,原始数据!$D$3:$D$1002,"HT20250114")</f>
        <v>103.247</v>
      </c>
      <c r="J12" s="22">
        <f>SUMIFS(原始数据!$K$3:$K$1002,原始数据!$D$3:$D$1002,"HT20250114")</f>
        <v>262.242</v>
      </c>
      <c r="K12" s="19" t="str">
        <f>IFERROR(INDEX(原始数据!$L$3:$L$1002,MATCH(1,INDEX((原始数据!$D$3:$D$1002="HT20250114")*(原始数据!$L$3:$L$1002&lt;&gt;""),0),0)),"")</f>
        <v>一部</v>
      </c>
      <c r="L12" s="20" t="str">
        <f>IFERROR(INDEX(原始数据!$M$3:$M$1002,MATCH(1,INDEX((原始数据!$D$3:$D$1002="HT20250114")*(原始数据!$M$3:$M$1002&lt;&gt;""),0),0)),"")</f>
        <v>刘洋</v>
      </c>
      <c r="M12" s="19" t="str">
        <f>IFERROR(INDEX(原始数据!$N$3:$N$1002,MATCH(1,INDEX((原始数据!$D$3:$D$1002="HT20250114")*(原始数据!$N$3:$N$1002&lt;&gt;""),0),0)),"")</f>
        <v>2-3年</v>
      </c>
      <c r="N12" s="19" t="inlineStr">
        <is>
          <t>服务不满意、公司负债</t>
        </is>
      </c>
    </row>
    <row r="13">
      <c r="A13" s="13">
        <f>ROW()-2</f>
        <v>11</v>
      </c>
      <c r="B13" s="14" t="str">
        <f>IFERROR(INDEX(原始数据!$B$3:$B$1002,MATCH(1,INDEX((原始数据!$D$3:$D$1002="HT20250115")*(原始数据!$B$3:$B$1002&lt;&gt;""),0),0)),"")</f>
        <v>华北-内蒙古</v>
      </c>
      <c r="C13" s="14" t="str">
        <f>IFERROR(INDEX(原始数据!$C$3:$C$1002,MATCH(1,INDEX((原始数据!$D$3:$D$1002="HT20250115")*(原始数据!$C$3:$C$1002&lt;&gt;""),0),0)),"")</f>
        <v>监察司法机关</v>
      </c>
      <c r="D13" s="15" t="inlineStr">
        <is>
          <t>HT20250115</t>
        </is>
      </c>
      <c r="E13" s="16">
        <f>IFERROR(INDEX(原始数据!$E$3:$E$1002,MATCH(1,INDEX((原始数据!$D$3:$D$1002="HT20250115")*(原始数据!$E$3:$E$1002&lt;&gt;""),0),0)),"")</f>
        <v>20260222</v>
      </c>
      <c r="F13" s="17">
        <f>SUMIFS(原始数据!$F$3:$F$1002,原始数据!$D$3:$D$1002,"HT20250115")</f>
        <v>3896.645</v>
      </c>
      <c r="G13" s="17">
        <f>SUMIFS(原始数据!$H$3:$H$1002,原始数据!$D$3:$D$1002,"HT20250115")</f>
        <v>655.252</v>
      </c>
      <c r="H13" s="17">
        <f>SUMIFS(原始数据!$I$3:$I$1002,原始数据!$D$3:$D$1002,"HT20250115")</f>
        <v>3241.393</v>
      </c>
      <c r="I13" s="17">
        <f>SUMIFS(原始数据!$J$3:$J$1002,原始数据!$D$3:$D$1002,"HT20250115")</f>
        <v>2210.292</v>
      </c>
      <c r="J13" s="17">
        <f>SUMIFS(原始数据!$K$3:$K$1002,原始数据!$D$3:$D$1002,"HT20250115")</f>
        <v>1031.1009999999999</v>
      </c>
      <c r="K13" s="14" t="str">
        <f>IFERROR(INDEX(原始数据!$L$3:$L$1002,MATCH(1,INDEX((原始数据!$D$3:$D$1002="HT20250115")*(原始数据!$L$3:$L$1002&lt;&gt;""),0),0)),"")</f>
        <v>四部</v>
      </c>
      <c r="L13" s="15" t="str">
        <f>IFERROR(INDEX(原始数据!$M$3:$M$1002,MATCH(1,INDEX((原始数据!$D$3:$D$1002="HT20250115")*(原始数据!$M$3:$M$1002&lt;&gt;""),0),0)),"")</f>
        <v>郭鹏</v>
      </c>
      <c r="M13" s="14" t="str">
        <f>IFERROR(INDEX(原始数据!$N$3:$N$1002,MATCH(1,INDEX((原始数据!$D$3:$D$1002="HT20250115")*(原始数据!$N$3:$N$1002&lt;&gt;""),0),0)),"")</f>
        <v>1年以内</v>
      </c>
      <c r="N13" s="14" t="inlineStr">
        <is>
          <t>服务不满意</t>
        </is>
      </c>
    </row>
    <row r="14">
      <c r="A14" s="18">
        <f>ROW()-2</f>
        <v>12</v>
      </c>
      <c r="B14" s="19" t="str">
        <f>IFERROR(INDEX(原始数据!$B$3:$B$1002,MATCH(1,INDEX((原始数据!$D$3:$D$1002="HT20250117")*(原始数据!$B$3:$B$1002&lt;&gt;""),0),0)),"")</f>
        <v>华东-浙江</v>
      </c>
      <c r="C14" s="19" t="str">
        <f>IFERROR(INDEX(原始数据!$C$3:$C$1002,MATCH(1,INDEX((原始数据!$D$3:$D$1002="HT20250117")*(原始数据!$C$3:$C$1002&lt;&gt;""),0),0)),"")</f>
        <v>群团组织</v>
      </c>
      <c r="D14" s="20" t="inlineStr">
        <is>
          <t>HT20250117</t>
        </is>
      </c>
      <c r="E14" s="21">
        <f>IFERROR(INDEX(原始数据!$E$3:$E$1002,MATCH(1,INDEX((原始数据!$D$3:$D$1002="HT20250117")*(原始数据!$E$3:$E$1002&lt;&gt;""),0),0)),"")</f>
        <v>20250819</v>
      </c>
      <c r="F14" s="22">
        <f>SUMIFS(原始数据!$F$3:$F$1002,原始数据!$D$3:$D$1002,"HT20250117")</f>
        <v>1792.949</v>
      </c>
      <c r="G14" s="22">
        <f>SUMIFS(原始数据!$H$3:$H$1002,原始数据!$D$3:$D$1002,"HT20250117")</f>
        <v>675.211</v>
      </c>
      <c r="H14" s="22">
        <f>SUMIFS(原始数据!$I$3:$I$1002,原始数据!$D$3:$D$1002,"HT20250117")</f>
        <v>1117.738</v>
      </c>
      <c r="I14" s="22">
        <f>SUMIFS(原始数据!$J$3:$J$1002,原始数据!$D$3:$D$1002,"HT20250117")</f>
        <v>438.553</v>
      </c>
      <c r="J14" s="22">
        <f>SUMIFS(原始数据!$K$3:$K$1002,原始数据!$D$3:$D$1002,"HT20250117")</f>
        <v>679.185</v>
      </c>
      <c r="K14" s="19" t="str">
        <f>IFERROR(INDEX(原始数据!$L$3:$L$1002,MATCH(1,INDEX((原始数据!$D$3:$D$1002="HT20250117")*(原始数据!$L$3:$L$1002&lt;&gt;""),0),0)),"")</f>
        <v>十部</v>
      </c>
      <c r="L14" s="20" t="str">
        <f>IFERROR(INDEX(原始数据!$M$3:$M$1002,MATCH(1,INDEX((原始数据!$D$3:$D$1002="HT20250117")*(原始数据!$M$3:$M$1002&lt;&gt;""),0),0)),"")</f>
        <v>雷声</v>
      </c>
      <c r="M14" s="19" t="str">
        <f>IFERROR(INDEX(原始数据!$N$3:$N$1002,MATCH(1,INDEX((原始数据!$D$3:$D$1002="HT20250117")*(原始数据!$N$3:$N$1002&lt;&gt;""),0),0)),"")</f>
        <v>1-2年</v>
      </c>
      <c r="N14" s="19" t="inlineStr"/>
    </row>
    <row r="15">
      <c r="A15" s="13">
        <f>ROW()-2</f>
        <v>13</v>
      </c>
      <c r="B15" s="14" t="str">
        <f>IFERROR(INDEX(原始数据!$B$3:$B$1002,MATCH(1,INDEX((原始数据!$D$3:$D$1002="HT20250118")*(原始数据!$B$3:$B$1002&lt;&gt;""),0),0)),"")</f>
        <v>东北-吉林</v>
      </c>
      <c r="C15" s="14" t="str">
        <f>IFERROR(INDEX(原始数据!$C$3:$C$1002,MATCH(1,INDEX((原始数据!$D$3:$D$1002="HT20250118")*(原始数据!$C$3:$C$1002&lt;&gt;""),0),0)),"")</f>
        <v>基层自治组织</v>
      </c>
      <c r="D15" s="15" t="inlineStr">
        <is>
          <t>HT20250118</t>
        </is>
      </c>
      <c r="E15" s="16">
        <f>IFERROR(INDEX(原始数据!$E$3:$E$1002,MATCH(1,INDEX((原始数据!$D$3:$D$1002="HT20250118")*(原始数据!$E$3:$E$1002&lt;&gt;""),0),0)),"")</f>
        <v>20260816</v>
      </c>
      <c r="F15" s="17">
        <f>SUMIFS(原始数据!$F$3:$F$1002,原始数据!$D$3:$D$1002,"HT20250118")</f>
        <v>2638.7789999999995</v>
      </c>
      <c r="G15" s="17">
        <f>SUMIFS(原始数据!$H$3:$H$1002,原始数据!$D$3:$D$1002,"HT20250118")</f>
        <v>1465.509</v>
      </c>
      <c r="H15" s="17">
        <f>SUMIFS(原始数据!$I$3:$I$1002,原始数据!$D$3:$D$1002,"HT20250118")</f>
        <v>1173.27</v>
      </c>
      <c r="I15" s="17">
        <f>SUMIFS(原始数据!$J$3:$J$1002,原始数据!$D$3:$D$1002,"HT20250118")</f>
        <v>634.619</v>
      </c>
      <c r="J15" s="17">
        <f>SUMIFS(原始数据!$K$3:$K$1002,原始数据!$D$3:$D$1002,"HT20250118")</f>
        <v>538.651</v>
      </c>
      <c r="K15" s="14" t="str">
        <f>IFERROR(INDEX(原始数据!$L$3:$L$1002,MATCH(1,INDEX((原始数据!$D$3:$D$1002="HT20250118")*(原始数据!$L$3:$L$1002&lt;&gt;""),0),0)),"")</f>
        <v>九部</v>
      </c>
      <c r="L15" s="15" t="str">
        <f>IFERROR(INDEX(原始数据!$M$3:$M$1002,MATCH(1,INDEX((原始数据!$D$3:$D$1002="HT20250118")*(原始数据!$M$3:$M$1002&lt;&gt;""),0),0)),"")</f>
        <v>魏红</v>
      </c>
      <c r="M15" s="14" t="str">
        <f>IFERROR(INDEX(原始数据!$N$3:$N$1002,MATCH(1,INDEX((原始数据!$D$3:$D$1002="HT20250118")*(原始数据!$N$3:$N$1002&lt;&gt;""),0),0)),"")</f>
        <v>1-2年</v>
      </c>
      <c r="N15" s="14" t="inlineStr">
        <is>
          <t>需求不满足、服务不满意</t>
        </is>
      </c>
    </row>
    <row r="16">
      <c r="A16" s="18">
        <f>ROW()-2</f>
        <v>14</v>
      </c>
      <c r="B16" s="19" t="str">
        <f>IFERROR(INDEX(原始数据!$B$3:$B$1002,MATCH(1,INDEX((原始数据!$D$3:$D$1002="HT20250121")*(原始数据!$B$3:$B$1002&lt;&gt;""),0),0)),"")</f>
        <v>华南-广西</v>
      </c>
      <c r="C16" s="19" t="str">
        <f>IFERROR(INDEX(原始数据!$C$3:$C$1002,MATCH(1,INDEX((原始数据!$D$3:$D$1002="HT20250121")*(原始数据!$C$3:$C$1002&lt;&gt;""),0),0)),"")</f>
        <v>事业单位</v>
      </c>
      <c r="D16" s="20" t="inlineStr">
        <is>
          <t>HT20250121</t>
        </is>
      </c>
      <c r="E16" s="21">
        <f>IFERROR(INDEX(原始数据!$E$3:$E$1002,MATCH(1,INDEX((原始数据!$D$3:$D$1002="HT20250121")*(原始数据!$E$3:$E$1002&lt;&gt;""),0),0)),"")</f>
        <v>20250714</v>
      </c>
      <c r="F16" s="22">
        <f>SUMIFS(原始数据!$F$3:$F$1002,原始数据!$D$3:$D$1002,"HT20250121")</f>
        <v>166.118</v>
      </c>
      <c r="G16" s="22">
        <f>SUMIFS(原始数据!$H$3:$H$1002,原始数据!$D$3:$D$1002,"HT20250121")</f>
        <v>98.649</v>
      </c>
      <c r="H16" s="22">
        <f>SUMIFS(原始数据!$I$3:$I$1002,原始数据!$D$3:$D$1002,"HT20250121")</f>
        <v>67.469</v>
      </c>
      <c r="I16" s="22">
        <f>SUMIFS(原始数据!$J$3:$J$1002,原始数据!$D$3:$D$1002,"HT20250121")</f>
        <v>17.371000000000002</v>
      </c>
      <c r="J16" s="22">
        <f>SUMIFS(原始数据!$K$3:$K$1002,原始数据!$D$3:$D$1002,"HT20250121")</f>
        <v>50.098</v>
      </c>
      <c r="K16" s="19" t="str">
        <f>IFERROR(INDEX(原始数据!$L$3:$L$1002,MATCH(1,INDEX((原始数据!$D$3:$D$1002="HT20250121")*(原始数据!$L$3:$L$1002&lt;&gt;""),0),0)),"")</f>
        <v>六部</v>
      </c>
      <c r="L16" s="20" t="str">
        <f>IFERROR(INDEX(原始数据!$M$3:$M$1002,MATCH(1,INDEX((原始数据!$D$3:$D$1002="HT20250121")*(原始数据!$M$3:$M$1002&lt;&gt;""),0),0)),"")</f>
        <v>唐亮</v>
      </c>
      <c r="M16" s="19" t="str">
        <f>IFERROR(INDEX(原始数据!$N$3:$N$1002,MATCH(1,INDEX((原始数据!$D$3:$D$1002="HT20250121")*(原始数据!$N$3:$N$1002&lt;&gt;""),0),0)),"")</f>
        <v>1年以内</v>
      </c>
      <c r="N16" s="19" t="inlineStr">
        <is>
          <t>公司负债</t>
        </is>
      </c>
    </row>
    <row r="17">
      <c r="A17" s="13">
        <f>ROW()-2</f>
        <v>15</v>
      </c>
      <c r="B17" s="14" t="str">
        <f>IFERROR(INDEX(原始数据!$B$3:$B$1002,MATCH(1,INDEX((原始数据!$D$3:$D$1002="HT20250122")*(原始数据!$B$3:$B$1002&lt;&gt;""),0),0)),"")</f>
        <v>华东-福建</v>
      </c>
      <c r="C17" s="14" t="str">
        <f>IFERROR(INDEX(原始数据!$C$3:$C$1002,MATCH(1,INDEX((原始数据!$D$3:$D$1002="HT20250122")*(原始数据!$C$3:$C$1002&lt;&gt;""),0),0)),"")</f>
        <v>政府机关</v>
      </c>
      <c r="D17" s="15" t="inlineStr">
        <is>
          <t>HT20250122</t>
        </is>
      </c>
      <c r="E17" s="16">
        <f>IFERROR(INDEX(原始数据!$E$3:$E$1002,MATCH(1,INDEX((原始数据!$D$3:$D$1002="HT20250122")*(原始数据!$E$3:$E$1002&lt;&gt;""),0),0)),"")</f>
        <v>20260115</v>
      </c>
      <c r="F17" s="17">
        <f>SUMIFS(原始数据!$F$3:$F$1002,原始数据!$D$3:$D$1002,"HT20250122")</f>
        <v>2737.2</v>
      </c>
      <c r="G17" s="17">
        <f>SUMIFS(原始数据!$H$3:$H$1002,原始数据!$D$3:$D$1002,"HT20250122")</f>
        <v>991.991</v>
      </c>
      <c r="H17" s="17">
        <f>SUMIFS(原始数据!$I$3:$I$1002,原始数据!$D$3:$D$1002,"HT20250122")</f>
        <v>1745.209</v>
      </c>
      <c r="I17" s="17">
        <f>SUMIFS(原始数据!$J$3:$J$1002,原始数据!$D$3:$D$1002,"HT20250122")</f>
        <v>819.3240000000001</v>
      </c>
      <c r="J17" s="17">
        <f>SUMIFS(原始数据!$K$3:$K$1002,原始数据!$D$3:$D$1002,"HT20250122")</f>
        <v>925.885</v>
      </c>
      <c r="K17" s="14" t="str">
        <f>IFERROR(INDEX(原始数据!$L$3:$L$1002,MATCH(1,INDEX((原始数据!$D$3:$D$1002="HT20250122")*(原始数据!$L$3:$L$1002&lt;&gt;""),0),0)),"")</f>
        <v>九部</v>
      </c>
      <c r="L17" s="15" t="str">
        <f>IFERROR(INDEX(原始数据!$M$3:$M$1002,MATCH(1,INDEX((原始数据!$D$3:$D$1002="HT20250122")*(原始数据!$M$3:$M$1002&lt;&gt;""),0),0)),"")</f>
        <v>丁磊</v>
      </c>
      <c r="M17" s="14" t="str">
        <f>IFERROR(INDEX(原始数据!$N$3:$N$1002,MATCH(1,INDEX((原始数据!$D$3:$D$1002="HT20250122")*(原始数据!$N$3:$N$1002&lt;&gt;""),0),0)),"")</f>
        <v>1-2年</v>
      </c>
      <c r="N17" s="14" t="inlineStr"/>
    </row>
    <row r="18">
      <c r="A18" s="18">
        <f>ROW()-2</f>
        <v>16</v>
      </c>
      <c r="B18" s="19" t="str">
        <f>IFERROR(INDEX(原始数据!$B$3:$B$1002,MATCH(1,INDEX((原始数据!$D$3:$D$1002="HT20250123")*(原始数据!$B$3:$B$1002&lt;&gt;""),0),0)),"")</f>
        <v>西北-新疆</v>
      </c>
      <c r="C18" s="19" t="str">
        <f>IFERROR(INDEX(原始数据!$C$3:$C$1002,MATCH(1,INDEX((原始数据!$D$3:$D$1002="HT20250123")*(原始数据!$C$3:$C$1002&lt;&gt;""),0),0)),"")</f>
        <v>事业单位</v>
      </c>
      <c r="D18" s="20" t="inlineStr">
        <is>
          <t>HT20250123</t>
        </is>
      </c>
      <c r="E18" s="21">
        <f>IFERROR(INDEX(原始数据!$E$3:$E$1002,MATCH(1,INDEX((原始数据!$D$3:$D$1002="HT20250123")*(原始数据!$E$3:$E$1002&lt;&gt;""),0),0)),"")</f>
        <v>20251111</v>
      </c>
      <c r="F18" s="22">
        <f>SUMIFS(原始数据!$F$3:$F$1002,原始数据!$D$3:$D$1002,"HT20250123")</f>
        <v>580.394</v>
      </c>
      <c r="G18" s="22">
        <f>SUMIFS(原始数据!$H$3:$H$1002,原始数据!$D$3:$D$1002,"HT20250123")</f>
        <v>415.797</v>
      </c>
      <c r="H18" s="22">
        <f>SUMIFS(原始数据!$I$3:$I$1002,原始数据!$D$3:$D$1002,"HT20250123")</f>
        <v>164.597</v>
      </c>
      <c r="I18" s="22">
        <f>SUMIFS(原始数据!$J$3:$J$1002,原始数据!$D$3:$D$1002,"HT20250123")</f>
        <v>37.526</v>
      </c>
      <c r="J18" s="22">
        <f>SUMIFS(原始数据!$K$3:$K$1002,原始数据!$D$3:$D$1002,"HT20250123")</f>
        <v>127.071</v>
      </c>
      <c r="K18" s="19" t="str">
        <f>IFERROR(INDEX(原始数据!$L$3:$L$1002,MATCH(1,INDEX((原始数据!$D$3:$D$1002="HT20250123")*(原始数据!$L$3:$L$1002&lt;&gt;""),0),0)),"")</f>
        <v>九部</v>
      </c>
      <c r="L18" s="20" t="str">
        <f>IFERROR(INDEX(原始数据!$M$3:$M$1002,MATCH(1,INDEX((原始数据!$D$3:$D$1002="HT20250123")*(原始数据!$M$3:$M$1002&lt;&gt;""),0),0)),"")</f>
        <v>贾静</v>
      </c>
      <c r="M18" s="19" t="str">
        <f>IFERROR(INDEX(原始数据!$N$3:$N$1002,MATCH(1,INDEX((原始数据!$D$3:$D$1002="HT20250123")*(原始数据!$N$3:$N$1002&lt;&gt;""),0),0)),"")</f>
        <v>1年以内</v>
      </c>
      <c r="N18" s="19" t="inlineStr">
        <is>
          <t>需求不满足</t>
        </is>
      </c>
    </row>
    <row r="19">
      <c r="A19" s="13">
        <f>ROW()-2</f>
        <v>17</v>
      </c>
      <c r="B19" s="14" t="str">
        <f>IFERROR(INDEX(原始数据!$B$3:$B$1002,MATCH(1,INDEX((原始数据!$D$3:$D$1002="HT20250124")*(原始数据!$B$3:$B$1002&lt;&gt;""),0),0)),"")</f>
        <v>东北-吉林</v>
      </c>
      <c r="C19" s="14" t="str">
        <f>IFERROR(INDEX(原始数据!$C$3:$C$1002,MATCH(1,INDEX((原始数据!$D$3:$D$1002="HT20250124")*(原始数据!$C$3:$C$1002&lt;&gt;""),0),0)),"")</f>
        <v>党委机关</v>
      </c>
      <c r="D19" s="15" t="inlineStr">
        <is>
          <t>HT20250124</t>
        </is>
      </c>
      <c r="E19" s="16">
        <f>IFERROR(INDEX(原始数据!$E$3:$E$1002,MATCH(1,INDEX((原始数据!$D$3:$D$1002="HT20250124")*(原始数据!$E$3:$E$1002&lt;&gt;""),0),0)),"")</f>
        <v>20260707</v>
      </c>
      <c r="F19" s="17">
        <f>SUMIFS(原始数据!$F$3:$F$1002,原始数据!$D$3:$D$1002,"HT20250124")</f>
        <v>1235.959</v>
      </c>
      <c r="G19" s="17">
        <f>SUMIFS(原始数据!$H$3:$H$1002,原始数据!$D$3:$D$1002,"HT20250124")</f>
        <v>514.919</v>
      </c>
      <c r="H19" s="17">
        <f>SUMIFS(原始数据!$I$3:$I$1002,原始数据!$D$3:$D$1002,"HT20250124")</f>
        <v>721.04</v>
      </c>
      <c r="I19" s="17">
        <f>SUMIFS(原始数据!$J$3:$J$1002,原始数据!$D$3:$D$1002,"HT20250124")</f>
        <v>527.608</v>
      </c>
      <c r="J19" s="17">
        <f>SUMIFS(原始数据!$K$3:$K$1002,原始数据!$D$3:$D$1002,"HT20250124")</f>
        <v>193.43200000000002</v>
      </c>
      <c r="K19" s="14" t="str">
        <f>IFERROR(INDEX(原始数据!$L$3:$L$1002,MATCH(1,INDEX((原始数据!$D$3:$D$1002="HT20250124")*(原始数据!$L$3:$L$1002&lt;&gt;""),0),0)),"")</f>
        <v>四部</v>
      </c>
      <c r="L19" s="15" t="str">
        <f>IFERROR(INDEX(原始数据!$M$3:$M$1002,MATCH(1,INDEX((原始数据!$D$3:$D$1002="HT20250124")*(原始数据!$M$3:$M$1002&lt;&gt;""),0),0)),"")</f>
        <v>高翔</v>
      </c>
      <c r="M19" s="14" t="str">
        <f>IFERROR(INDEX(原始数据!$N$3:$N$1002,MATCH(1,INDEX((原始数据!$D$3:$D$1002="HT20250124")*(原始数据!$N$3:$N$1002&lt;&gt;""),0),0)),"")</f>
        <v>2-3年</v>
      </c>
      <c r="N19" s="14" t="inlineStr">
        <is>
          <t>需求不满足</t>
        </is>
      </c>
    </row>
    <row r="20">
      <c r="A20" s="18">
        <f>ROW()-2</f>
        <v>18</v>
      </c>
      <c r="B20" s="19" t="str">
        <f>IFERROR(INDEX(原始数据!$B$3:$B$1002,MATCH(1,INDEX((原始数据!$D$3:$D$1002="HT20250125")*(原始数据!$B$3:$B$1002&lt;&gt;""),0),0)),"")</f>
        <v>东北-黑龙江</v>
      </c>
      <c r="C20" s="19" t="str">
        <f>IFERROR(INDEX(原始数据!$C$3:$C$1002,MATCH(1,INDEX((原始数据!$D$3:$D$1002="HT20250125")*(原始数据!$C$3:$C$1002&lt;&gt;""),0),0)),"")</f>
        <v>党委机关</v>
      </c>
      <c r="D20" s="20" t="inlineStr">
        <is>
          <t>HT20250125</t>
        </is>
      </c>
      <c r="E20" s="21">
        <f>IFERROR(INDEX(原始数据!$E$3:$E$1002,MATCH(1,INDEX((原始数据!$D$3:$D$1002="HT20250125")*(原始数据!$E$3:$E$1002&lt;&gt;""),0),0)),"")</f>
        <v>20260710</v>
      </c>
      <c r="F20" s="22">
        <f>SUMIFS(原始数据!$F$3:$F$1002,原始数据!$D$3:$D$1002,"HT20250125")</f>
        <v>2159.177</v>
      </c>
      <c r="G20" s="22">
        <f>SUMIFS(原始数据!$H$3:$H$1002,原始数据!$D$3:$D$1002,"HT20250125")</f>
        <v>845.2180000000001</v>
      </c>
      <c r="H20" s="22">
        <f>SUMIFS(原始数据!$I$3:$I$1002,原始数据!$D$3:$D$1002,"HT20250125")</f>
        <v>1313.959</v>
      </c>
      <c r="I20" s="22">
        <f>SUMIFS(原始数据!$J$3:$J$1002,原始数据!$D$3:$D$1002,"HT20250125")</f>
        <v>926.836</v>
      </c>
      <c r="J20" s="22">
        <f>SUMIFS(原始数据!$K$3:$K$1002,原始数据!$D$3:$D$1002,"HT20250125")</f>
        <v>387.123</v>
      </c>
      <c r="K20" s="19" t="str">
        <f>IFERROR(INDEX(原始数据!$L$3:$L$1002,MATCH(1,INDEX((原始数据!$D$3:$D$1002="HT20250125")*(原始数据!$L$3:$L$1002&lt;&gt;""),0),0)),"")</f>
        <v>七部</v>
      </c>
      <c r="L20" s="20" t="str">
        <f>IFERROR(INDEX(原始数据!$M$3:$M$1002,MATCH(1,INDEX((原始数据!$D$3:$D$1002="HT20250125")*(原始数据!$M$3:$M$1002&lt;&gt;""),0),0)),"")</f>
        <v>傅蓉</v>
      </c>
      <c r="M20" s="19" t="str">
        <f>IFERROR(INDEX(原始数据!$N$3:$N$1002,MATCH(1,INDEX((原始数据!$D$3:$D$1002="HT20250125")*(原始数据!$N$3:$N$1002&lt;&gt;""),0),0)),"")</f>
        <v>1-2年</v>
      </c>
      <c r="N20" s="19" t="inlineStr">
        <is>
          <t>服务不满意</t>
        </is>
      </c>
    </row>
    <row r="21">
      <c r="A21" s="13">
        <f>ROW()-2</f>
        <v>19</v>
      </c>
      <c r="B21" s="14" t="str">
        <f>IFERROR(INDEX(原始数据!$B$3:$B$1002,MATCH(1,INDEX((原始数据!$D$3:$D$1002="HT20250126")*(原始数据!$B$3:$B$1002&lt;&gt;""),0),0)),"")</f>
        <v>华东-浙江</v>
      </c>
      <c r="C21" s="14" t="str">
        <f>IFERROR(INDEX(原始数据!$C$3:$C$1002,MATCH(1,INDEX((原始数据!$D$3:$D$1002="HT20250126")*(原始数据!$C$3:$C$1002&lt;&gt;""),0),0)),"")</f>
        <v>监察司法机关</v>
      </c>
      <c r="D21" s="15" t="inlineStr">
        <is>
          <t>HT20250126</t>
        </is>
      </c>
      <c r="E21" s="16">
        <f>IFERROR(INDEX(原始数据!$E$3:$E$1002,MATCH(1,INDEX((原始数据!$D$3:$D$1002="HT20250126")*(原始数据!$E$3:$E$1002&lt;&gt;""),0),0)),"")</f>
        <v>20260206</v>
      </c>
      <c r="F21" s="17">
        <f>SUMIFS(原始数据!$F$3:$F$1002,原始数据!$D$3:$D$1002,"HT20250126")</f>
        <v>1748.486</v>
      </c>
      <c r="G21" s="17">
        <f>SUMIFS(原始数据!$H$3:$H$1002,原始数据!$D$3:$D$1002,"HT20250126")</f>
        <v>692.375</v>
      </c>
      <c r="H21" s="17">
        <f>SUMIFS(原始数据!$I$3:$I$1002,原始数据!$D$3:$D$1002,"HT20250126")</f>
        <v>1056.1109999999999</v>
      </c>
      <c r="I21" s="17">
        <f>SUMIFS(原始数据!$J$3:$J$1002,原始数据!$D$3:$D$1002,"HT20250126")</f>
        <v>676.391</v>
      </c>
      <c r="J21" s="17">
        <f>SUMIFS(原始数据!$K$3:$K$1002,原始数据!$D$3:$D$1002,"HT20250126")</f>
        <v>379.72</v>
      </c>
      <c r="K21" s="14" t="str">
        <f>IFERROR(INDEX(原始数据!$L$3:$L$1002,MATCH(1,INDEX((原始数据!$D$3:$D$1002="HT20250126")*(原始数据!$L$3:$L$1002&lt;&gt;""),0),0)),"")</f>
        <v>六部</v>
      </c>
      <c r="L21" s="15" t="str">
        <f>IFERROR(INDEX(原始数据!$M$3:$M$1002,MATCH(1,INDEX((原始数据!$D$3:$D$1002="HT20250126")*(原始数据!$M$3:$M$1002&lt;&gt;""),0),0)),"")</f>
        <v>唐亮</v>
      </c>
      <c r="M21" s="14" t="str">
        <f>IFERROR(INDEX(原始数据!$N$3:$N$1002,MATCH(1,INDEX((原始数据!$D$3:$D$1002="HT20250126")*(原始数据!$N$3:$N$1002&lt;&gt;""),0),0)),"")</f>
        <v>2-3年</v>
      </c>
      <c r="N21" s="14" t="inlineStr">
        <is>
          <t>需求不满足</t>
        </is>
      </c>
    </row>
    <row r="22">
      <c r="A22" s="18">
        <f>ROW()-2</f>
        <v>20</v>
      </c>
      <c r="B22" s="19" t="str">
        <f>IFERROR(INDEX(原始数据!$B$3:$B$1002,MATCH(1,INDEX((原始数据!$D$3:$D$1002="HT20250127")*(原始数据!$B$3:$B$1002&lt;&gt;""),0),0)),"")</f>
        <v>西南-重庆</v>
      </c>
      <c r="C22" s="19" t="str">
        <f>IFERROR(INDEX(原始数据!$C$3:$C$1002,MATCH(1,INDEX((原始数据!$D$3:$D$1002="HT20250127")*(原始数据!$C$3:$C$1002&lt;&gt;""),0),0)),"")</f>
        <v>群团组织</v>
      </c>
      <c r="D22" s="20" t="inlineStr">
        <is>
          <t>HT20250127</t>
        </is>
      </c>
      <c r="E22" s="21">
        <f>IFERROR(INDEX(原始数据!$E$3:$E$1002,MATCH(1,INDEX((原始数据!$D$3:$D$1002="HT20250127")*(原始数据!$E$3:$E$1002&lt;&gt;""),0),0)),"")</f>
        <v>20260321</v>
      </c>
      <c r="F22" s="22">
        <f>SUMIFS(原始数据!$F$3:$F$1002,原始数据!$D$3:$D$1002,"HT20250127")</f>
        <v>370.71</v>
      </c>
      <c r="G22" s="22">
        <f>SUMIFS(原始数据!$H$3:$H$1002,原始数据!$D$3:$D$1002,"HT20250127")</f>
        <v>271.192</v>
      </c>
      <c r="H22" s="22">
        <f>SUMIFS(原始数据!$I$3:$I$1002,原始数据!$D$3:$D$1002,"HT20250127")</f>
        <v>99.518</v>
      </c>
      <c r="I22" s="22">
        <f>SUMIFS(原始数据!$J$3:$J$1002,原始数据!$D$3:$D$1002,"HT20250127")</f>
        <v>65.2</v>
      </c>
      <c r="J22" s="22">
        <f>SUMIFS(原始数据!$K$3:$K$1002,原始数据!$D$3:$D$1002,"HT20250127")</f>
        <v>34.318</v>
      </c>
      <c r="K22" s="19" t="str">
        <f>IFERROR(INDEX(原始数据!$L$3:$L$1002,MATCH(1,INDEX((原始数据!$D$3:$D$1002="HT20250127")*(原始数据!$L$3:$L$1002&lt;&gt;""),0),0)),"")</f>
        <v>七部</v>
      </c>
      <c r="L22" s="20" t="str">
        <f>IFERROR(INDEX(原始数据!$M$3:$M$1002,MATCH(1,INDEX((原始数据!$D$3:$D$1002="HT20250127")*(原始数据!$M$3:$M$1002&lt;&gt;""),0),0)),"")</f>
        <v>邓丽</v>
      </c>
      <c r="M22" s="19" t="str">
        <f>IFERROR(INDEX(原始数据!$N$3:$N$1002,MATCH(1,INDEX((原始数据!$D$3:$D$1002="HT20250127")*(原始数据!$N$3:$N$1002&lt;&gt;""),0),0)),"")</f>
        <v>1-2年</v>
      </c>
      <c r="N22" s="19" t="inlineStr"/>
    </row>
    <row r="23">
      <c r="A23" s="13">
        <f>ROW()-2</f>
        <v>21</v>
      </c>
      <c r="B23" s="14" t="str">
        <f>IFERROR(INDEX(原始数据!$B$3:$B$1002,MATCH(1,INDEX((原始数据!$D$3:$D$1002="HT20250128")*(原始数据!$B$3:$B$1002&lt;&gt;""),0),0)),"")</f>
        <v>华北-内蒙古</v>
      </c>
      <c r="C23" s="14" t="str">
        <f>IFERROR(INDEX(原始数据!$C$3:$C$1002,MATCH(1,INDEX((原始数据!$D$3:$D$1002="HT20250128")*(原始数据!$C$3:$C$1002&lt;&gt;""),0),0)),"")</f>
        <v>人大政协</v>
      </c>
      <c r="D23" s="15" t="inlineStr">
        <is>
          <t>HT20250128</t>
        </is>
      </c>
      <c r="E23" s="16">
        <f>IFERROR(INDEX(原始数据!$E$3:$E$1002,MATCH(1,INDEX((原始数据!$D$3:$D$1002="HT20250128")*(原始数据!$E$3:$E$1002&lt;&gt;""),0),0)),"")</f>
        <v>20260125</v>
      </c>
      <c r="F23" s="17">
        <f>SUMIFS(原始数据!$F$3:$F$1002,原始数据!$D$3:$D$1002,"HT20250128")</f>
        <v>438.594</v>
      </c>
      <c r="G23" s="17">
        <f>SUMIFS(原始数据!$H$3:$H$1002,原始数据!$D$3:$D$1002,"HT20250128")</f>
        <v>112.345</v>
      </c>
      <c r="H23" s="17">
        <f>SUMIFS(原始数据!$I$3:$I$1002,原始数据!$D$3:$D$1002,"HT20250128")</f>
        <v>326.249</v>
      </c>
      <c r="I23" s="17">
        <f>SUMIFS(原始数据!$J$3:$J$1002,原始数据!$D$3:$D$1002,"HT20250128")</f>
        <v>148.96699999999998</v>
      </c>
      <c r="J23" s="17">
        <f>SUMIFS(原始数据!$K$3:$K$1002,原始数据!$D$3:$D$1002,"HT20250128")</f>
        <v>177.28199999999998</v>
      </c>
      <c r="K23" s="14" t="str">
        <f>IFERROR(INDEX(原始数据!$L$3:$L$1002,MATCH(1,INDEX((原始数据!$D$3:$D$1002="HT20250128")*(原始数据!$L$3:$L$1002&lt;&gt;""),0),0)),"")</f>
        <v>四部</v>
      </c>
      <c r="L23" s="15" t="str">
        <f>IFERROR(INDEX(原始数据!$M$3:$M$1002,MATCH(1,INDEX((原始数据!$D$3:$D$1002="HT20250128")*(原始数据!$M$3:$M$1002&lt;&gt;""),0),0)),"")</f>
        <v>罗刚</v>
      </c>
      <c r="M23" s="14" t="str">
        <f>IFERROR(INDEX(原始数据!$N$3:$N$1002,MATCH(1,INDEX((原始数据!$D$3:$D$1002="HT20250128")*(原始数据!$N$3:$N$1002&lt;&gt;""),0),0)),"")</f>
        <v>2-3年</v>
      </c>
      <c r="N23" s="14" t="inlineStr"/>
    </row>
    <row r="24">
      <c r="A24" s="18">
        <f>ROW()-2</f>
        <v>22</v>
      </c>
      <c r="B24" s="19" t="str">
        <f>IFERROR(INDEX(原始数据!$B$3:$B$1002,MATCH(1,INDEX((原始数据!$D$3:$D$1002="HT20250129")*(原始数据!$B$3:$B$1002&lt;&gt;""),0),0)),"")</f>
        <v>华北-北京</v>
      </c>
      <c r="C24" s="19" t="str">
        <f>IFERROR(INDEX(原始数据!$C$3:$C$1002,MATCH(1,INDEX((原始数据!$D$3:$D$1002="HT20250129")*(原始数据!$C$3:$C$1002&lt;&gt;""),0),0)),"")</f>
        <v>人大政协</v>
      </c>
      <c r="D24" s="20" t="inlineStr">
        <is>
          <t>HT20250129</t>
        </is>
      </c>
      <c r="E24" s="21">
        <f>IFERROR(INDEX(原始数据!$E$3:$E$1002,MATCH(1,INDEX((原始数据!$D$3:$D$1002="HT20250129")*(原始数据!$E$3:$E$1002&lt;&gt;""),0),0)),"")</f>
        <v>20260325</v>
      </c>
      <c r="F24" s="22">
        <f>SUMIFS(原始数据!$F$3:$F$1002,原始数据!$D$3:$D$1002,"HT20250129")</f>
        <v>6685.815</v>
      </c>
      <c r="G24" s="22">
        <f>SUMIFS(原始数据!$H$3:$H$1002,原始数据!$D$3:$D$1002,"HT20250129")</f>
        <v>5019.101000000001</v>
      </c>
      <c r="H24" s="22">
        <f>SUMIFS(原始数据!$I$3:$I$1002,原始数据!$D$3:$D$1002,"HT20250129")</f>
        <v>1666.714</v>
      </c>
      <c r="I24" s="22">
        <f>SUMIFS(原始数据!$J$3:$J$1002,原始数据!$D$3:$D$1002,"HT20250129")</f>
        <v>1423.27</v>
      </c>
      <c r="J24" s="22">
        <f>SUMIFS(原始数据!$K$3:$K$1002,原始数据!$D$3:$D$1002,"HT20250129")</f>
        <v>243.44400000000002</v>
      </c>
      <c r="K24" s="19" t="str">
        <f>IFERROR(INDEX(原始数据!$L$3:$L$1002,MATCH(1,INDEX((原始数据!$D$3:$D$1002="HT20250129")*(原始数据!$L$3:$L$1002&lt;&gt;""),0),0)),"")</f>
        <v>一部</v>
      </c>
      <c r="L24" s="20" t="str">
        <f>IFERROR(INDEX(原始数据!$M$3:$M$1002,MATCH(1,INDEX((原始数据!$D$3:$D$1002="HT20250129")*(原始数据!$M$3:$M$1002&lt;&gt;""),0),0)),"")</f>
        <v>李娜</v>
      </c>
      <c r="M24" s="19" t="str">
        <f>IFERROR(INDEX(原始数据!$N$3:$N$1002,MATCH(1,INDEX((原始数据!$D$3:$D$1002="HT20250129")*(原始数据!$N$3:$N$1002&lt;&gt;""),0),0)),"")</f>
        <v>2-3年</v>
      </c>
      <c r="N24" s="19" t="inlineStr">
        <is>
          <t>服务不满意</t>
        </is>
      </c>
    </row>
    <row r="25">
      <c r="A25" s="13">
        <f>ROW()-2</f>
        <v>23</v>
      </c>
      <c r="B25" s="14" t="str">
        <f>IFERROR(INDEX(原始数据!$B$3:$B$1002,MATCH(1,INDEX((原始数据!$D$3:$D$1002="HT20250130")*(原始数据!$B$3:$B$1002&lt;&gt;""),0),0)),"")</f>
        <v>西北-新疆</v>
      </c>
      <c r="C25" s="14" t="str">
        <f>IFERROR(INDEX(原始数据!$C$3:$C$1002,MATCH(1,INDEX((原始数据!$D$3:$D$1002="HT20250130")*(原始数据!$C$3:$C$1002&lt;&gt;""),0),0)),"")</f>
        <v>监察司法机关</v>
      </c>
      <c r="D25" s="15" t="inlineStr">
        <is>
          <t>HT20250130</t>
        </is>
      </c>
      <c r="E25" s="16">
        <f>IFERROR(INDEX(原始数据!$E$3:$E$1002,MATCH(1,INDEX((原始数据!$D$3:$D$1002="HT20250130")*(原始数据!$E$3:$E$1002&lt;&gt;""),0),0)),"")</f>
        <v>20260715</v>
      </c>
      <c r="F25" s="17">
        <f>SUMIFS(原始数据!$F$3:$F$1002,原始数据!$D$3:$D$1002,"HT20250130")</f>
        <v>953.814</v>
      </c>
      <c r="G25" s="17">
        <f>SUMIFS(原始数据!$H$3:$H$1002,原始数据!$D$3:$D$1002,"HT20250130")</f>
        <v>812.797</v>
      </c>
      <c r="H25" s="17">
        <f>SUMIFS(原始数据!$I$3:$I$1002,原始数据!$D$3:$D$1002,"HT20250130")</f>
        <v>141.017</v>
      </c>
      <c r="I25" s="17">
        <f>SUMIFS(原始数据!$J$3:$J$1002,原始数据!$D$3:$D$1002,"HT20250130")</f>
        <v>91.936</v>
      </c>
      <c r="J25" s="17">
        <f>SUMIFS(原始数据!$K$3:$K$1002,原始数据!$D$3:$D$1002,"HT20250130")</f>
        <v>49.081</v>
      </c>
      <c r="K25" s="14" t="str">
        <f>IFERROR(INDEX(原始数据!$L$3:$L$1002,MATCH(1,INDEX((原始数据!$D$3:$D$1002="HT20250130")*(原始数据!$L$3:$L$1002&lt;&gt;""),0),0)),"")</f>
        <v>四部</v>
      </c>
      <c r="L25" s="15" t="str">
        <f>IFERROR(INDEX(原始数据!$M$3:$M$1002,MATCH(1,INDEX((原始数据!$D$3:$D$1002="HT20250130")*(原始数据!$M$3:$M$1002&lt;&gt;""),0),0)),"")</f>
        <v>高翔</v>
      </c>
      <c r="M25" s="14" t="str">
        <f>IFERROR(INDEX(原始数据!$N$3:$N$1002,MATCH(1,INDEX((原始数据!$D$3:$D$1002="HT20250130")*(原始数据!$N$3:$N$1002&lt;&gt;""),0),0)),"")</f>
        <v>2-3年</v>
      </c>
      <c r="N25" s="14" t="inlineStr"/>
    </row>
    <row r="26">
      <c r="A26" s="18">
        <f>ROW()-2</f>
        <v>24</v>
      </c>
      <c r="B26" s="19" t="str">
        <f>IFERROR(INDEX(原始数据!$B$3:$B$1002,MATCH(1,INDEX((原始数据!$D$3:$D$1002="HT20250131")*(原始数据!$B$3:$B$1002&lt;&gt;""),0),0)),"")</f>
        <v>西北-青海</v>
      </c>
      <c r="C26" s="19" t="str">
        <f>IFERROR(INDEX(原始数据!$C$3:$C$1002,MATCH(1,INDEX((原始数据!$D$3:$D$1002="HT20250131")*(原始数据!$C$3:$C$1002&lt;&gt;""),0),0)),"")</f>
        <v>人大政协</v>
      </c>
      <c r="D26" s="20" t="inlineStr">
        <is>
          <t>HT20250131</t>
        </is>
      </c>
      <c r="E26" s="21">
        <f>IFERROR(INDEX(原始数据!$E$3:$E$1002,MATCH(1,INDEX((原始数据!$D$3:$D$1002="HT20250131")*(原始数据!$E$3:$E$1002&lt;&gt;""),0),0)),"")</f>
        <v>20260626</v>
      </c>
      <c r="F26" s="22">
        <f>SUMIFS(原始数据!$F$3:$F$1002,原始数据!$D$3:$D$1002,"HT20250131")</f>
        <v>927.818</v>
      </c>
      <c r="G26" s="22">
        <f>SUMIFS(原始数据!$H$3:$H$1002,原始数据!$D$3:$D$1002,"HT20250131")</f>
        <v>697.402</v>
      </c>
      <c r="H26" s="22">
        <f>SUMIFS(原始数据!$I$3:$I$1002,原始数据!$D$3:$D$1002,"HT20250131")</f>
        <v>230.416</v>
      </c>
      <c r="I26" s="22">
        <f>SUMIFS(原始数据!$J$3:$J$1002,原始数据!$D$3:$D$1002,"HT20250131")</f>
        <v>128.674</v>
      </c>
      <c r="J26" s="22">
        <f>SUMIFS(原始数据!$K$3:$K$1002,原始数据!$D$3:$D$1002,"HT20250131")</f>
        <v>101.742</v>
      </c>
      <c r="K26" s="19" t="str">
        <f>IFERROR(INDEX(原始数据!$L$3:$L$1002,MATCH(1,INDEX((原始数据!$D$3:$D$1002="HT20250131")*(原始数据!$L$3:$L$1002&lt;&gt;""),0),0)),"")</f>
        <v>四部</v>
      </c>
      <c r="L26" s="20" t="str">
        <f>IFERROR(INDEX(原始数据!$M$3:$M$1002,MATCH(1,INDEX((原始数据!$D$3:$D$1002="HT20250131")*(原始数据!$M$3:$M$1002&lt;&gt;""),0),0)),"")</f>
        <v>高翔</v>
      </c>
      <c r="M26" s="19" t="str">
        <f>IFERROR(INDEX(原始数据!$N$3:$N$1002,MATCH(1,INDEX((原始数据!$D$3:$D$1002="HT20250131")*(原始数据!$N$3:$N$1002&lt;&gt;""),0),0)),"")</f>
        <v>1年以内</v>
      </c>
      <c r="N26" s="19" t="inlineStr"/>
    </row>
    <row r="27">
      <c r="A27" s="13">
        <f>ROW()-2</f>
        <v>25</v>
      </c>
      <c r="B27" s="14" t="str">
        <f>IFERROR(INDEX(原始数据!$B$3:$B$1002,MATCH(1,INDEX((原始数据!$D$3:$D$1002="HT20250202")*(原始数据!$B$3:$B$1002&lt;&gt;""),0),0)),"")</f>
        <v>西北-甘肃</v>
      </c>
      <c r="C27" s="14" t="str">
        <f>IFERROR(INDEX(原始数据!$C$3:$C$1002,MATCH(1,INDEX((原始数据!$D$3:$D$1002="HT20250202")*(原始数据!$C$3:$C$1002&lt;&gt;""),0),0)),"")</f>
        <v>事业单位</v>
      </c>
      <c r="D27" s="15" t="inlineStr">
        <is>
          <t>HT20250202</t>
        </is>
      </c>
      <c r="E27" s="16">
        <f>IFERROR(INDEX(原始数据!$E$3:$E$1002,MATCH(1,INDEX((原始数据!$D$3:$D$1002="HT20250202")*(原始数据!$E$3:$E$1002&lt;&gt;""),0),0)),"")</f>
        <v>20260612</v>
      </c>
      <c r="F27" s="17">
        <f>SUMIFS(原始数据!$F$3:$F$1002,原始数据!$D$3:$D$1002,"HT20250202")</f>
        <v>601.784</v>
      </c>
      <c r="G27" s="17">
        <f>SUMIFS(原始数据!$H$3:$H$1002,原始数据!$D$3:$D$1002,"HT20250202")</f>
        <v>297.726</v>
      </c>
      <c r="H27" s="17">
        <f>SUMIFS(原始数据!$I$3:$I$1002,原始数据!$D$3:$D$1002,"HT20250202")</f>
        <v>304.058</v>
      </c>
      <c r="I27" s="17">
        <f>SUMIFS(原始数据!$J$3:$J$1002,原始数据!$D$3:$D$1002,"HT20250202")</f>
        <v>66.259</v>
      </c>
      <c r="J27" s="17">
        <f>SUMIFS(原始数据!$K$3:$K$1002,原始数据!$D$3:$D$1002,"HT20250202")</f>
        <v>237.79899999999998</v>
      </c>
      <c r="K27" s="14" t="str">
        <f>IFERROR(INDEX(原始数据!$L$3:$L$1002,MATCH(1,INDEX((原始数据!$D$3:$D$1002="HT20250202")*(原始数据!$L$3:$L$1002&lt;&gt;""),0),0)),"")</f>
        <v>三部</v>
      </c>
      <c r="L27" s="15" t="str">
        <f>IFERROR(INDEX(原始数据!$M$3:$M$1002,MATCH(1,INDEX((原始数据!$D$3:$D$1002="HT20250202")*(原始数据!$M$3:$M$1002&lt;&gt;""),0),0)),"")</f>
        <v>朱军</v>
      </c>
      <c r="M27" s="14" t="str">
        <f>IFERROR(INDEX(原始数据!$N$3:$N$1002,MATCH(1,INDEX((原始数据!$D$3:$D$1002="HT20250202")*(原始数据!$N$3:$N$1002&lt;&gt;""),0),0)),"")</f>
        <v>1年以内</v>
      </c>
      <c r="N27" s="14" t="inlineStr">
        <is>
          <t>公司负债</t>
        </is>
      </c>
    </row>
    <row r="28">
      <c r="A28" s="18">
        <f>ROW()-2</f>
        <v>26</v>
      </c>
      <c r="B28" s="19" t="str">
        <f>IFERROR(INDEX(原始数据!$B$3:$B$1002,MATCH(1,INDEX((原始数据!$D$3:$D$1002="HT20250204")*(原始数据!$B$3:$B$1002&lt;&gt;""),0),0)),"")</f>
        <v>西南-四川</v>
      </c>
      <c r="C28" s="19" t="str">
        <f>IFERROR(INDEX(原始数据!$C$3:$C$1002,MATCH(1,INDEX((原始数据!$D$3:$D$1002="HT20250204")*(原始数据!$C$3:$C$1002&lt;&gt;""),0),0)),"")</f>
        <v>国有企业</v>
      </c>
      <c r="D28" s="20" t="inlineStr">
        <is>
          <t>HT20250204</t>
        </is>
      </c>
      <c r="E28" s="21">
        <f>IFERROR(INDEX(原始数据!$E$3:$E$1002,MATCH(1,INDEX((原始数据!$D$3:$D$1002="HT20250204")*(原始数据!$E$3:$E$1002&lt;&gt;""),0),0)),"")</f>
        <v>20260214</v>
      </c>
      <c r="F28" s="22">
        <f>SUMIFS(原始数据!$F$3:$F$1002,原始数据!$D$3:$D$1002,"HT20250204")</f>
        <v>3944.458</v>
      </c>
      <c r="G28" s="22">
        <f>SUMIFS(原始数据!$H$3:$H$1002,原始数据!$D$3:$D$1002,"HT20250204")</f>
        <v>2850.041</v>
      </c>
      <c r="H28" s="22">
        <f>SUMIFS(原始数据!$I$3:$I$1002,原始数据!$D$3:$D$1002,"HT20250204")</f>
        <v>1094.417</v>
      </c>
      <c r="I28" s="22">
        <f>SUMIFS(原始数据!$J$3:$J$1002,原始数据!$D$3:$D$1002,"HT20250204")</f>
        <v>645.569</v>
      </c>
      <c r="J28" s="22">
        <f>SUMIFS(原始数据!$K$3:$K$1002,原始数据!$D$3:$D$1002,"HT20250204")</f>
        <v>448.848</v>
      </c>
      <c r="K28" s="19" t="str">
        <f>IFERROR(INDEX(原始数据!$L$3:$L$1002,MATCH(1,INDEX((原始数据!$D$3:$D$1002="HT20250204")*(原始数据!$L$3:$L$1002&lt;&gt;""),0),0)),"")</f>
        <v>十部</v>
      </c>
      <c r="L28" s="20" t="str">
        <f>IFERROR(INDEX(原始数据!$M$3:$M$1002,MATCH(1,INDEX((原始数据!$D$3:$D$1002="HT20250204")*(原始数据!$M$3:$M$1002&lt;&gt;""),0),0)),"")</f>
        <v>雷声</v>
      </c>
      <c r="M28" s="19" t="str">
        <f>IFERROR(INDEX(原始数据!$N$3:$N$1002,MATCH(1,INDEX((原始数据!$D$3:$D$1002="HT20250204")*(原始数据!$N$3:$N$1002&lt;&gt;""),0),0)),"")</f>
        <v>1年以内</v>
      </c>
      <c r="N28" s="19" t="inlineStr"/>
    </row>
    <row r="29">
      <c r="A29" s="13">
        <f>ROW()-2</f>
        <v>27</v>
      </c>
      <c r="B29" s="14" t="str">
        <f>IFERROR(INDEX(原始数据!$B$3:$B$1002,MATCH(1,INDEX((原始数据!$D$3:$D$1002="HT20250205")*(原始数据!$B$3:$B$1002&lt;&gt;""),0),0)),"")</f>
        <v>华南-澳门</v>
      </c>
      <c r="C29" s="14" t="str">
        <f>IFERROR(INDEX(原始数据!$C$3:$C$1002,MATCH(1,INDEX((原始数据!$D$3:$D$1002="HT20250205")*(原始数据!$C$3:$C$1002&lt;&gt;""),0),0)),"")</f>
        <v>基层自治组织</v>
      </c>
      <c r="D29" s="15" t="inlineStr">
        <is>
          <t>HT20250205</t>
        </is>
      </c>
      <c r="E29" s="16">
        <f>IFERROR(INDEX(原始数据!$E$3:$E$1002,MATCH(1,INDEX((原始数据!$D$3:$D$1002="HT20250205")*(原始数据!$E$3:$E$1002&lt;&gt;""),0),0)),"")</f>
        <v>20260519</v>
      </c>
      <c r="F29" s="17">
        <f>SUMIFS(原始数据!$F$3:$F$1002,原始数据!$D$3:$D$1002,"HT20250205")</f>
        <v>1994.991</v>
      </c>
      <c r="G29" s="17">
        <f>SUMIFS(原始数据!$H$3:$H$1002,原始数据!$D$3:$D$1002,"HT20250205")</f>
        <v>1169.406</v>
      </c>
      <c r="H29" s="17">
        <f>SUMIFS(原始数据!$I$3:$I$1002,原始数据!$D$3:$D$1002,"HT20250205")</f>
        <v>825.5849999999999</v>
      </c>
      <c r="I29" s="17">
        <f>SUMIFS(原始数据!$J$3:$J$1002,原始数据!$D$3:$D$1002,"HT20250205")</f>
        <v>369.206</v>
      </c>
      <c r="J29" s="17">
        <f>SUMIFS(原始数据!$K$3:$K$1002,原始数据!$D$3:$D$1002,"HT20250205")</f>
        <v>456.37899999999996</v>
      </c>
      <c r="K29" s="14" t="str">
        <f>IFERROR(INDEX(原始数据!$L$3:$L$1002,MATCH(1,INDEX((原始数据!$D$3:$D$1002="HT20250205")*(原始数据!$L$3:$L$1002&lt;&gt;""),0),0)),"")</f>
        <v>二部</v>
      </c>
      <c r="L29" s="15" t="str">
        <f>IFERROR(INDEX(原始数据!$M$3:$M$1002,MATCH(1,INDEX((原始数据!$D$3:$D$1002="HT20250205")*(原始数据!$M$3:$M$1002&lt;&gt;""),0),0)),"")</f>
        <v>杨磊</v>
      </c>
      <c r="M29" s="14" t="str">
        <f>IFERROR(INDEX(原始数据!$N$3:$N$1002,MATCH(1,INDEX((原始数据!$D$3:$D$1002="HT20250205")*(原始数据!$N$3:$N$1002&lt;&gt;""),0),0)),"")</f>
        <v>2-3年</v>
      </c>
      <c r="N29" s="14" t="inlineStr">
        <is>
          <t>需求不满足</t>
        </is>
      </c>
    </row>
    <row r="30">
      <c r="A30" s="18">
        <f>ROW()-2</f>
        <v>28</v>
      </c>
      <c r="B30" s="19" t="str">
        <f>IFERROR(INDEX(原始数据!$B$3:$B$1002,MATCH(1,INDEX((原始数据!$D$3:$D$1002="HT20250206")*(原始数据!$B$3:$B$1002&lt;&gt;""),0),0)),"")</f>
        <v>华南-香港</v>
      </c>
      <c r="C30" s="19" t="str">
        <f>IFERROR(INDEX(原始数据!$C$3:$C$1002,MATCH(1,INDEX((原始数据!$D$3:$D$1002="HT20250206")*(原始数据!$C$3:$C$1002&lt;&gt;""),0),0)),"")</f>
        <v>国有企业</v>
      </c>
      <c r="D30" s="20" t="inlineStr">
        <is>
          <t>HT20250206</t>
        </is>
      </c>
      <c r="E30" s="21">
        <f>IFERROR(INDEX(原始数据!$E$3:$E$1002,MATCH(1,INDEX((原始数据!$D$3:$D$1002="HT20250206")*(原始数据!$E$3:$E$1002&lt;&gt;""),0),0)),"")</f>
        <v>20250613</v>
      </c>
      <c r="F30" s="22">
        <f>SUMIFS(原始数据!$F$3:$F$1002,原始数据!$D$3:$D$1002,"HT20250206")</f>
        <v>968.553</v>
      </c>
      <c r="G30" s="22">
        <f>SUMIFS(原始数据!$H$3:$H$1002,原始数据!$D$3:$D$1002,"HT20250206")</f>
        <v>558.3679999999999</v>
      </c>
      <c r="H30" s="22">
        <f>SUMIFS(原始数据!$I$3:$I$1002,原始数据!$D$3:$D$1002,"HT20250206")</f>
        <v>410.185</v>
      </c>
      <c r="I30" s="22">
        <f>SUMIFS(原始数据!$J$3:$J$1002,原始数据!$D$3:$D$1002,"HT20250206")</f>
        <v>231.217</v>
      </c>
      <c r="J30" s="22">
        <f>SUMIFS(原始数据!$K$3:$K$1002,原始数据!$D$3:$D$1002,"HT20250206")</f>
        <v>178.96800000000002</v>
      </c>
      <c r="K30" s="19" t="str">
        <f>IFERROR(INDEX(原始数据!$L$3:$L$1002,MATCH(1,INDEX((原始数据!$D$3:$D$1002="HT20250206")*(原始数据!$L$3:$L$1002&lt;&gt;""),0),0)),"")</f>
        <v>九部</v>
      </c>
      <c r="L30" s="20" t="str">
        <f>IFERROR(INDEX(原始数据!$M$3:$M$1002,MATCH(1,INDEX((原始数据!$D$3:$D$1002="HT20250206")*(原始数据!$M$3:$M$1002&lt;&gt;""),0),0)),"")</f>
        <v>蒋涛</v>
      </c>
      <c r="M30" s="19" t="str">
        <f>IFERROR(INDEX(原始数据!$N$3:$N$1002,MATCH(1,INDEX((原始数据!$D$3:$D$1002="HT20250206")*(原始数据!$N$3:$N$1002&lt;&gt;""),0),0)),"")</f>
        <v>1年以内</v>
      </c>
      <c r="N30" s="19" t="inlineStr">
        <is>
          <t>服务不满意</t>
        </is>
      </c>
    </row>
    <row r="31">
      <c r="A31" s="13">
        <f>ROW()-2</f>
        <v>29</v>
      </c>
      <c r="B31" s="14" t="str">
        <f>IFERROR(INDEX(原始数据!$B$3:$B$1002,MATCH(1,INDEX((原始数据!$D$3:$D$1002="HT20250207")*(原始数据!$B$3:$B$1002&lt;&gt;""),0),0)),"")</f>
        <v>东北-吉林</v>
      </c>
      <c r="C31" s="14" t="str">
        <f>IFERROR(INDEX(原始数据!$C$3:$C$1002,MATCH(1,INDEX((原始数据!$D$3:$D$1002="HT20250207")*(原始数据!$C$3:$C$1002&lt;&gt;""),0),0)),"")</f>
        <v>党委机关</v>
      </c>
      <c r="D31" s="15" t="inlineStr">
        <is>
          <t>HT20250207</t>
        </is>
      </c>
      <c r="E31" s="16">
        <f>IFERROR(INDEX(原始数据!$E$3:$E$1002,MATCH(1,INDEX((原始数据!$D$3:$D$1002="HT20250207")*(原始数据!$E$3:$E$1002&lt;&gt;""),0),0)),"")</f>
        <v>20260522</v>
      </c>
      <c r="F31" s="17">
        <f>SUMIFS(原始数据!$F$3:$F$1002,原始数据!$D$3:$D$1002,"HT20250207")</f>
        <v>830.842</v>
      </c>
      <c r="G31" s="17">
        <f>SUMIFS(原始数据!$H$3:$H$1002,原始数据!$D$3:$D$1002,"HT20250207")</f>
        <v>445.041</v>
      </c>
      <c r="H31" s="17">
        <f>SUMIFS(原始数据!$I$3:$I$1002,原始数据!$D$3:$D$1002,"HT20250207")</f>
        <v>385.80100000000004</v>
      </c>
      <c r="I31" s="17">
        <f>SUMIFS(原始数据!$J$3:$J$1002,原始数据!$D$3:$D$1002,"HT20250207")</f>
        <v>149.37800000000001</v>
      </c>
      <c r="J31" s="17">
        <f>SUMIFS(原始数据!$K$3:$K$1002,原始数据!$D$3:$D$1002,"HT20250207")</f>
        <v>236.423</v>
      </c>
      <c r="K31" s="14" t="str">
        <f>IFERROR(INDEX(原始数据!$L$3:$L$1002,MATCH(1,INDEX((原始数据!$D$3:$D$1002="HT20250207")*(原始数据!$L$3:$L$1002&lt;&gt;""),0),0)),"")</f>
        <v>三部</v>
      </c>
      <c r="L31" s="15" t="str">
        <f>IFERROR(INDEX(原始数据!$M$3:$M$1002,MATCH(1,INDEX((原始数据!$D$3:$D$1002="HT20250207")*(原始数据!$M$3:$M$1002&lt;&gt;""),0),0)),"")</f>
        <v>徐涛</v>
      </c>
      <c r="M31" s="14" t="str">
        <f>IFERROR(INDEX(原始数据!$N$3:$N$1002,MATCH(1,INDEX((原始数据!$D$3:$D$1002="HT20250207")*(原始数据!$N$3:$N$1002&lt;&gt;""),0),0)),"")</f>
        <v>1-2年</v>
      </c>
      <c r="N31" s="14" t="inlineStr"/>
    </row>
    <row r="32">
      <c r="A32" s="18">
        <f>ROW()-2</f>
        <v>30</v>
      </c>
      <c r="B32" s="19" t="str">
        <f>IFERROR(INDEX(原始数据!$B$3:$B$1002,MATCH(1,INDEX((原始数据!$D$3:$D$1002="HT20250208")*(原始数据!$B$3:$B$1002&lt;&gt;""),0),0)),"")</f>
        <v>华东-安徽</v>
      </c>
      <c r="C32" s="19" t="str">
        <f>IFERROR(INDEX(原始数据!$C$3:$C$1002,MATCH(1,INDEX((原始数据!$D$3:$D$1002="HT20250208")*(原始数据!$C$3:$C$1002&lt;&gt;""),0),0)),"")</f>
        <v>国有企业</v>
      </c>
      <c r="D32" s="20" t="inlineStr">
        <is>
          <t>HT20250208</t>
        </is>
      </c>
      <c r="E32" s="21">
        <f>IFERROR(INDEX(原始数据!$E$3:$E$1002,MATCH(1,INDEX((原始数据!$D$3:$D$1002="HT20250208")*(原始数据!$E$3:$E$1002&lt;&gt;""),0),0)),"")</f>
        <v>20260709</v>
      </c>
      <c r="F32" s="22">
        <f>SUMIFS(原始数据!$F$3:$F$1002,原始数据!$D$3:$D$1002,"HT20250208")</f>
        <v>653.4689999999999</v>
      </c>
      <c r="G32" s="22">
        <f>SUMIFS(原始数据!$H$3:$H$1002,原始数据!$D$3:$D$1002,"HT20250208")</f>
        <v>197.25</v>
      </c>
      <c r="H32" s="22">
        <f>SUMIFS(原始数据!$I$3:$I$1002,原始数据!$D$3:$D$1002,"HT20250208")</f>
        <v>456.219</v>
      </c>
      <c r="I32" s="22">
        <f>SUMIFS(原始数据!$J$3:$J$1002,原始数据!$D$3:$D$1002,"HT20250208")</f>
        <v>158.034</v>
      </c>
      <c r="J32" s="22">
        <f>SUMIFS(原始数据!$K$3:$K$1002,原始数据!$D$3:$D$1002,"HT20250208")</f>
        <v>298.185</v>
      </c>
      <c r="K32" s="19" t="str">
        <f>IFERROR(INDEX(原始数据!$L$3:$L$1002,MATCH(1,INDEX((原始数据!$D$3:$D$1002="HT20250208")*(原始数据!$L$3:$L$1002&lt;&gt;""),0),0)),"")</f>
        <v>八部</v>
      </c>
      <c r="L32" s="20" t="str">
        <f>IFERROR(INDEX(原始数据!$M$3:$M$1002,MATCH(1,INDEX((原始数据!$D$3:$D$1002="HT20250208")*(原始数据!$M$3:$M$1002&lt;&gt;""),0),0)),"")</f>
        <v>苏珊</v>
      </c>
      <c r="M32" s="19" t="str">
        <f>IFERROR(INDEX(原始数据!$N$3:$N$1002,MATCH(1,INDEX((原始数据!$D$3:$D$1002="HT20250208")*(原始数据!$N$3:$N$1002&lt;&gt;""),0),0)),"")</f>
        <v>2-3年</v>
      </c>
      <c r="N32" s="19" t="inlineStr"/>
    </row>
    <row r="33">
      <c r="A33" s="13">
        <f>ROW()-2</f>
        <v>31</v>
      </c>
      <c r="B33" s="14" t="str">
        <f>IFERROR(INDEX(原始数据!$B$3:$B$1002,MATCH(1,INDEX((原始数据!$D$3:$D$1002="HT20250209")*(原始数据!$B$3:$B$1002&lt;&gt;""),0),0)),"")</f>
        <v>华东-江西</v>
      </c>
      <c r="C33" s="14" t="str">
        <f>IFERROR(INDEX(原始数据!$C$3:$C$1002,MATCH(1,INDEX((原始数据!$D$3:$D$1002="HT20250209")*(原始数据!$C$3:$C$1002&lt;&gt;""),0),0)),"")</f>
        <v>党委机关</v>
      </c>
      <c r="D33" s="15" t="inlineStr">
        <is>
          <t>HT20250209</t>
        </is>
      </c>
      <c r="E33" s="16">
        <f>IFERROR(INDEX(原始数据!$E$3:$E$1002,MATCH(1,INDEX((原始数据!$D$3:$D$1002="HT20250209")*(原始数据!$E$3:$E$1002&lt;&gt;""),0),0)),"")</f>
        <v>20260626</v>
      </c>
      <c r="F33" s="17">
        <f>SUMIFS(原始数据!$F$3:$F$1002,原始数据!$D$3:$D$1002,"HT20250209")</f>
        <v>451.45399999999995</v>
      </c>
      <c r="G33" s="17">
        <f>SUMIFS(原始数据!$H$3:$H$1002,原始数据!$D$3:$D$1002,"HT20250209")</f>
        <v>270.513</v>
      </c>
      <c r="H33" s="17">
        <f>SUMIFS(原始数据!$I$3:$I$1002,原始数据!$D$3:$D$1002,"HT20250209")</f>
        <v>180.941</v>
      </c>
      <c r="I33" s="17">
        <f>SUMIFS(原始数据!$J$3:$J$1002,原始数据!$D$3:$D$1002,"HT20250209")</f>
        <v>20.874000000000002</v>
      </c>
      <c r="J33" s="17">
        <f>SUMIFS(原始数据!$K$3:$K$1002,原始数据!$D$3:$D$1002,"HT20250209")</f>
        <v>160.067</v>
      </c>
      <c r="K33" s="14" t="str">
        <f>IFERROR(INDEX(原始数据!$L$3:$L$1002,MATCH(1,INDEX((原始数据!$D$3:$D$1002="HT20250209")*(原始数据!$L$3:$L$1002&lt;&gt;""),0),0)),"")</f>
        <v>三部</v>
      </c>
      <c r="L33" s="15" t="str">
        <f>IFERROR(INDEX(原始数据!$M$3:$M$1002,MATCH(1,INDEX((原始数据!$D$3:$D$1002="HT20250209")*(原始数据!$M$3:$M$1002&lt;&gt;""),0),0)),"")</f>
        <v>胡蓉</v>
      </c>
      <c r="M33" s="14" t="str">
        <f>IFERROR(INDEX(原始数据!$N$3:$N$1002,MATCH(1,INDEX((原始数据!$D$3:$D$1002="HT20250209")*(原始数据!$N$3:$N$1002&lt;&gt;""),0),0)),"")</f>
        <v>2-3年</v>
      </c>
      <c r="N33" s="14" t="inlineStr">
        <is>
          <t>需求不满足</t>
        </is>
      </c>
    </row>
    <row r="34">
      <c r="A34" s="18">
        <f>ROW()-2</f>
        <v>32</v>
      </c>
      <c r="B34" s="19" t="str">
        <f>IFERROR(INDEX(原始数据!$B$3:$B$1002,MATCH(1,INDEX((原始数据!$D$3:$D$1002="HT20250210")*(原始数据!$B$3:$B$1002&lt;&gt;""),0),0)),"")</f>
        <v>西北-新疆</v>
      </c>
      <c r="C34" s="19" t="str">
        <f>IFERROR(INDEX(原始数据!$C$3:$C$1002,MATCH(1,INDEX((原始数据!$D$3:$D$1002="HT20250210")*(原始数据!$C$3:$C$1002&lt;&gt;""),0),0)),"")</f>
        <v>党委机关</v>
      </c>
      <c r="D34" s="20" t="inlineStr">
        <is>
          <t>HT20250210</t>
        </is>
      </c>
      <c r="E34" s="21">
        <f>IFERROR(INDEX(原始数据!$E$3:$E$1002,MATCH(1,INDEX((原始数据!$D$3:$D$1002="HT20250210")*(原始数据!$E$3:$E$1002&lt;&gt;""),0),0)),"")</f>
        <v>20251009</v>
      </c>
      <c r="F34" s="22">
        <f>SUMIFS(原始数据!$F$3:$F$1002,原始数据!$D$3:$D$1002,"HT20250210")</f>
        <v>960.078</v>
      </c>
      <c r="G34" s="22">
        <f>SUMIFS(原始数据!$H$3:$H$1002,原始数据!$D$3:$D$1002,"HT20250210")</f>
        <v>777.806</v>
      </c>
      <c r="H34" s="22">
        <f>SUMIFS(原始数据!$I$3:$I$1002,原始数据!$D$3:$D$1002,"HT20250210")</f>
        <v>182.272</v>
      </c>
      <c r="I34" s="22">
        <f>SUMIFS(原始数据!$J$3:$J$1002,原始数据!$D$3:$D$1002,"HT20250210")</f>
        <v>94.176</v>
      </c>
      <c r="J34" s="22">
        <f>SUMIFS(原始数据!$K$3:$K$1002,原始数据!$D$3:$D$1002,"HT20250210")</f>
        <v>88.096</v>
      </c>
      <c r="K34" s="19" t="str">
        <f>IFERROR(INDEX(原始数据!$L$3:$L$1002,MATCH(1,INDEX((原始数据!$D$3:$D$1002="HT20250210")*(原始数据!$L$3:$L$1002&lt;&gt;""),0),0)),"")</f>
        <v>七部</v>
      </c>
      <c r="L34" s="20" t="str">
        <f>IFERROR(INDEX(原始数据!$M$3:$M$1002,MATCH(1,INDEX((原始数据!$D$3:$D$1002="HT20250210")*(原始数据!$M$3:$M$1002&lt;&gt;""),0),0)),"")</f>
        <v>袁博</v>
      </c>
      <c r="M34" s="19" t="str">
        <f>IFERROR(INDEX(原始数据!$N$3:$N$1002,MATCH(1,INDEX((原始数据!$D$3:$D$1002="HT20250210")*(原始数据!$N$3:$N$1002&lt;&gt;""),0),0)),"")</f>
        <v>1年以内</v>
      </c>
      <c r="N34" s="19" t="inlineStr"/>
    </row>
    <row r="35">
      <c r="A35" s="13">
        <f>ROW()-2</f>
        <v>33</v>
      </c>
      <c r="B35" s="14" t="str">
        <f>IFERROR(INDEX(原始数据!$B$3:$B$1002,MATCH(1,INDEX((原始数据!$D$3:$D$1002="HT20250212")*(原始数据!$B$3:$B$1002&lt;&gt;""),0),0)),"")</f>
        <v>西南-四川</v>
      </c>
      <c r="C35" s="14" t="str">
        <f>IFERROR(INDEX(原始数据!$C$3:$C$1002,MATCH(1,INDEX((原始数据!$D$3:$D$1002="HT20250212")*(原始数据!$C$3:$C$1002&lt;&gt;""),0),0)),"")</f>
        <v>事业单位</v>
      </c>
      <c r="D35" s="15" t="inlineStr">
        <is>
          <t>HT20250212</t>
        </is>
      </c>
      <c r="E35" s="16">
        <f>IFERROR(INDEX(原始数据!$E$3:$E$1002,MATCH(1,INDEX((原始数据!$D$3:$D$1002="HT20250212")*(原始数据!$E$3:$E$1002&lt;&gt;""),0),0)),"")</f>
        <v>20260831</v>
      </c>
      <c r="F35" s="17">
        <f>SUMIFS(原始数据!$F$3:$F$1002,原始数据!$D$3:$D$1002,"HT20250212")</f>
        <v>982.67</v>
      </c>
      <c r="G35" s="17">
        <f>SUMIFS(原始数据!$H$3:$H$1002,原始数据!$D$3:$D$1002,"HT20250212")</f>
        <v>419.632</v>
      </c>
      <c r="H35" s="17">
        <f>SUMIFS(原始数据!$I$3:$I$1002,原始数据!$D$3:$D$1002,"HT20250212")</f>
        <v>563.038</v>
      </c>
      <c r="I35" s="17">
        <f>SUMIFS(原始数据!$J$3:$J$1002,原始数据!$D$3:$D$1002,"HT20250212")</f>
        <v>458.859</v>
      </c>
      <c r="J35" s="17">
        <f>SUMIFS(原始数据!$K$3:$K$1002,原始数据!$D$3:$D$1002,"HT20250212")</f>
        <v>104.17899999999999</v>
      </c>
      <c r="K35" s="14" t="str">
        <f>IFERROR(INDEX(原始数据!$L$3:$L$1002,MATCH(1,INDEX((原始数据!$D$3:$D$1002="HT20250212")*(原始数据!$L$3:$L$1002&lt;&gt;""),0),0)),"")</f>
        <v>六部</v>
      </c>
      <c r="L35" s="15" t="str">
        <f>IFERROR(INDEX(原始数据!$M$3:$M$1002,MATCH(1,INDEX((原始数据!$D$3:$D$1002="HT20250212")*(原始数据!$M$3:$M$1002&lt;&gt;""),0),0)),"")</f>
        <v>董辉</v>
      </c>
      <c r="M35" s="14" t="str">
        <f>IFERROR(INDEX(原始数据!$N$3:$N$1002,MATCH(1,INDEX((原始数据!$D$3:$D$1002="HT20250212")*(原始数据!$N$3:$N$1002&lt;&gt;""),0),0)),"")</f>
        <v>1-2年</v>
      </c>
      <c r="N35" s="14" t="inlineStr">
        <is>
          <t>需求不满足</t>
        </is>
      </c>
    </row>
    <row r="36">
      <c r="A36" s="18">
        <f>ROW()-2</f>
        <v>34</v>
      </c>
      <c r="B36" s="19" t="str">
        <f>IFERROR(INDEX(原始数据!$B$3:$B$1002,MATCH(1,INDEX((原始数据!$D$3:$D$1002="HT20250213")*(原始数据!$B$3:$B$1002&lt;&gt;""),0),0)),"")</f>
        <v>华中-湖北</v>
      </c>
      <c r="C36" s="19" t="str">
        <f>IFERROR(INDEX(原始数据!$C$3:$C$1002,MATCH(1,INDEX((原始数据!$D$3:$D$1002="HT20250213")*(原始数据!$C$3:$C$1002&lt;&gt;""),0),0)),"")</f>
        <v>基层自治组织</v>
      </c>
      <c r="D36" s="20" t="inlineStr">
        <is>
          <t>HT20250213</t>
        </is>
      </c>
      <c r="E36" s="21">
        <f>IFERROR(INDEX(原始数据!$E$3:$E$1002,MATCH(1,INDEX((原始数据!$D$3:$D$1002="HT20250213")*(原始数据!$E$3:$E$1002&lt;&gt;""),0),0)),"")</f>
        <v>20260122</v>
      </c>
      <c r="F36" s="22">
        <f>SUMIFS(原始数据!$F$3:$F$1002,原始数据!$D$3:$D$1002,"HT20250213")</f>
        <v>5863.254</v>
      </c>
      <c r="G36" s="22">
        <f>SUMIFS(原始数据!$H$3:$H$1002,原始数据!$D$3:$D$1002,"HT20250213")</f>
        <v>1348.566</v>
      </c>
      <c r="H36" s="22">
        <f>SUMIFS(原始数据!$I$3:$I$1002,原始数据!$D$3:$D$1002,"HT20250213")</f>
        <v>4514.688</v>
      </c>
      <c r="I36" s="22">
        <f>SUMIFS(原始数据!$J$3:$J$1002,原始数据!$D$3:$D$1002,"HT20250213")</f>
        <v>1903.161</v>
      </c>
      <c r="J36" s="22">
        <f>SUMIFS(原始数据!$K$3:$K$1002,原始数据!$D$3:$D$1002,"HT20250213")</f>
        <v>2611.527</v>
      </c>
      <c r="K36" s="19" t="str">
        <f>IFERROR(INDEX(原始数据!$L$3:$L$1002,MATCH(1,INDEX((原始数据!$D$3:$D$1002="HT20250213")*(原始数据!$L$3:$L$1002&lt;&gt;""),0),0)),"")</f>
        <v>五部</v>
      </c>
      <c r="L36" s="20" t="str">
        <f>IFERROR(INDEX(原始数据!$M$3:$M$1002,MATCH(1,INDEX((原始数据!$D$3:$D$1002="HT20250213")*(原始数据!$M$3:$M$1002&lt;&gt;""),0),0)),"")</f>
        <v>郑浩</v>
      </c>
      <c r="M36" s="19" t="str">
        <f>IFERROR(INDEX(原始数据!$N$3:$N$1002,MATCH(1,INDEX((原始数据!$D$3:$D$1002="HT20250213")*(原始数据!$N$3:$N$1002&lt;&gt;""),0),0)),"")</f>
        <v>1-2年</v>
      </c>
      <c r="N36" s="19" t="inlineStr"/>
    </row>
    <row r="37">
      <c r="A37" s="13">
        <f>ROW()-2</f>
        <v>35</v>
      </c>
      <c r="B37" s="14" t="str">
        <f>IFERROR(INDEX(原始数据!$B$3:$B$1002,MATCH(1,INDEX((原始数据!$D$3:$D$1002="HT20250214")*(原始数据!$B$3:$B$1002&lt;&gt;""),0),0)),"")</f>
        <v>西南-西藏</v>
      </c>
      <c r="C37" s="14" t="str">
        <f>IFERROR(INDEX(原始数据!$C$3:$C$1002,MATCH(1,INDEX((原始数据!$D$3:$D$1002="HT20250214")*(原始数据!$C$3:$C$1002&lt;&gt;""),0),0)),"")</f>
        <v>监察司法机关</v>
      </c>
      <c r="D37" s="15" t="inlineStr">
        <is>
          <t>HT20250214</t>
        </is>
      </c>
      <c r="E37" s="16">
        <f>IFERROR(INDEX(原始数据!$E$3:$E$1002,MATCH(1,INDEX((原始数据!$D$3:$D$1002="HT20250214")*(原始数据!$E$3:$E$1002&lt;&gt;""),0),0)),"")</f>
        <v>20250916</v>
      </c>
      <c r="F37" s="17">
        <f>SUMIFS(原始数据!$F$3:$F$1002,原始数据!$D$3:$D$1002,"HT20250214")</f>
        <v>2750.267</v>
      </c>
      <c r="G37" s="17">
        <f>SUMIFS(原始数据!$H$3:$H$1002,原始数据!$D$3:$D$1002,"HT20250214")</f>
        <v>1604.5320000000002</v>
      </c>
      <c r="H37" s="17">
        <f>SUMIFS(原始数据!$I$3:$I$1002,原始数据!$D$3:$D$1002,"HT20250214")</f>
        <v>1145.7350000000001</v>
      </c>
      <c r="I37" s="17">
        <f>SUMIFS(原始数据!$J$3:$J$1002,原始数据!$D$3:$D$1002,"HT20250214")</f>
        <v>903.9960000000001</v>
      </c>
      <c r="J37" s="17">
        <f>SUMIFS(原始数据!$K$3:$K$1002,原始数据!$D$3:$D$1002,"HT20250214")</f>
        <v>241.739</v>
      </c>
      <c r="K37" s="14" t="str">
        <f>IFERROR(INDEX(原始数据!$L$3:$L$1002,MATCH(1,INDEX((原始数据!$D$3:$D$1002="HT20250214")*(原始数据!$L$3:$L$1002&lt;&gt;""),0),0)),"")</f>
        <v>六部</v>
      </c>
      <c r="L37" s="15" t="str">
        <f>IFERROR(INDEX(原始数据!$M$3:$M$1002,MATCH(1,INDEX((原始数据!$D$3:$D$1002="HT20250214")*(原始数据!$M$3:$M$1002&lt;&gt;""),0),0)),"")</f>
        <v>曹阳</v>
      </c>
      <c r="M37" s="14" t="str">
        <f>IFERROR(INDEX(原始数据!$N$3:$N$1002,MATCH(1,INDEX((原始数据!$D$3:$D$1002="HT20250214")*(原始数据!$N$3:$N$1002&lt;&gt;""),0),0)),"")</f>
        <v>2-3年</v>
      </c>
      <c r="N37" s="14" t="inlineStr">
        <is>
          <t>需求不满足</t>
        </is>
      </c>
    </row>
    <row r="38">
      <c r="A38" s="18">
        <f>ROW()-2</f>
        <v>36</v>
      </c>
      <c r="B38" s="19" t="str">
        <f>IFERROR(INDEX(原始数据!$B$3:$B$1002,MATCH(1,INDEX((原始数据!$D$3:$D$1002="HT20250216")*(原始数据!$B$3:$B$1002&lt;&gt;""),0),0)),"")</f>
        <v>华北-北京</v>
      </c>
      <c r="C38" s="19" t="str">
        <f>IFERROR(INDEX(原始数据!$C$3:$C$1002,MATCH(1,INDEX((原始数据!$D$3:$D$1002="HT20250216")*(原始数据!$C$3:$C$1002&lt;&gt;""),0),0)),"")</f>
        <v>群团组织</v>
      </c>
      <c r="D38" s="20" t="inlineStr">
        <is>
          <t>HT20250216</t>
        </is>
      </c>
      <c r="E38" s="21">
        <f>IFERROR(INDEX(原始数据!$E$3:$E$1002,MATCH(1,INDEX((原始数据!$D$3:$D$1002="HT20250216")*(原始数据!$E$3:$E$1002&lt;&gt;""),0),0)),"")</f>
        <v>20260828</v>
      </c>
      <c r="F38" s="22">
        <f>SUMIFS(原始数据!$F$3:$F$1002,原始数据!$D$3:$D$1002,"HT20250216")</f>
        <v>1281.317</v>
      </c>
      <c r="G38" s="22">
        <f>SUMIFS(原始数据!$H$3:$H$1002,原始数据!$D$3:$D$1002,"HT20250216")</f>
        <v>841.618</v>
      </c>
      <c r="H38" s="22">
        <f>SUMIFS(原始数据!$I$3:$I$1002,原始数据!$D$3:$D$1002,"HT20250216")</f>
        <v>439.699</v>
      </c>
      <c r="I38" s="22">
        <f>SUMIFS(原始数据!$J$3:$J$1002,原始数据!$D$3:$D$1002,"HT20250216")</f>
        <v>259.283</v>
      </c>
      <c r="J38" s="22">
        <f>SUMIFS(原始数据!$K$3:$K$1002,原始数据!$D$3:$D$1002,"HT20250216")</f>
        <v>180.416</v>
      </c>
      <c r="K38" s="19" t="str">
        <f>IFERROR(INDEX(原始数据!$L$3:$L$1002,MATCH(1,INDEX((原始数据!$D$3:$D$1002="HT20250216")*(原始数据!$L$3:$L$1002&lt;&gt;""),0),0)),"")</f>
        <v>六部</v>
      </c>
      <c r="L38" s="20" t="str">
        <f>IFERROR(INDEX(原始数据!$M$3:$M$1002,MATCH(1,INDEX((原始数据!$D$3:$D$1002="HT20250216")*(原始数据!$M$3:$M$1002&lt;&gt;""),0),0)),"")</f>
        <v>董辉</v>
      </c>
      <c r="M38" s="19" t="str">
        <f>IFERROR(INDEX(原始数据!$N$3:$N$1002,MATCH(1,INDEX((原始数据!$D$3:$D$1002="HT20250216")*(原始数据!$N$3:$N$1002&lt;&gt;""),0),0)),"")</f>
        <v>2-3年</v>
      </c>
      <c r="N38" s="19" t="inlineStr"/>
    </row>
    <row r="39">
      <c r="A39" s="13">
        <f>ROW()-2</f>
        <v>37</v>
      </c>
      <c r="B39" s="14" t="str">
        <f>IFERROR(INDEX(原始数据!$B$3:$B$1002,MATCH(1,INDEX((原始数据!$D$3:$D$1002="HT20250217")*(原始数据!$B$3:$B$1002&lt;&gt;""),0),0)),"")</f>
        <v>华南-广东</v>
      </c>
      <c r="C39" s="14" t="str">
        <f>IFERROR(INDEX(原始数据!$C$3:$C$1002,MATCH(1,INDEX((原始数据!$D$3:$D$1002="HT20250217")*(原始数据!$C$3:$C$1002&lt;&gt;""),0),0)),"")</f>
        <v>国有企业</v>
      </c>
      <c r="D39" s="15" t="inlineStr">
        <is>
          <t>HT20250217</t>
        </is>
      </c>
      <c r="E39" s="16">
        <f>IFERROR(INDEX(原始数据!$E$3:$E$1002,MATCH(1,INDEX((原始数据!$D$3:$D$1002="HT20250217")*(原始数据!$E$3:$E$1002&lt;&gt;""),0),0)),"")</f>
        <v>20260511</v>
      </c>
      <c r="F39" s="17">
        <f>SUMIFS(原始数据!$F$3:$F$1002,原始数据!$D$3:$D$1002,"HT20250217")</f>
        <v>6615.234</v>
      </c>
      <c r="G39" s="17">
        <f>SUMIFS(原始数据!$H$3:$H$1002,原始数据!$D$3:$D$1002,"HT20250217")</f>
        <v>5350.604</v>
      </c>
      <c r="H39" s="17">
        <f>SUMIFS(原始数据!$I$3:$I$1002,原始数据!$D$3:$D$1002,"HT20250217")</f>
        <v>1264.63</v>
      </c>
      <c r="I39" s="17">
        <f>SUMIFS(原始数据!$J$3:$J$1002,原始数据!$D$3:$D$1002,"HT20250217")</f>
        <v>413.841</v>
      </c>
      <c r="J39" s="17">
        <f>SUMIFS(原始数据!$K$3:$K$1002,原始数据!$D$3:$D$1002,"HT20250217")</f>
        <v>850.789</v>
      </c>
      <c r="K39" s="14" t="str">
        <f>IFERROR(INDEX(原始数据!$L$3:$L$1002,MATCH(1,INDEX((原始数据!$D$3:$D$1002="HT20250217")*(原始数据!$L$3:$L$1002&lt;&gt;""),0),0)),"")</f>
        <v>六部</v>
      </c>
      <c r="L39" s="15" t="str">
        <f>IFERROR(INDEX(原始数据!$M$3:$M$1002,MATCH(1,INDEX((原始数据!$D$3:$D$1002="HT20250217")*(原始数据!$M$3:$M$1002&lt;&gt;""),0),0)),"")</f>
        <v>曹阳</v>
      </c>
      <c r="M39" s="14" t="str">
        <f>IFERROR(INDEX(原始数据!$N$3:$N$1002,MATCH(1,INDEX((原始数据!$D$3:$D$1002="HT20250217")*(原始数据!$N$3:$N$1002&lt;&gt;""),0),0)),"")</f>
        <v>1年以内</v>
      </c>
      <c r="N39" s="14" t="inlineStr">
        <is>
          <t>需求不满足</t>
        </is>
      </c>
    </row>
    <row r="40">
      <c r="A40" s="18">
        <f>ROW()-2</f>
        <v>38</v>
      </c>
      <c r="B40" s="19" t="str">
        <f>IFERROR(INDEX(原始数据!$B$3:$B$1002,MATCH(1,INDEX((原始数据!$D$3:$D$1002="HT20250219")*(原始数据!$B$3:$B$1002&lt;&gt;""),0),0)),"")</f>
        <v>华东-江苏</v>
      </c>
      <c r="C40" s="19" t="str">
        <f>IFERROR(INDEX(原始数据!$C$3:$C$1002,MATCH(1,INDEX((原始数据!$D$3:$D$1002="HT20250219")*(原始数据!$C$3:$C$1002&lt;&gt;""),0),0)),"")</f>
        <v>政府机关</v>
      </c>
      <c r="D40" s="20" t="inlineStr">
        <is>
          <t>HT20250219</t>
        </is>
      </c>
      <c r="E40" s="21">
        <f>IFERROR(INDEX(原始数据!$E$3:$E$1002,MATCH(1,INDEX((原始数据!$D$3:$D$1002="HT20250219")*(原始数据!$E$3:$E$1002&lt;&gt;""),0),0)),"")</f>
        <v>20260526</v>
      </c>
      <c r="F40" s="22">
        <f>SUMIFS(原始数据!$F$3:$F$1002,原始数据!$D$3:$D$1002,"HT20250219")</f>
        <v>1015.138</v>
      </c>
      <c r="G40" s="22">
        <f>SUMIFS(原始数据!$H$3:$H$1002,原始数据!$D$3:$D$1002,"HT20250219")</f>
        <v>547.539</v>
      </c>
      <c r="H40" s="22">
        <f>SUMIFS(原始数据!$I$3:$I$1002,原始数据!$D$3:$D$1002,"HT20250219")</f>
        <v>467.59900000000005</v>
      </c>
      <c r="I40" s="22">
        <f>SUMIFS(原始数据!$J$3:$J$1002,原始数据!$D$3:$D$1002,"HT20250219")</f>
        <v>179.28699999999998</v>
      </c>
      <c r="J40" s="22">
        <f>SUMIFS(原始数据!$K$3:$K$1002,原始数据!$D$3:$D$1002,"HT20250219")</f>
        <v>288.312</v>
      </c>
      <c r="K40" s="19" t="str">
        <f>IFERROR(INDEX(原始数据!$L$3:$L$1002,MATCH(1,INDEX((原始数据!$D$3:$D$1002="HT20250219")*(原始数据!$L$3:$L$1002&lt;&gt;""),0),0)),"")</f>
        <v>六部</v>
      </c>
      <c r="L40" s="20" t="str">
        <f>IFERROR(INDEX(原始数据!$M$3:$M$1002,MATCH(1,INDEX((原始数据!$D$3:$D$1002="HT20250219")*(原始数据!$M$3:$M$1002&lt;&gt;""),0),0)),"")</f>
        <v>程琳</v>
      </c>
      <c r="M40" s="19" t="str">
        <f>IFERROR(INDEX(原始数据!$N$3:$N$1002,MATCH(1,INDEX((原始数据!$D$3:$D$1002="HT20250219")*(原始数据!$N$3:$N$1002&lt;&gt;""),0),0)),"")</f>
        <v>1-2年</v>
      </c>
      <c r="N40" s="19" t="inlineStr"/>
    </row>
    <row r="41">
      <c r="A41" s="13">
        <f>ROW()-2</f>
        <v>39</v>
      </c>
      <c r="B41" s="14" t="str">
        <f>IFERROR(INDEX(原始数据!$B$3:$B$1002,MATCH(1,INDEX((原始数据!$D$3:$D$1002="HT20250220")*(原始数据!$B$3:$B$1002&lt;&gt;""),0),0)),"")</f>
        <v>华北-河北</v>
      </c>
      <c r="C41" s="14" t="str">
        <f>IFERROR(INDEX(原始数据!$C$3:$C$1002,MATCH(1,INDEX((原始数据!$D$3:$D$1002="HT20250220")*(原始数据!$C$3:$C$1002&lt;&gt;""),0),0)),"")</f>
        <v>事业单位</v>
      </c>
      <c r="D41" s="15" t="inlineStr">
        <is>
          <t>HT20250220</t>
        </is>
      </c>
      <c r="E41" s="16">
        <f>IFERROR(INDEX(原始数据!$E$3:$E$1002,MATCH(1,INDEX((原始数据!$D$3:$D$1002="HT20250220")*(原始数据!$E$3:$E$1002&lt;&gt;""),0),0)),"")</f>
        <v>20251220</v>
      </c>
      <c r="F41" s="17">
        <f>SUMIFS(原始数据!$F$3:$F$1002,原始数据!$D$3:$D$1002,"HT20250220")</f>
        <v>16854.085</v>
      </c>
      <c r="G41" s="17">
        <f>SUMIFS(原始数据!$H$3:$H$1002,原始数据!$D$3:$D$1002,"HT20250220")</f>
        <v>9825.061</v>
      </c>
      <c r="H41" s="17">
        <f>SUMIFS(原始数据!$I$3:$I$1002,原始数据!$D$3:$D$1002,"HT20250220")</f>
        <v>7029.023999999999</v>
      </c>
      <c r="I41" s="17">
        <f>SUMIFS(原始数据!$J$3:$J$1002,原始数据!$D$3:$D$1002,"HT20250220")</f>
        <v>2721.509</v>
      </c>
      <c r="J41" s="17">
        <f>SUMIFS(原始数据!$K$3:$K$1002,原始数据!$D$3:$D$1002,"HT20250220")</f>
        <v>4307.514999999999</v>
      </c>
      <c r="K41" s="14" t="str">
        <f>IFERROR(INDEX(原始数据!$L$3:$L$1002,MATCH(1,INDEX((原始数据!$D$3:$D$1002="HT20250220")*(原始数据!$L$3:$L$1002&lt;&gt;""),0),0)),"")</f>
        <v>八部</v>
      </c>
      <c r="L41" s="15" t="str">
        <f>IFERROR(INDEX(原始数据!$M$3:$M$1002,MATCH(1,INDEX((原始数据!$D$3:$D$1002="HT20250220")*(原始数据!$M$3:$M$1002&lt;&gt;""),0),0)),"")</f>
        <v>卢俊</v>
      </c>
      <c r="M41" s="14" t="str">
        <f>IFERROR(INDEX(原始数据!$N$3:$N$1002,MATCH(1,INDEX((原始数据!$D$3:$D$1002="HT20250220")*(原始数据!$N$3:$N$1002&lt;&gt;""),0),0)),"")</f>
        <v>1-2年</v>
      </c>
      <c r="N41" s="14" t="inlineStr">
        <is>
          <t>服务不满意</t>
        </is>
      </c>
    </row>
    <row r="42">
      <c r="A42" s="18">
        <f>ROW()-2</f>
        <v>40</v>
      </c>
      <c r="B42" s="19" t="str">
        <f>IFERROR(INDEX(原始数据!$B$3:$B$1002,MATCH(1,INDEX((原始数据!$D$3:$D$1002="HT20250221")*(原始数据!$B$3:$B$1002&lt;&gt;""),0),0)),"")</f>
        <v>华北-内蒙古</v>
      </c>
      <c r="C42" s="19" t="str">
        <f>IFERROR(INDEX(原始数据!$C$3:$C$1002,MATCH(1,INDEX((原始数据!$D$3:$D$1002="HT20250221")*(原始数据!$C$3:$C$1002&lt;&gt;""),0),0)),"")</f>
        <v>政府机关</v>
      </c>
      <c r="D42" s="20" t="inlineStr">
        <is>
          <t>HT20250221</t>
        </is>
      </c>
      <c r="E42" s="21">
        <f>IFERROR(INDEX(原始数据!$E$3:$E$1002,MATCH(1,INDEX((原始数据!$D$3:$D$1002="HT20250221")*(原始数据!$E$3:$E$1002&lt;&gt;""),0),0)),"")</f>
        <v>20260510</v>
      </c>
      <c r="F42" s="22">
        <f>SUMIFS(原始数据!$F$3:$F$1002,原始数据!$D$3:$D$1002,"HT20250221")</f>
        <v>529.482</v>
      </c>
      <c r="G42" s="22">
        <f>SUMIFS(原始数据!$H$3:$H$1002,原始数据!$D$3:$D$1002,"HT20250221")</f>
        <v>432.982</v>
      </c>
      <c r="H42" s="22">
        <f>SUMIFS(原始数据!$I$3:$I$1002,原始数据!$D$3:$D$1002,"HT20250221")</f>
        <v>96.5</v>
      </c>
      <c r="I42" s="22">
        <f>SUMIFS(原始数据!$J$3:$J$1002,原始数据!$D$3:$D$1002,"HT20250221")</f>
        <v>75.444</v>
      </c>
      <c r="J42" s="22">
        <f>SUMIFS(原始数据!$K$3:$K$1002,原始数据!$D$3:$D$1002,"HT20250221")</f>
        <v>21.055999999999997</v>
      </c>
      <c r="K42" s="19" t="str">
        <f>IFERROR(INDEX(原始数据!$L$3:$L$1002,MATCH(1,INDEX((原始数据!$D$3:$D$1002="HT20250221")*(原始数据!$L$3:$L$1002&lt;&gt;""),0),0)),"")</f>
        <v>八部</v>
      </c>
      <c r="L42" s="20" t="str">
        <f>IFERROR(INDEX(原始数据!$M$3:$M$1002,MATCH(1,INDEX((原始数据!$D$3:$D$1002="HT20250221")*(原始数据!$M$3:$M$1002&lt;&gt;""),0),0)),"")</f>
        <v>卢俊</v>
      </c>
      <c r="M42" s="19" t="str">
        <f>IFERROR(INDEX(原始数据!$N$3:$N$1002,MATCH(1,INDEX((原始数据!$D$3:$D$1002="HT20250221")*(原始数据!$N$3:$N$1002&lt;&gt;""),0),0)),"")</f>
        <v>2-3年</v>
      </c>
      <c r="N42" s="19" t="inlineStr"/>
    </row>
    <row r="43">
      <c r="A43" s="13">
        <f>ROW()-2</f>
        <v>41</v>
      </c>
      <c r="B43" s="14" t="str">
        <f>IFERROR(INDEX(原始数据!$B$3:$B$1002,MATCH(1,INDEX((原始数据!$D$3:$D$1002="HT20250224")*(原始数据!$B$3:$B$1002&lt;&gt;""),0),0)),"")</f>
        <v>华北-内蒙古</v>
      </c>
      <c r="C43" s="14" t="str">
        <f>IFERROR(INDEX(原始数据!$C$3:$C$1002,MATCH(1,INDEX((原始数据!$D$3:$D$1002="HT20250224")*(原始数据!$C$3:$C$1002&lt;&gt;""),0),0)),"")</f>
        <v>事业单位</v>
      </c>
      <c r="D43" s="15" t="inlineStr">
        <is>
          <t>HT20250224</t>
        </is>
      </c>
      <c r="E43" s="16">
        <f>IFERROR(INDEX(原始数据!$E$3:$E$1002,MATCH(1,INDEX((原始数据!$D$3:$D$1002="HT20250224")*(原始数据!$E$3:$E$1002&lt;&gt;""),0),0)),"")</f>
        <v>20260321</v>
      </c>
      <c r="F43" s="17">
        <f>SUMIFS(原始数据!$F$3:$F$1002,原始数据!$D$3:$D$1002,"HT20250224")</f>
        <v>5784.199</v>
      </c>
      <c r="G43" s="17">
        <f>SUMIFS(原始数据!$H$3:$H$1002,原始数据!$D$3:$D$1002,"HT20250224")</f>
        <v>1338.073</v>
      </c>
      <c r="H43" s="17">
        <f>SUMIFS(原始数据!$I$3:$I$1002,原始数据!$D$3:$D$1002,"HT20250224")</f>
        <v>4446.126</v>
      </c>
      <c r="I43" s="17">
        <f>SUMIFS(原始数据!$J$3:$J$1002,原始数据!$D$3:$D$1002,"HT20250224")</f>
        <v>2956.684</v>
      </c>
      <c r="J43" s="17">
        <f>SUMIFS(原始数据!$K$3:$K$1002,原始数据!$D$3:$D$1002,"HT20250224")</f>
        <v>1489.442</v>
      </c>
      <c r="K43" s="14" t="str">
        <f>IFERROR(INDEX(原始数据!$L$3:$L$1002,MATCH(1,INDEX((原始数据!$D$3:$D$1002="HT20250224")*(原始数据!$L$3:$L$1002&lt;&gt;""),0),0)),"")</f>
        <v>三部</v>
      </c>
      <c r="L43" s="15" t="str">
        <f>IFERROR(INDEX(原始数据!$M$3:$M$1002,MATCH(1,INDEX((原始数据!$D$3:$D$1002="HT20250224")*(原始数据!$M$3:$M$1002&lt;&gt;""),0),0)),"")</f>
        <v>徐涛</v>
      </c>
      <c r="M43" s="14" t="str">
        <f>IFERROR(INDEX(原始数据!$N$3:$N$1002,MATCH(1,INDEX((原始数据!$D$3:$D$1002="HT20250224")*(原始数据!$N$3:$N$1002&lt;&gt;""),0),0)),"")</f>
        <v>1年以内</v>
      </c>
      <c r="N43" s="14" t="inlineStr"/>
    </row>
    <row r="44">
      <c r="A44" s="18">
        <f>ROW()-2</f>
        <v>42</v>
      </c>
      <c r="B44" s="19" t="str">
        <f>IFERROR(INDEX(原始数据!$B$3:$B$1002,MATCH(1,INDEX((原始数据!$D$3:$D$1002="HT20250225")*(原始数据!$B$3:$B$1002&lt;&gt;""),0),0)),"")</f>
        <v>东北-辽宁</v>
      </c>
      <c r="C44" s="19" t="str">
        <f>IFERROR(INDEX(原始数据!$C$3:$C$1002,MATCH(1,INDEX((原始数据!$D$3:$D$1002="HT20250225")*(原始数据!$C$3:$C$1002&lt;&gt;""),0),0)),"")</f>
        <v>事业单位</v>
      </c>
      <c r="D44" s="20" t="inlineStr">
        <is>
          <t>HT20250225</t>
        </is>
      </c>
      <c r="E44" s="21">
        <f>IFERROR(INDEX(原始数据!$E$3:$E$1002,MATCH(1,INDEX((原始数据!$D$3:$D$1002="HT20250225")*(原始数据!$E$3:$E$1002&lt;&gt;""),0),0)),"")</f>
        <v>20260608</v>
      </c>
      <c r="F44" s="22">
        <f>SUMIFS(原始数据!$F$3:$F$1002,原始数据!$D$3:$D$1002,"HT20250225")</f>
        <v>1529.248</v>
      </c>
      <c r="G44" s="22">
        <f>SUMIFS(原始数据!$H$3:$H$1002,原始数据!$D$3:$D$1002,"HT20250225")</f>
        <v>1368.531</v>
      </c>
      <c r="H44" s="22">
        <f>SUMIFS(原始数据!$I$3:$I$1002,原始数据!$D$3:$D$1002,"HT20250225")</f>
        <v>160.71699999999998</v>
      </c>
      <c r="I44" s="22">
        <f>SUMIFS(原始数据!$J$3:$J$1002,原始数据!$D$3:$D$1002,"HT20250225")</f>
        <v>75.986</v>
      </c>
      <c r="J44" s="22">
        <f>SUMIFS(原始数据!$K$3:$K$1002,原始数据!$D$3:$D$1002,"HT20250225")</f>
        <v>84.731</v>
      </c>
      <c r="K44" s="19" t="str">
        <f>IFERROR(INDEX(原始数据!$L$3:$L$1002,MATCH(1,INDEX((原始数据!$D$3:$D$1002="HT20250225")*(原始数据!$L$3:$L$1002&lt;&gt;""),0),0)),"")</f>
        <v>十部</v>
      </c>
      <c r="L44" s="20" t="str">
        <f>IFERROR(INDEX(原始数据!$M$3:$M$1002,MATCH(1,INDEX((原始数据!$D$3:$D$1002="HT20250225")*(原始数据!$M$3:$M$1002&lt;&gt;""),0),0)),"")</f>
        <v>雷声</v>
      </c>
      <c r="M44" s="19" t="str">
        <f>IFERROR(INDEX(原始数据!$N$3:$N$1002,MATCH(1,INDEX((原始数据!$D$3:$D$1002="HT20250225")*(原始数据!$N$3:$N$1002&lt;&gt;""),0),0)),"")</f>
        <v>1年以内</v>
      </c>
      <c r="N44" s="19" t="inlineStr"/>
    </row>
    <row r="45">
      <c r="A45" s="13">
        <f>ROW()-2</f>
        <v>43</v>
      </c>
      <c r="B45" s="14" t="str">
        <f>IFERROR(INDEX(原始数据!$B$3:$B$1002,MATCH(1,INDEX((原始数据!$D$3:$D$1002="HT20250226")*(原始数据!$B$3:$B$1002&lt;&gt;""),0),0)),"")</f>
        <v>华北-天津</v>
      </c>
      <c r="C45" s="14" t="str">
        <f>IFERROR(INDEX(原始数据!$C$3:$C$1002,MATCH(1,INDEX((原始数据!$D$3:$D$1002="HT20250226")*(原始数据!$C$3:$C$1002&lt;&gt;""),0),0)),"")</f>
        <v>政府机关</v>
      </c>
      <c r="D45" s="15" t="inlineStr">
        <is>
          <t>HT20250226</t>
        </is>
      </c>
      <c r="E45" s="16">
        <f>IFERROR(INDEX(原始数据!$E$3:$E$1002,MATCH(1,INDEX((原始数据!$D$3:$D$1002="HT20250226")*(原始数据!$E$3:$E$1002&lt;&gt;""),0),0)),"")</f>
        <v>20260208</v>
      </c>
      <c r="F45" s="17">
        <f>SUMIFS(原始数据!$F$3:$F$1002,原始数据!$D$3:$D$1002,"HT20250226")</f>
        <v>7809.523</v>
      </c>
      <c r="G45" s="17">
        <f>SUMIFS(原始数据!$H$3:$H$1002,原始数据!$D$3:$D$1002,"HT20250226")</f>
        <v>3793.3559999999998</v>
      </c>
      <c r="H45" s="17">
        <f>SUMIFS(原始数据!$I$3:$I$1002,原始数据!$D$3:$D$1002,"HT20250226")</f>
        <v>4016.1670000000004</v>
      </c>
      <c r="I45" s="17">
        <f>SUMIFS(原始数据!$J$3:$J$1002,原始数据!$D$3:$D$1002,"HT20250226")</f>
        <v>1156.0259999999998</v>
      </c>
      <c r="J45" s="17">
        <f>SUMIFS(原始数据!$K$3:$K$1002,原始数据!$D$3:$D$1002,"HT20250226")</f>
        <v>2860.141</v>
      </c>
      <c r="K45" s="14" t="str">
        <f>IFERROR(INDEX(原始数据!$L$3:$L$1002,MATCH(1,INDEX((原始数据!$D$3:$D$1002="HT20250226")*(原始数据!$L$3:$L$1002&lt;&gt;""),0),0)),"")</f>
        <v>一部</v>
      </c>
      <c r="L45" s="15" t="str">
        <f>IFERROR(INDEX(原始数据!$M$3:$M$1002,MATCH(1,INDEX((原始数据!$D$3:$D$1002="HT20250226")*(原始数据!$M$3:$M$1002&lt;&gt;""),0),0)),"")</f>
        <v>张伟</v>
      </c>
      <c r="M45" s="14" t="str">
        <f>IFERROR(INDEX(原始数据!$N$3:$N$1002,MATCH(1,INDEX((原始数据!$D$3:$D$1002="HT20250226")*(原始数据!$N$3:$N$1002&lt;&gt;""),0),0)),"")</f>
        <v>1年以内</v>
      </c>
      <c r="N45" s="14" t="inlineStr"/>
    </row>
    <row r="46">
      <c r="A46" s="18">
        <f>ROW()-2</f>
        <v>44</v>
      </c>
      <c r="B46" s="19" t="str">
        <f>IFERROR(INDEX(原始数据!$B$3:$B$1002,MATCH(1,INDEX((原始数据!$D$3:$D$1002="HT20250305")*(原始数据!$B$3:$B$1002&lt;&gt;""),0),0)),"")</f>
        <v>华东-安徽</v>
      </c>
      <c r="C46" s="19" t="str">
        <f>IFERROR(INDEX(原始数据!$C$3:$C$1002,MATCH(1,INDEX((原始数据!$D$3:$D$1002="HT20250305")*(原始数据!$C$3:$C$1002&lt;&gt;""),0),0)),"")</f>
        <v>监察司法机关</v>
      </c>
      <c r="D46" s="20" t="inlineStr">
        <is>
          <t>HT20250305</t>
        </is>
      </c>
      <c r="E46" s="21">
        <f>IFERROR(INDEX(原始数据!$E$3:$E$1002,MATCH(1,INDEX((原始数据!$D$3:$D$1002="HT20250305")*(原始数据!$E$3:$E$1002&lt;&gt;""),0),0)),"")</f>
        <v>20260614</v>
      </c>
      <c r="F46" s="22">
        <f>SUMIFS(原始数据!$F$3:$F$1002,原始数据!$D$3:$D$1002,"HT20250305")</f>
        <v>85.643</v>
      </c>
      <c r="G46" s="22">
        <f>SUMIFS(原始数据!$H$3:$H$1002,原始数据!$D$3:$D$1002,"HT20250305")</f>
        <v>13.2</v>
      </c>
      <c r="H46" s="22">
        <f>SUMIFS(原始数据!$I$3:$I$1002,原始数据!$D$3:$D$1002,"HT20250305")</f>
        <v>72.443</v>
      </c>
      <c r="I46" s="22">
        <f>SUMIFS(原始数据!$J$3:$J$1002,原始数据!$D$3:$D$1002,"HT20250305")</f>
        <v>7.101</v>
      </c>
      <c r="J46" s="22">
        <f>SUMIFS(原始数据!$K$3:$K$1002,原始数据!$D$3:$D$1002,"HT20250305")</f>
        <v>65.342</v>
      </c>
      <c r="K46" s="19" t="str">
        <f>IFERROR(INDEX(原始数据!$L$3:$L$1002,MATCH(1,INDEX((原始数据!$D$3:$D$1002="HT20250305")*(原始数据!$L$3:$L$1002&lt;&gt;""),0),0)),"")</f>
        <v>三部</v>
      </c>
      <c r="L46" s="20" t="str">
        <f>IFERROR(INDEX(原始数据!$M$3:$M$1002,MATCH(1,INDEX((原始数据!$D$3:$D$1002="HT20250305")*(原始数据!$M$3:$M$1002&lt;&gt;""),0),0)),"")</f>
        <v>马超</v>
      </c>
      <c r="M46" s="19" t="str">
        <f>IFERROR(INDEX(原始数据!$N$3:$N$1002,MATCH(1,INDEX((原始数据!$D$3:$D$1002="HT20250305")*(原始数据!$N$3:$N$1002&lt;&gt;""),0),0)),"")</f>
        <v>1-2年</v>
      </c>
      <c r="N46" s="19" t="inlineStr"/>
    </row>
    <row r="47">
      <c r="A47" s="13">
        <f>ROW()-2</f>
        <v>45</v>
      </c>
      <c r="B47" s="14" t="str">
        <f>IFERROR(INDEX(原始数据!$B$3:$B$1002,MATCH(1,INDEX((原始数据!$D$3:$D$1002="HT20250306")*(原始数据!$B$3:$B$1002&lt;&gt;""),0),0)),"")</f>
        <v>西南-云南</v>
      </c>
      <c r="C47" s="14" t="str">
        <f>IFERROR(INDEX(原始数据!$C$3:$C$1002,MATCH(1,INDEX((原始数据!$D$3:$D$1002="HT20250306")*(原始数据!$C$3:$C$1002&lt;&gt;""),0),0)),"")</f>
        <v>基层自治组织</v>
      </c>
      <c r="D47" s="15" t="inlineStr">
        <is>
          <t>HT20250306</t>
        </is>
      </c>
      <c r="E47" s="16">
        <f>IFERROR(INDEX(原始数据!$E$3:$E$1002,MATCH(1,INDEX((原始数据!$D$3:$D$1002="HT20250306")*(原始数据!$E$3:$E$1002&lt;&gt;""),0),0)),"")</f>
        <v>20250728</v>
      </c>
      <c r="F47" s="17">
        <f>SUMIFS(原始数据!$F$3:$F$1002,原始数据!$D$3:$D$1002,"HT20250306")</f>
        <v>740.486</v>
      </c>
      <c r="G47" s="17">
        <f>SUMIFS(原始数据!$H$3:$H$1002,原始数据!$D$3:$D$1002,"HT20250306")</f>
        <v>60.588</v>
      </c>
      <c r="H47" s="17">
        <f>SUMIFS(原始数据!$I$3:$I$1002,原始数据!$D$3:$D$1002,"HT20250306")</f>
        <v>679.8979999999999</v>
      </c>
      <c r="I47" s="17">
        <f>SUMIFS(原始数据!$J$3:$J$1002,原始数据!$D$3:$D$1002,"HT20250306")</f>
        <v>136.86</v>
      </c>
      <c r="J47" s="17">
        <f>SUMIFS(原始数据!$K$3:$K$1002,原始数据!$D$3:$D$1002,"HT20250306")</f>
        <v>543.038</v>
      </c>
      <c r="K47" s="14" t="str">
        <f>IFERROR(INDEX(原始数据!$L$3:$L$1002,MATCH(1,INDEX((原始数据!$D$3:$D$1002="HT20250306")*(原始数据!$L$3:$L$1002&lt;&gt;""),0),0)),"")</f>
        <v>十部</v>
      </c>
      <c r="L47" s="15" t="str">
        <f>IFERROR(INDEX(原始数据!$M$3:$M$1002,MATCH(1,INDEX((原始数据!$D$3:$D$1002="HT20250306")*(原始数据!$M$3:$M$1002&lt;&gt;""),0),0)),"")</f>
        <v>阎莉</v>
      </c>
      <c r="M47" s="14" t="str">
        <f>IFERROR(INDEX(原始数据!$N$3:$N$1002,MATCH(1,INDEX((原始数据!$D$3:$D$1002="HT20250306")*(原始数据!$N$3:$N$1002&lt;&gt;""),0),0)),"")</f>
        <v>2-3年</v>
      </c>
      <c r="N47" s="14" t="inlineStr"/>
    </row>
    <row r="48">
      <c r="A48" s="18">
        <f>ROW()-2</f>
        <v>46</v>
      </c>
      <c r="B48" s="19" t="str">
        <f>IFERROR(INDEX(原始数据!$B$3:$B$1002,MATCH(1,INDEX((原始数据!$D$3:$D$1002="HT20250307")*(原始数据!$B$3:$B$1002&lt;&gt;""),0),0)),"")</f>
        <v>华东-福建</v>
      </c>
      <c r="C48" s="19" t="str">
        <f>IFERROR(INDEX(原始数据!$C$3:$C$1002,MATCH(1,INDEX((原始数据!$D$3:$D$1002="HT20250307")*(原始数据!$C$3:$C$1002&lt;&gt;""),0),0)),"")</f>
        <v>基层自治组织</v>
      </c>
      <c r="D48" s="20" t="inlineStr">
        <is>
          <t>HT20250307</t>
        </is>
      </c>
      <c r="E48" s="21">
        <f>IFERROR(INDEX(原始数据!$E$3:$E$1002,MATCH(1,INDEX((原始数据!$D$3:$D$1002="HT20250307")*(原始数据!$E$3:$E$1002&lt;&gt;""),0),0)),"")</f>
        <v>20260312</v>
      </c>
      <c r="F48" s="22">
        <f>SUMIFS(原始数据!$F$3:$F$1002,原始数据!$D$3:$D$1002,"HT20250307")</f>
        <v>472.05499999999995</v>
      </c>
      <c r="G48" s="22">
        <f>SUMIFS(原始数据!$H$3:$H$1002,原始数据!$D$3:$D$1002,"HT20250307")</f>
        <v>199.538</v>
      </c>
      <c r="H48" s="22">
        <f>SUMIFS(原始数据!$I$3:$I$1002,原始数据!$D$3:$D$1002,"HT20250307")</f>
        <v>272.517</v>
      </c>
      <c r="I48" s="22">
        <f>SUMIFS(原始数据!$J$3:$J$1002,原始数据!$D$3:$D$1002,"HT20250307")</f>
        <v>240.469</v>
      </c>
      <c r="J48" s="22">
        <f>SUMIFS(原始数据!$K$3:$K$1002,原始数据!$D$3:$D$1002,"HT20250307")</f>
        <v>32.048</v>
      </c>
      <c r="K48" s="19" t="str">
        <f>IFERROR(INDEX(原始数据!$L$3:$L$1002,MATCH(1,INDEX((原始数据!$D$3:$D$1002="HT20250307")*(原始数据!$L$3:$L$1002&lt;&gt;""),0),0)),"")</f>
        <v>九部</v>
      </c>
      <c r="L48" s="20" t="str">
        <f>IFERROR(INDEX(原始数据!$M$3:$M$1002,MATCH(1,INDEX((原始数据!$D$3:$D$1002="HT20250307")*(原始数据!$M$3:$M$1002&lt;&gt;""),0),0)),"")</f>
        <v>魏红</v>
      </c>
      <c r="M48" s="19" t="str">
        <f>IFERROR(INDEX(原始数据!$N$3:$N$1002,MATCH(1,INDEX((原始数据!$D$3:$D$1002="HT20250307")*(原始数据!$N$3:$N$1002&lt;&gt;""),0),0)),"")</f>
        <v>2-3年</v>
      </c>
      <c r="N48" s="19" t="inlineStr"/>
    </row>
    <row r="49">
      <c r="A49" s="13">
        <f>ROW()-2</f>
        <v>47</v>
      </c>
      <c r="B49" s="14" t="str">
        <f>IFERROR(INDEX(原始数据!$B$3:$B$1002,MATCH(1,INDEX((原始数据!$D$3:$D$1002="HT20250310")*(原始数据!$B$3:$B$1002&lt;&gt;""),0),0)),"")</f>
        <v>华南-广东</v>
      </c>
      <c r="C49" s="14" t="str">
        <f>IFERROR(INDEX(原始数据!$C$3:$C$1002,MATCH(1,INDEX((原始数据!$D$3:$D$1002="HT20250310")*(原始数据!$C$3:$C$1002&lt;&gt;""),0),0)),"")</f>
        <v>政府机关</v>
      </c>
      <c r="D49" s="15" t="inlineStr">
        <is>
          <t>HT20250310</t>
        </is>
      </c>
      <c r="E49" s="16">
        <f>IFERROR(INDEX(原始数据!$E$3:$E$1002,MATCH(1,INDEX((原始数据!$D$3:$D$1002="HT20250310")*(原始数据!$E$3:$E$1002&lt;&gt;""),0),0)),"")</f>
        <v>20260317</v>
      </c>
      <c r="F49" s="17">
        <f>SUMIFS(原始数据!$F$3:$F$1002,原始数据!$D$3:$D$1002,"HT20250310")</f>
        <v>1042.608</v>
      </c>
      <c r="G49" s="17">
        <f>SUMIFS(原始数据!$H$3:$H$1002,原始数据!$D$3:$D$1002,"HT20250310")</f>
        <v>1004.03</v>
      </c>
      <c r="H49" s="17">
        <f>SUMIFS(原始数据!$I$3:$I$1002,原始数据!$D$3:$D$1002,"HT20250310")</f>
        <v>38.578</v>
      </c>
      <c r="I49" s="17">
        <f>SUMIFS(原始数据!$J$3:$J$1002,原始数据!$D$3:$D$1002,"HT20250310")</f>
        <v>30.125</v>
      </c>
      <c r="J49" s="17">
        <f>SUMIFS(原始数据!$K$3:$K$1002,原始数据!$D$3:$D$1002,"HT20250310")</f>
        <v>8.453</v>
      </c>
      <c r="K49" s="14" t="str">
        <f>IFERROR(INDEX(原始数据!$L$3:$L$1002,MATCH(1,INDEX((原始数据!$D$3:$D$1002="HT20250310")*(原始数据!$L$3:$L$1002&lt;&gt;""),0),0)),"")</f>
        <v>七部</v>
      </c>
      <c r="L49" s="15" t="str">
        <f>IFERROR(INDEX(原始数据!$M$3:$M$1002,MATCH(1,INDEX((原始数据!$D$3:$D$1002="HT20250310")*(原始数据!$M$3:$M$1002&lt;&gt;""),0),0)),"")</f>
        <v>袁博</v>
      </c>
      <c r="M49" s="14" t="str">
        <f>IFERROR(INDEX(原始数据!$N$3:$N$1002,MATCH(1,INDEX((原始数据!$D$3:$D$1002="HT20250310")*(原始数据!$N$3:$N$1002&lt;&gt;""),0),0)),"")</f>
        <v>1年以内</v>
      </c>
      <c r="N49" s="14" t="inlineStr"/>
    </row>
    <row r="50">
      <c r="A50" s="18">
        <f>ROW()-2</f>
        <v>48</v>
      </c>
      <c r="B50" s="19" t="str">
        <f>IFERROR(INDEX(原始数据!$B$3:$B$1002,MATCH(1,INDEX((原始数据!$D$3:$D$1002="HT20250311")*(原始数据!$B$3:$B$1002&lt;&gt;""),0),0)),"")</f>
        <v>华东-安徽</v>
      </c>
      <c r="C50" s="19" t="str">
        <f>IFERROR(INDEX(原始数据!$C$3:$C$1002,MATCH(1,INDEX((原始数据!$D$3:$D$1002="HT20250311")*(原始数据!$C$3:$C$1002&lt;&gt;""),0),0)),"")</f>
        <v>国有企业</v>
      </c>
      <c r="D50" s="20" t="inlineStr">
        <is>
          <t>HT20250311</t>
        </is>
      </c>
      <c r="E50" s="21">
        <f>IFERROR(INDEX(原始数据!$E$3:$E$1002,MATCH(1,INDEX((原始数据!$D$3:$D$1002="HT20250311")*(原始数据!$E$3:$E$1002&lt;&gt;""),0),0)),"")</f>
        <v>20260406</v>
      </c>
      <c r="F50" s="22">
        <f>SUMIFS(原始数据!$F$3:$F$1002,原始数据!$D$3:$D$1002,"HT20250311")</f>
        <v>2794.5960000000005</v>
      </c>
      <c r="G50" s="22">
        <f>SUMIFS(原始数据!$H$3:$H$1002,原始数据!$D$3:$D$1002,"HT20250311")</f>
        <v>1046.038</v>
      </c>
      <c r="H50" s="22">
        <f>SUMIFS(原始数据!$I$3:$I$1002,原始数据!$D$3:$D$1002,"HT20250311")</f>
        <v>1748.5580000000002</v>
      </c>
      <c r="I50" s="22">
        <f>SUMIFS(原始数据!$J$3:$J$1002,原始数据!$D$3:$D$1002,"HT20250311")</f>
        <v>1015.235</v>
      </c>
      <c r="J50" s="22">
        <f>SUMIFS(原始数据!$K$3:$K$1002,原始数据!$D$3:$D$1002,"HT20250311")</f>
        <v>733.3229999999999</v>
      </c>
      <c r="K50" s="19" t="str">
        <f>IFERROR(INDEX(原始数据!$L$3:$L$1002,MATCH(1,INDEX((原始数据!$D$3:$D$1002="HT20250311")*(原始数据!$L$3:$L$1002&lt;&gt;""),0),0)),"")</f>
        <v>二部</v>
      </c>
      <c r="L50" s="20" t="str">
        <f>IFERROR(INDEX(原始数据!$M$3:$M$1002,MATCH(1,INDEX((原始数据!$D$3:$D$1002="HT20250311")*(原始数据!$M$3:$M$1002&lt;&gt;""),0),0)),"")</f>
        <v>周杰</v>
      </c>
      <c r="M50" s="19" t="str">
        <f>IFERROR(INDEX(原始数据!$N$3:$N$1002,MATCH(1,INDEX((原始数据!$D$3:$D$1002="HT20250311")*(原始数据!$N$3:$N$1002&lt;&gt;""),0),0)),"")</f>
        <v>2-3年</v>
      </c>
      <c r="N50" s="19" t="inlineStr"/>
    </row>
    <row r="51">
      <c r="A51" s="13">
        <f>ROW()-2</f>
        <v>49</v>
      </c>
      <c r="B51" s="14" t="str">
        <f>IFERROR(INDEX(原始数据!$B$3:$B$1002,MATCH(1,INDEX((原始数据!$D$3:$D$1002="HT20250313")*(原始数据!$B$3:$B$1002&lt;&gt;""),0),0)),"")</f>
        <v>华南-广西</v>
      </c>
      <c r="C51" s="14" t="str">
        <f>IFERROR(INDEX(原始数据!$C$3:$C$1002,MATCH(1,INDEX((原始数据!$D$3:$D$1002="HT20250313")*(原始数据!$C$3:$C$1002&lt;&gt;""),0),0)),"")</f>
        <v>基层自治组织</v>
      </c>
      <c r="D51" s="15" t="inlineStr">
        <is>
          <t>HT20250313</t>
        </is>
      </c>
      <c r="E51" s="16">
        <f>IFERROR(INDEX(原始数据!$E$3:$E$1002,MATCH(1,INDEX((原始数据!$D$3:$D$1002="HT20250313")*(原始数据!$E$3:$E$1002&lt;&gt;""),0),0)),"")</f>
        <v>20260405</v>
      </c>
      <c r="F51" s="17">
        <f>SUMIFS(原始数据!$F$3:$F$1002,原始数据!$D$3:$D$1002,"HT20250313")</f>
        <v>4807.611</v>
      </c>
      <c r="G51" s="17">
        <f>SUMIFS(原始数据!$H$3:$H$1002,原始数据!$D$3:$D$1002,"HT20250313")</f>
        <v>2627.2859999999996</v>
      </c>
      <c r="H51" s="17">
        <f>SUMIFS(原始数据!$I$3:$I$1002,原始数据!$D$3:$D$1002,"HT20250313")</f>
        <v>2180.3250000000003</v>
      </c>
      <c r="I51" s="17">
        <f>SUMIFS(原始数据!$J$3:$J$1002,原始数据!$D$3:$D$1002,"HT20250313")</f>
        <v>1720.981</v>
      </c>
      <c r="J51" s="17">
        <f>SUMIFS(原始数据!$K$3:$K$1002,原始数据!$D$3:$D$1002,"HT20250313")</f>
        <v>459.344</v>
      </c>
      <c r="K51" s="14" t="str">
        <f>IFERROR(INDEX(原始数据!$L$3:$L$1002,MATCH(1,INDEX((原始数据!$D$3:$D$1002="HT20250313")*(原始数据!$L$3:$L$1002&lt;&gt;""),0),0)),"")</f>
        <v>六部</v>
      </c>
      <c r="L51" s="15" t="str">
        <f>IFERROR(INDEX(原始数据!$M$3:$M$1002,MATCH(1,INDEX((原始数据!$D$3:$D$1002="HT20250313")*(原始数据!$M$3:$M$1002&lt;&gt;""),0),0)),"")</f>
        <v>程琳</v>
      </c>
      <c r="M51" s="14" t="str">
        <f>IFERROR(INDEX(原始数据!$N$3:$N$1002,MATCH(1,INDEX((原始数据!$D$3:$D$1002="HT20250313")*(原始数据!$N$3:$N$1002&lt;&gt;""),0),0)),"")</f>
        <v>1-2年</v>
      </c>
      <c r="N51" s="14" t="inlineStr"/>
    </row>
    <row r="52">
      <c r="A52" s="18">
        <f>ROW()-2</f>
        <v>50</v>
      </c>
      <c r="B52" s="19" t="str">
        <f>IFERROR(INDEX(原始数据!$B$3:$B$1002,MATCH(1,INDEX((原始数据!$D$3:$D$1002="HT20250317")*(原始数据!$B$3:$B$1002&lt;&gt;""),0),0)),"")</f>
        <v>华南-香港</v>
      </c>
      <c r="C52" s="19" t="str">
        <f>IFERROR(INDEX(原始数据!$C$3:$C$1002,MATCH(1,INDEX((原始数据!$D$3:$D$1002="HT20250317")*(原始数据!$C$3:$C$1002&lt;&gt;""),0),0)),"")</f>
        <v>基层自治组织</v>
      </c>
      <c r="D52" s="20" t="inlineStr">
        <is>
          <t>HT20250317</t>
        </is>
      </c>
      <c r="E52" s="21">
        <f>IFERROR(INDEX(原始数据!$E$3:$E$1002,MATCH(1,INDEX((原始数据!$D$3:$D$1002="HT20250317")*(原始数据!$E$3:$E$1002&lt;&gt;""),0),0)),"")</f>
        <v>20260801</v>
      </c>
      <c r="F52" s="22">
        <f>SUMIFS(原始数据!$F$3:$F$1002,原始数据!$D$3:$D$1002,"HT20250317")</f>
        <v>639.92</v>
      </c>
      <c r="G52" s="22">
        <f>SUMIFS(原始数据!$H$3:$H$1002,原始数据!$D$3:$D$1002,"HT20250317")</f>
        <v>225.355</v>
      </c>
      <c r="H52" s="22">
        <f>SUMIFS(原始数据!$I$3:$I$1002,原始数据!$D$3:$D$1002,"HT20250317")</f>
        <v>414.565</v>
      </c>
      <c r="I52" s="22">
        <f>SUMIFS(原始数据!$J$3:$J$1002,原始数据!$D$3:$D$1002,"HT20250317")</f>
        <v>136.25</v>
      </c>
      <c r="J52" s="22">
        <f>SUMIFS(原始数据!$K$3:$K$1002,原始数据!$D$3:$D$1002,"HT20250317")</f>
        <v>278.315</v>
      </c>
      <c r="K52" s="19" t="str">
        <f>IFERROR(INDEX(原始数据!$L$3:$L$1002,MATCH(1,INDEX((原始数据!$D$3:$D$1002="HT20250317")*(原始数据!$L$3:$L$1002&lt;&gt;""),0),0)),"")</f>
        <v>四部</v>
      </c>
      <c r="L52" s="20" t="str">
        <f>IFERROR(INDEX(原始数据!$M$3:$M$1002,MATCH(1,INDEX((原始数据!$D$3:$D$1002="HT20250317")*(原始数据!$M$3:$M$1002&lt;&gt;""),0),0)),"")</f>
        <v>郭鹏</v>
      </c>
      <c r="M52" s="19" t="str">
        <f>IFERROR(INDEX(原始数据!$N$3:$N$1002,MATCH(1,INDEX((原始数据!$D$3:$D$1002="HT20250317")*(原始数据!$N$3:$N$1002&lt;&gt;""),0),0)),"")</f>
        <v>1年以内</v>
      </c>
      <c r="N52" s="19" t="inlineStr"/>
    </row>
    <row r="53">
      <c r="A53" s="13">
        <f>ROW()-2</f>
        <v>51</v>
      </c>
      <c r="B53" s="14" t="str">
        <f>IFERROR(INDEX(原始数据!$B$3:$B$1002,MATCH(1,INDEX((原始数据!$D$3:$D$1002="HT20250318")*(原始数据!$B$3:$B$1002&lt;&gt;""),0),0)),"")</f>
        <v>华中-湖北</v>
      </c>
      <c r="C53" s="14" t="str">
        <f>IFERROR(INDEX(原始数据!$C$3:$C$1002,MATCH(1,INDEX((原始数据!$D$3:$D$1002="HT20250318")*(原始数据!$C$3:$C$1002&lt;&gt;""),0),0)),"")</f>
        <v>群团组织</v>
      </c>
      <c r="D53" s="15" t="inlineStr">
        <is>
          <t>HT20250318</t>
        </is>
      </c>
      <c r="E53" s="16">
        <f>IFERROR(INDEX(原始数据!$E$3:$E$1002,MATCH(1,INDEX((原始数据!$D$3:$D$1002="HT20250318")*(原始数据!$E$3:$E$1002&lt;&gt;""),0),0)),"")</f>
        <v>20260708</v>
      </c>
      <c r="F53" s="17">
        <f>SUMIFS(原始数据!$F$3:$F$1002,原始数据!$D$3:$D$1002,"HT20250318")</f>
        <v>182.406</v>
      </c>
      <c r="G53" s="17">
        <f>SUMIFS(原始数据!$H$3:$H$1002,原始数据!$D$3:$D$1002,"HT20250318")</f>
        <v>176.664</v>
      </c>
      <c r="H53" s="17">
        <f>SUMIFS(原始数据!$I$3:$I$1002,原始数据!$D$3:$D$1002,"HT20250318")</f>
        <v>5.742</v>
      </c>
      <c r="I53" s="17">
        <f>SUMIFS(原始数据!$J$3:$J$1002,原始数据!$D$3:$D$1002,"HT20250318")</f>
        <v>2.093</v>
      </c>
      <c r="J53" s="17">
        <f>SUMIFS(原始数据!$K$3:$K$1002,原始数据!$D$3:$D$1002,"HT20250318")</f>
        <v>3.649</v>
      </c>
      <c r="K53" s="14" t="str">
        <f>IFERROR(INDEX(原始数据!$L$3:$L$1002,MATCH(1,INDEX((原始数据!$D$3:$D$1002="HT20250318")*(原始数据!$L$3:$L$1002&lt;&gt;""),0),0)),"")</f>
        <v>十部</v>
      </c>
      <c r="L53" s="15" t="str">
        <f>IFERROR(INDEX(原始数据!$M$3:$M$1002,MATCH(1,INDEX((原始数据!$D$3:$D$1002="HT20250318")*(原始数据!$M$3:$M$1002&lt;&gt;""),0),0)),"")</f>
        <v>薛峰</v>
      </c>
      <c r="M53" s="14" t="str">
        <f>IFERROR(INDEX(原始数据!$N$3:$N$1002,MATCH(1,INDEX((原始数据!$D$3:$D$1002="HT20250318")*(原始数据!$N$3:$N$1002&lt;&gt;""),0),0)),"")</f>
        <v>2-3年</v>
      </c>
      <c r="N53" s="14" t="inlineStr"/>
    </row>
    <row r="54">
      <c r="A54" s="18">
        <f>ROW()-2</f>
        <v>52</v>
      </c>
      <c r="B54" s="19" t="str">
        <f>IFERROR(INDEX(原始数据!$B$3:$B$1002,MATCH(1,INDEX((原始数据!$D$3:$D$1002="HT20250320")*(原始数据!$B$3:$B$1002&lt;&gt;""),0),0)),"")</f>
        <v>华南-广西</v>
      </c>
      <c r="C54" s="19" t="str">
        <f>IFERROR(INDEX(原始数据!$C$3:$C$1002,MATCH(1,INDEX((原始数据!$D$3:$D$1002="HT20250320")*(原始数据!$C$3:$C$1002&lt;&gt;""),0),0)),"")</f>
        <v>群团组织</v>
      </c>
      <c r="D54" s="20" t="inlineStr">
        <is>
          <t>HT20250320</t>
        </is>
      </c>
      <c r="E54" s="21">
        <f>IFERROR(INDEX(原始数据!$E$3:$E$1002,MATCH(1,INDEX((原始数据!$D$3:$D$1002="HT20250320")*(原始数据!$E$3:$E$1002&lt;&gt;""),0),0)),"")</f>
        <v>20260115</v>
      </c>
      <c r="F54" s="22">
        <f>SUMIFS(原始数据!$F$3:$F$1002,原始数据!$D$3:$D$1002,"HT20250320")</f>
        <v>3435.7380000000003</v>
      </c>
      <c r="G54" s="22">
        <f>SUMIFS(原始数据!$H$3:$H$1002,原始数据!$D$3:$D$1002,"HT20250320")</f>
        <v>2488.8199999999997</v>
      </c>
      <c r="H54" s="22">
        <f>SUMIFS(原始数据!$I$3:$I$1002,原始数据!$D$3:$D$1002,"HT20250320")</f>
        <v>946.918</v>
      </c>
      <c r="I54" s="22">
        <f>SUMIFS(原始数据!$J$3:$J$1002,原始数据!$D$3:$D$1002,"HT20250320")</f>
        <v>333.99</v>
      </c>
      <c r="J54" s="22">
        <f>SUMIFS(原始数据!$K$3:$K$1002,原始数据!$D$3:$D$1002,"HT20250320")</f>
        <v>612.928</v>
      </c>
      <c r="K54" s="19" t="str">
        <f>IFERROR(INDEX(原始数据!$L$3:$L$1002,MATCH(1,INDEX((原始数据!$D$3:$D$1002="HT20250320")*(原始数据!$L$3:$L$1002&lt;&gt;""),0),0)),"")</f>
        <v>五部</v>
      </c>
      <c r="L54" s="20" t="str">
        <f>IFERROR(INDEX(原始数据!$M$3:$M$1002,MATCH(1,INDEX((原始数据!$D$3:$D$1002="HT20250320")*(原始数据!$M$3:$M$1002&lt;&gt;""),0),0)),"")</f>
        <v>宋佳</v>
      </c>
      <c r="M54" s="19" t="str">
        <f>IFERROR(INDEX(原始数据!$N$3:$N$1002,MATCH(1,INDEX((原始数据!$D$3:$D$1002="HT20250320")*(原始数据!$N$3:$N$1002&lt;&gt;""),0),0)),"")</f>
        <v>1-2年</v>
      </c>
      <c r="N54" s="19" t="inlineStr"/>
    </row>
    <row r="55">
      <c r="A55" s="13">
        <f>ROW()-2</f>
        <v>53</v>
      </c>
      <c r="B55" s="14" t="str">
        <f>IFERROR(INDEX(原始数据!$B$3:$B$1002,MATCH(1,INDEX((原始数据!$D$3:$D$1002="HT20250323")*(原始数据!$B$3:$B$1002&lt;&gt;""),0),0)),"")</f>
        <v>华南-广东</v>
      </c>
      <c r="C55" s="14" t="str">
        <f>IFERROR(INDEX(原始数据!$C$3:$C$1002,MATCH(1,INDEX((原始数据!$D$3:$D$1002="HT20250323")*(原始数据!$C$3:$C$1002&lt;&gt;""),0),0)),"")</f>
        <v>监察司法机关</v>
      </c>
      <c r="D55" s="15" t="inlineStr">
        <is>
          <t>HT20250323</t>
        </is>
      </c>
      <c r="E55" s="16">
        <f>IFERROR(INDEX(原始数据!$E$3:$E$1002,MATCH(1,INDEX((原始数据!$D$3:$D$1002="HT20250323")*(原始数据!$E$3:$E$1002&lt;&gt;""),0),0)),"")</f>
        <v>20260629</v>
      </c>
      <c r="F55" s="17">
        <f>SUMIFS(原始数据!$F$3:$F$1002,原始数据!$D$3:$D$1002,"HT20250323")</f>
        <v>1843.4850000000001</v>
      </c>
      <c r="G55" s="17">
        <f>SUMIFS(原始数据!$H$3:$H$1002,原始数据!$D$3:$D$1002,"HT20250323")</f>
        <v>1247.914</v>
      </c>
      <c r="H55" s="17">
        <f>SUMIFS(原始数据!$I$3:$I$1002,原始数据!$D$3:$D$1002,"HT20250323")</f>
        <v>595.571</v>
      </c>
      <c r="I55" s="17">
        <f>SUMIFS(原始数据!$J$3:$J$1002,原始数据!$D$3:$D$1002,"HT20250323")</f>
        <v>328.73699999999997</v>
      </c>
      <c r="J55" s="17">
        <f>SUMIFS(原始数据!$K$3:$K$1002,原始数据!$D$3:$D$1002,"HT20250323")</f>
        <v>266.834</v>
      </c>
      <c r="K55" s="14" t="str">
        <f>IFERROR(INDEX(原始数据!$L$3:$L$1002,MATCH(1,INDEX((原始数据!$D$3:$D$1002="HT20250323")*(原始数据!$L$3:$L$1002&lt;&gt;""),0),0)),"")</f>
        <v>二部</v>
      </c>
      <c r="L55" s="15" t="str">
        <f>IFERROR(INDEX(原始数据!$M$3:$M$1002,MATCH(1,INDEX((原始数据!$D$3:$D$1002="HT20250323")*(原始数据!$M$3:$M$1002&lt;&gt;""),0),0)),"")</f>
        <v>黄强</v>
      </c>
      <c r="M55" s="14" t="str">
        <f>IFERROR(INDEX(原始数据!$N$3:$N$1002,MATCH(1,INDEX((原始数据!$D$3:$D$1002="HT20250323")*(原始数据!$N$3:$N$1002&lt;&gt;""),0),0)),"")</f>
        <v>2-3年</v>
      </c>
      <c r="N55" s="14" t="inlineStr"/>
    </row>
    <row r="56">
      <c r="A56" s="18">
        <f>ROW()-2</f>
        <v>54</v>
      </c>
      <c r="B56" s="19" t="str">
        <f>IFERROR(INDEX(原始数据!$B$3:$B$1002,MATCH(1,INDEX((原始数据!$D$3:$D$1002="HT20250325")*(原始数据!$B$3:$B$1002&lt;&gt;""),0),0)),"")</f>
        <v>华北-河北</v>
      </c>
      <c r="C56" s="19" t="str">
        <f>IFERROR(INDEX(原始数据!$C$3:$C$1002,MATCH(1,INDEX((原始数据!$D$3:$D$1002="HT20250325")*(原始数据!$C$3:$C$1002&lt;&gt;""),0),0)),"")</f>
        <v>事业单位</v>
      </c>
      <c r="D56" s="20" t="inlineStr">
        <is>
          <t>HT20250325</t>
        </is>
      </c>
      <c r="E56" s="21">
        <f>IFERROR(INDEX(原始数据!$E$3:$E$1002,MATCH(1,INDEX((原始数据!$D$3:$D$1002="HT20250325")*(原始数据!$E$3:$E$1002&lt;&gt;""),0),0)),"")</f>
        <v>20260702</v>
      </c>
      <c r="F56" s="22">
        <f>SUMIFS(原始数据!$F$3:$F$1002,原始数据!$D$3:$D$1002,"HT20250325")</f>
        <v>2539.251</v>
      </c>
      <c r="G56" s="22">
        <f>SUMIFS(原始数据!$H$3:$H$1002,原始数据!$D$3:$D$1002,"HT20250325")</f>
        <v>1545.353</v>
      </c>
      <c r="H56" s="22">
        <f>SUMIFS(原始数据!$I$3:$I$1002,原始数据!$D$3:$D$1002,"HT20250325")</f>
        <v>993.898</v>
      </c>
      <c r="I56" s="22">
        <f>SUMIFS(原始数据!$J$3:$J$1002,原始数据!$D$3:$D$1002,"HT20250325")</f>
        <v>391.945</v>
      </c>
      <c r="J56" s="22">
        <f>SUMIFS(原始数据!$K$3:$K$1002,原始数据!$D$3:$D$1002,"HT20250325")</f>
        <v>601.953</v>
      </c>
      <c r="K56" s="19" t="str">
        <f>IFERROR(INDEX(原始数据!$L$3:$L$1002,MATCH(1,INDEX((原始数据!$D$3:$D$1002="HT20250325")*(原始数据!$L$3:$L$1002&lt;&gt;""),0),0)),"")</f>
        <v>四部</v>
      </c>
      <c r="L56" s="20" t="str">
        <f>IFERROR(INDEX(原始数据!$M$3:$M$1002,MATCH(1,INDEX((原始数据!$D$3:$D$1002="HT20250325")*(原始数据!$M$3:$M$1002&lt;&gt;""),0),0)),"")</f>
        <v>何萍</v>
      </c>
      <c r="M56" s="19" t="str">
        <f>IFERROR(INDEX(原始数据!$N$3:$N$1002,MATCH(1,INDEX((原始数据!$D$3:$D$1002="HT20250325")*(原始数据!$N$3:$N$1002&lt;&gt;""),0),0)),"")</f>
        <v>1年以内</v>
      </c>
      <c r="N56" s="19" t="inlineStr"/>
    </row>
    <row r="57">
      <c r="A57" s="13">
        <f>ROW()-2</f>
        <v>55</v>
      </c>
      <c r="B57" s="14" t="str">
        <f>IFERROR(INDEX(原始数据!$B$3:$B$1002,MATCH(1,INDEX((原始数据!$D$3:$D$1002="HT20250326")*(原始数据!$B$3:$B$1002&lt;&gt;""),0),0)),"")</f>
        <v>西北-甘肃</v>
      </c>
      <c r="C57" s="14" t="str">
        <f>IFERROR(INDEX(原始数据!$C$3:$C$1002,MATCH(1,INDEX((原始数据!$D$3:$D$1002="HT20250326")*(原始数据!$C$3:$C$1002&lt;&gt;""),0),0)),"")</f>
        <v>基层自治组织</v>
      </c>
      <c r="D57" s="15" t="inlineStr">
        <is>
          <t>HT20250326</t>
        </is>
      </c>
      <c r="E57" s="16">
        <f>IFERROR(INDEX(原始数据!$E$3:$E$1002,MATCH(1,INDEX((原始数据!$D$3:$D$1002="HT20250326")*(原始数据!$E$3:$E$1002&lt;&gt;""),0),0)),"")</f>
        <v>20250727</v>
      </c>
      <c r="F57" s="17">
        <f>SUMIFS(原始数据!$F$3:$F$1002,原始数据!$D$3:$D$1002,"HT20250326")</f>
        <v>1425.318</v>
      </c>
      <c r="G57" s="17">
        <f>SUMIFS(原始数据!$H$3:$H$1002,原始数据!$D$3:$D$1002,"HT20250326")</f>
        <v>367.225</v>
      </c>
      <c r="H57" s="17">
        <f>SUMIFS(原始数据!$I$3:$I$1002,原始数据!$D$3:$D$1002,"HT20250326")</f>
        <v>1058.0929999999998</v>
      </c>
      <c r="I57" s="17">
        <f>SUMIFS(原始数据!$J$3:$J$1002,原始数据!$D$3:$D$1002,"HT20250326")</f>
        <v>853.7940000000001</v>
      </c>
      <c r="J57" s="17">
        <f>SUMIFS(原始数据!$K$3:$K$1002,原始数据!$D$3:$D$1002,"HT20250326")</f>
        <v>204.299</v>
      </c>
      <c r="K57" s="14" t="str">
        <f>IFERROR(INDEX(原始数据!$L$3:$L$1002,MATCH(1,INDEX((原始数据!$D$3:$D$1002="HT20250326")*(原始数据!$L$3:$L$1002&lt;&gt;""),0),0)),"")</f>
        <v>八部</v>
      </c>
      <c r="L57" s="15" t="str">
        <f>IFERROR(INDEX(原始数据!$M$3:$M$1002,MATCH(1,INDEX((原始数据!$D$3:$D$1002="HT20250326")*(原始数据!$M$3:$M$1002&lt;&gt;""),0),0)),"")</f>
        <v>卢俊</v>
      </c>
      <c r="M57" s="14" t="str">
        <f>IFERROR(INDEX(原始数据!$N$3:$N$1002,MATCH(1,INDEX((原始数据!$D$3:$D$1002="HT20250326")*(原始数据!$N$3:$N$1002&lt;&gt;""),0),0)),"")</f>
        <v>1年以内</v>
      </c>
      <c r="N57" s="14" t="inlineStr"/>
    </row>
    <row r="58">
      <c r="A58" s="18">
        <f>ROW()-2</f>
        <v>56</v>
      </c>
      <c r="B58" s="19" t="str">
        <f>IFERROR(INDEX(原始数据!$B$3:$B$1002,MATCH(1,INDEX((原始数据!$D$3:$D$1002="HT20250327")*(原始数据!$B$3:$B$1002&lt;&gt;""),0),0)),"")</f>
        <v>华北-河北</v>
      </c>
      <c r="C58" s="19" t="str">
        <f>IFERROR(INDEX(原始数据!$C$3:$C$1002,MATCH(1,INDEX((原始数据!$D$3:$D$1002="HT20250327")*(原始数据!$C$3:$C$1002&lt;&gt;""),0),0)),"")</f>
        <v>政府机关</v>
      </c>
      <c r="D58" s="20" t="inlineStr">
        <is>
          <t>HT20250327</t>
        </is>
      </c>
      <c r="E58" s="21">
        <f>IFERROR(INDEX(原始数据!$E$3:$E$1002,MATCH(1,INDEX((原始数据!$D$3:$D$1002="HT20250327")*(原始数据!$E$3:$E$1002&lt;&gt;""),0),0)),"")</f>
        <v>20260721</v>
      </c>
      <c r="F58" s="22">
        <f>SUMIFS(原始数据!$F$3:$F$1002,原始数据!$D$3:$D$1002,"HT20250327")</f>
        <v>347.477</v>
      </c>
      <c r="G58" s="22">
        <f>SUMIFS(原始数据!$H$3:$H$1002,原始数据!$D$3:$D$1002,"HT20250327")</f>
        <v>4.614</v>
      </c>
      <c r="H58" s="22">
        <f>SUMIFS(原始数据!$I$3:$I$1002,原始数据!$D$3:$D$1002,"HT20250327")</f>
        <v>342.863</v>
      </c>
      <c r="I58" s="22">
        <f>SUMIFS(原始数据!$J$3:$J$1002,原始数据!$D$3:$D$1002,"HT20250327")</f>
        <v>167.396</v>
      </c>
      <c r="J58" s="22">
        <f>SUMIFS(原始数据!$K$3:$K$1002,原始数据!$D$3:$D$1002,"HT20250327")</f>
        <v>175.467</v>
      </c>
      <c r="K58" s="19" t="str">
        <f>IFERROR(INDEX(原始数据!$L$3:$L$1002,MATCH(1,INDEX((原始数据!$D$3:$D$1002="HT20250327")*(原始数据!$L$3:$L$1002&lt;&gt;""),0),0)),"")</f>
        <v>五部</v>
      </c>
      <c r="L58" s="20" t="str">
        <f>IFERROR(INDEX(原始数据!$M$3:$M$1002,MATCH(1,INDEX((原始数据!$D$3:$D$1002="HT20250327")*(原始数据!$M$3:$M$1002&lt;&gt;""),0),0)),"")</f>
        <v>谢峰</v>
      </c>
      <c r="M58" s="19" t="str">
        <f>IFERROR(INDEX(原始数据!$N$3:$N$1002,MATCH(1,INDEX((原始数据!$D$3:$D$1002="HT20250327")*(原始数据!$N$3:$N$1002&lt;&gt;""),0),0)),"")</f>
        <v>2-3年</v>
      </c>
      <c r="N58" s="19" t="inlineStr"/>
    </row>
    <row r="59">
      <c r="A59" s="13">
        <f>ROW()-2</f>
        <v>57</v>
      </c>
      <c r="B59" s="14" t="str">
        <f>IFERROR(INDEX(原始数据!$B$3:$B$1002,MATCH(1,INDEX((原始数据!$D$3:$D$1002="HT20250328")*(原始数据!$B$3:$B$1002&lt;&gt;""),0),0)),"")</f>
        <v>西北-青海</v>
      </c>
      <c r="C59" s="14" t="str">
        <f>IFERROR(INDEX(原始数据!$C$3:$C$1002,MATCH(1,INDEX((原始数据!$D$3:$D$1002="HT20250328")*(原始数据!$C$3:$C$1002&lt;&gt;""),0),0)),"")</f>
        <v>监察司法机关</v>
      </c>
      <c r="D59" s="15" t="inlineStr">
        <is>
          <t>HT20250328</t>
        </is>
      </c>
      <c r="E59" s="16">
        <f>IFERROR(INDEX(原始数据!$E$3:$E$1002,MATCH(1,INDEX((原始数据!$D$3:$D$1002="HT20250328")*(原始数据!$E$3:$E$1002&lt;&gt;""),0),0)),"")</f>
        <v>20260603</v>
      </c>
      <c r="F59" s="17">
        <f>SUMIFS(原始数据!$F$3:$F$1002,原始数据!$D$3:$D$1002,"HT20250328")</f>
        <v>197.044</v>
      </c>
      <c r="G59" s="17">
        <f>SUMIFS(原始数据!$H$3:$H$1002,原始数据!$D$3:$D$1002,"HT20250328")</f>
        <v>10.565</v>
      </c>
      <c r="H59" s="17">
        <f>SUMIFS(原始数据!$I$3:$I$1002,原始数据!$D$3:$D$1002,"HT20250328")</f>
        <v>186.479</v>
      </c>
      <c r="I59" s="17">
        <f>SUMIFS(原始数据!$J$3:$J$1002,原始数据!$D$3:$D$1002,"HT20250328")</f>
        <v>25.2</v>
      </c>
      <c r="J59" s="17">
        <f>SUMIFS(原始数据!$K$3:$K$1002,原始数据!$D$3:$D$1002,"HT20250328")</f>
        <v>161.279</v>
      </c>
      <c r="K59" s="14" t="str">
        <f>IFERROR(INDEX(原始数据!$L$3:$L$1002,MATCH(1,INDEX((原始数据!$D$3:$D$1002="HT20250328")*(原始数据!$L$3:$L$1002&lt;&gt;""),0),0)),"")</f>
        <v>六部</v>
      </c>
      <c r="L59" s="15" t="str">
        <f>IFERROR(INDEX(原始数据!$M$3:$M$1002,MATCH(1,INDEX((原始数据!$D$3:$D$1002="HT20250328")*(原始数据!$M$3:$M$1002&lt;&gt;""),0),0)),"")</f>
        <v>冯倩</v>
      </c>
      <c r="M59" s="14" t="str">
        <f>IFERROR(INDEX(原始数据!$N$3:$N$1002,MATCH(1,INDEX((原始数据!$D$3:$D$1002="HT20250328")*(原始数据!$N$3:$N$1002&lt;&gt;""),0),0)),"")</f>
        <v>1-2年</v>
      </c>
      <c r="N59" s="14" t="inlineStr"/>
    </row>
    <row r="60">
      <c r="A60" s="18">
        <f>ROW()-2</f>
        <v>58</v>
      </c>
      <c r="B60" s="19" t="str">
        <f>IFERROR(INDEX(原始数据!$B$3:$B$1002,MATCH(1,INDEX((原始数据!$D$3:$D$1002="HT20250330")*(原始数据!$B$3:$B$1002&lt;&gt;""),0),0)),"")</f>
        <v>华东-江西</v>
      </c>
      <c r="C60" s="19" t="str">
        <f>IFERROR(INDEX(原始数据!$C$3:$C$1002,MATCH(1,INDEX((原始数据!$D$3:$D$1002="HT20250330")*(原始数据!$C$3:$C$1002&lt;&gt;""),0),0)),"")</f>
        <v>党委机关</v>
      </c>
      <c r="D60" s="20" t="inlineStr">
        <is>
          <t>HT20250330</t>
        </is>
      </c>
      <c r="E60" s="21">
        <f>IFERROR(INDEX(原始数据!$E$3:$E$1002,MATCH(1,INDEX((原始数据!$D$3:$D$1002="HT20250330")*(原始数据!$E$3:$E$1002&lt;&gt;""),0),0)),"")</f>
        <v>20260612</v>
      </c>
      <c r="F60" s="22">
        <f>SUMIFS(原始数据!$F$3:$F$1002,原始数据!$D$3:$D$1002,"HT20250330")</f>
        <v>4632.954000000001</v>
      </c>
      <c r="G60" s="22">
        <f>SUMIFS(原始数据!$H$3:$H$1002,原始数据!$D$3:$D$1002,"HT20250330")</f>
        <v>4000.156</v>
      </c>
      <c r="H60" s="22">
        <f>SUMIFS(原始数据!$I$3:$I$1002,原始数据!$D$3:$D$1002,"HT20250330")</f>
        <v>632.798</v>
      </c>
      <c r="I60" s="22">
        <f>SUMIFS(原始数据!$J$3:$J$1002,原始数据!$D$3:$D$1002,"HT20250330")</f>
        <v>449.31600000000003</v>
      </c>
      <c r="J60" s="22">
        <f>SUMIFS(原始数据!$K$3:$K$1002,原始数据!$D$3:$D$1002,"HT20250330")</f>
        <v>183.482</v>
      </c>
      <c r="K60" s="19" t="str">
        <f>IFERROR(INDEX(原始数据!$L$3:$L$1002,MATCH(1,INDEX((原始数据!$D$3:$D$1002="HT20250330")*(原始数据!$L$3:$L$1002&lt;&gt;""),0),0)),"")</f>
        <v>六部</v>
      </c>
      <c r="L60" s="20" t="str">
        <f>IFERROR(INDEX(原始数据!$M$3:$M$1002,MATCH(1,INDEX((原始数据!$D$3:$D$1002="HT20250330")*(原始数据!$M$3:$M$1002&lt;&gt;""),0),0)),"")</f>
        <v>程琳</v>
      </c>
      <c r="M60" s="19" t="str">
        <f>IFERROR(INDEX(原始数据!$N$3:$N$1002,MATCH(1,INDEX((原始数据!$D$3:$D$1002="HT20250330")*(原始数据!$N$3:$N$1002&lt;&gt;""),0),0)),"")</f>
        <v>2-3年</v>
      </c>
      <c r="N60" s="19" t="inlineStr"/>
    </row>
    <row r="61">
      <c r="A61" s="13">
        <f>ROW()-2</f>
        <v>59</v>
      </c>
      <c r="B61" s="14" t="str">
        <f>IFERROR(INDEX(原始数据!$B$3:$B$1002,MATCH(1,INDEX((原始数据!$D$3:$D$1002="HT20250331")*(原始数据!$B$3:$B$1002&lt;&gt;""),0),0)),"")</f>
        <v>华南-澳门</v>
      </c>
      <c r="C61" s="14" t="str">
        <f>IFERROR(INDEX(原始数据!$C$3:$C$1002,MATCH(1,INDEX((原始数据!$D$3:$D$1002="HT20250331")*(原始数据!$C$3:$C$1002&lt;&gt;""),0),0)),"")</f>
        <v>监察司法机关</v>
      </c>
      <c r="D61" s="15" t="inlineStr">
        <is>
          <t>HT20250331</t>
        </is>
      </c>
      <c r="E61" s="16">
        <f>IFERROR(INDEX(原始数据!$E$3:$E$1002,MATCH(1,INDEX((原始数据!$D$3:$D$1002="HT20250331")*(原始数据!$E$3:$E$1002&lt;&gt;""),0),0)),"")</f>
        <v>20250715</v>
      </c>
      <c r="F61" s="17">
        <f>SUMIFS(原始数据!$F$3:$F$1002,原始数据!$D$3:$D$1002,"HT20250331")</f>
        <v>612.742</v>
      </c>
      <c r="G61" s="17">
        <f>SUMIFS(原始数据!$H$3:$H$1002,原始数据!$D$3:$D$1002,"HT20250331")</f>
        <v>439.638</v>
      </c>
      <c r="H61" s="17">
        <f>SUMIFS(原始数据!$I$3:$I$1002,原始数据!$D$3:$D$1002,"HT20250331")</f>
        <v>173.104</v>
      </c>
      <c r="I61" s="17">
        <f>SUMIFS(原始数据!$J$3:$J$1002,原始数据!$D$3:$D$1002,"HT20250331")</f>
        <v>17.166</v>
      </c>
      <c r="J61" s="17">
        <f>SUMIFS(原始数据!$K$3:$K$1002,原始数据!$D$3:$D$1002,"HT20250331")</f>
        <v>155.938</v>
      </c>
      <c r="K61" s="14" t="str">
        <f>IFERROR(INDEX(原始数据!$L$3:$L$1002,MATCH(1,INDEX((原始数据!$D$3:$D$1002="HT20250331")*(原始数据!$L$3:$L$1002&lt;&gt;""),0),0)),"")</f>
        <v>一部</v>
      </c>
      <c r="L61" s="15" t="str">
        <f>IFERROR(INDEX(原始数据!$M$3:$M$1002,MATCH(1,INDEX((原始数据!$D$3:$D$1002="HT20250331")*(原始数据!$M$3:$M$1002&lt;&gt;""),0),0)),"")</f>
        <v>张伟</v>
      </c>
      <c r="M61" s="14" t="str">
        <f>IFERROR(INDEX(原始数据!$N$3:$N$1002,MATCH(1,INDEX((原始数据!$D$3:$D$1002="HT20250331")*(原始数据!$N$3:$N$1002&lt;&gt;""),0),0)),"")</f>
        <v>2-3年</v>
      </c>
      <c r="N61" s="14" t="inlineStr"/>
    </row>
    <row r="62">
      <c r="A62" s="18">
        <f>ROW()-2</f>
        <v>60</v>
      </c>
      <c r="B62" s="19" t="str">
        <f>IFERROR(INDEX(原始数据!$B$3:$B$1002,MATCH(1,INDEX((原始数据!$D$3:$D$1002="HT20250401")*(原始数据!$B$3:$B$1002&lt;&gt;""),0),0)),"")</f>
        <v>东北-辽宁</v>
      </c>
      <c r="C62" s="19" t="str">
        <f>IFERROR(INDEX(原始数据!$C$3:$C$1002,MATCH(1,INDEX((原始数据!$D$3:$D$1002="HT20250401")*(原始数据!$C$3:$C$1002&lt;&gt;""),0),0)),"")</f>
        <v>政府机关</v>
      </c>
      <c r="D62" s="20" t="inlineStr">
        <is>
          <t>HT20250401</t>
        </is>
      </c>
      <c r="E62" s="21">
        <f>IFERROR(INDEX(原始数据!$E$3:$E$1002,MATCH(1,INDEX((原始数据!$D$3:$D$1002="HT20250401")*(原始数据!$E$3:$E$1002&lt;&gt;""),0),0)),"")</f>
        <v>20260605</v>
      </c>
      <c r="F62" s="22">
        <f>SUMIFS(原始数据!$F$3:$F$1002,原始数据!$D$3:$D$1002,"HT20250401")</f>
        <v>3765.46</v>
      </c>
      <c r="G62" s="22">
        <f>SUMIFS(原始数据!$H$3:$H$1002,原始数据!$D$3:$D$1002,"HT20250401")</f>
        <v>3533.2830000000004</v>
      </c>
      <c r="H62" s="22">
        <f>SUMIFS(原始数据!$I$3:$I$1002,原始数据!$D$3:$D$1002,"HT20250401")</f>
        <v>232.17700000000002</v>
      </c>
      <c r="I62" s="22">
        <f>SUMIFS(原始数据!$J$3:$J$1002,原始数据!$D$3:$D$1002,"HT20250401")</f>
        <v>121.85</v>
      </c>
      <c r="J62" s="22">
        <f>SUMIFS(原始数据!$K$3:$K$1002,原始数据!$D$3:$D$1002,"HT20250401")</f>
        <v>110.327</v>
      </c>
      <c r="K62" s="19" t="str">
        <f>IFERROR(INDEX(原始数据!$L$3:$L$1002,MATCH(1,INDEX((原始数据!$D$3:$D$1002="HT20250401")*(原始数据!$L$3:$L$1002&lt;&gt;""),0),0)),"")</f>
        <v>六部</v>
      </c>
      <c r="L62" s="20" t="str">
        <f>IFERROR(INDEX(原始数据!$M$3:$M$1002,MATCH(1,INDEX((原始数据!$D$3:$D$1002="HT20250401")*(原始数据!$M$3:$M$1002&lt;&gt;""),0),0)),"")</f>
        <v>曹阳</v>
      </c>
      <c r="M62" s="19" t="str">
        <f>IFERROR(INDEX(原始数据!$N$3:$N$1002,MATCH(1,INDEX((原始数据!$D$3:$D$1002="HT20250401")*(原始数据!$N$3:$N$1002&lt;&gt;""),0),0)),"")</f>
        <v>2-3年</v>
      </c>
      <c r="N62" s="19" t="inlineStr"/>
    </row>
    <row r="63">
      <c r="A63" s="13">
        <f>ROW()-2</f>
        <v>61</v>
      </c>
      <c r="B63" s="14" t="str">
        <f>IFERROR(INDEX(原始数据!$B$3:$B$1002,MATCH(1,INDEX((原始数据!$D$3:$D$1002="HT20250402")*(原始数据!$B$3:$B$1002&lt;&gt;""),0),0)),"")</f>
        <v>西北-新疆</v>
      </c>
      <c r="C63" s="14" t="str">
        <f>IFERROR(INDEX(原始数据!$C$3:$C$1002,MATCH(1,INDEX((原始数据!$D$3:$D$1002="HT20250402")*(原始数据!$C$3:$C$1002&lt;&gt;""),0),0)),"")</f>
        <v>国有企业</v>
      </c>
      <c r="D63" s="15" t="inlineStr">
        <is>
          <t>HT20250402</t>
        </is>
      </c>
      <c r="E63" s="16">
        <f>IFERROR(INDEX(原始数据!$E$3:$E$1002,MATCH(1,INDEX((原始数据!$D$3:$D$1002="HT20250402")*(原始数据!$E$3:$E$1002&lt;&gt;""),0),0)),"")</f>
        <v>20260418</v>
      </c>
      <c r="F63" s="17">
        <f>SUMIFS(原始数据!$F$3:$F$1002,原始数据!$D$3:$D$1002,"HT20250402")</f>
        <v>334.984</v>
      </c>
      <c r="G63" s="17">
        <f>SUMIFS(原始数据!$H$3:$H$1002,原始数据!$D$3:$D$1002,"HT20250402")</f>
        <v>44.459</v>
      </c>
      <c r="H63" s="17">
        <f>SUMIFS(原始数据!$I$3:$I$1002,原始数据!$D$3:$D$1002,"HT20250402")</f>
        <v>290.52500000000003</v>
      </c>
      <c r="I63" s="17">
        <f>SUMIFS(原始数据!$J$3:$J$1002,原始数据!$D$3:$D$1002,"HT20250402")</f>
        <v>227.397</v>
      </c>
      <c r="J63" s="17">
        <f>SUMIFS(原始数据!$K$3:$K$1002,原始数据!$D$3:$D$1002,"HT20250402")</f>
        <v>63.128</v>
      </c>
      <c r="K63" s="14" t="str">
        <f>IFERROR(INDEX(原始数据!$L$3:$L$1002,MATCH(1,INDEX((原始数据!$D$3:$D$1002="HT20250402")*(原始数据!$L$3:$L$1002&lt;&gt;""),0),0)),"")</f>
        <v>三部</v>
      </c>
      <c r="L63" s="15" t="str">
        <f>IFERROR(INDEX(原始数据!$M$3:$M$1002,MATCH(1,INDEX((原始数据!$D$3:$D$1002="HT20250402")*(原始数据!$M$3:$M$1002&lt;&gt;""),0),0)),"")</f>
        <v>胡蓉</v>
      </c>
      <c r="M63" s="14" t="str">
        <f>IFERROR(INDEX(原始数据!$N$3:$N$1002,MATCH(1,INDEX((原始数据!$D$3:$D$1002="HT20250402")*(原始数据!$N$3:$N$1002&lt;&gt;""),0),0)),"")</f>
        <v>2-3年</v>
      </c>
      <c r="N63" s="14" t="inlineStr"/>
    </row>
    <row r="64">
      <c r="A64" s="18">
        <f>ROW()-2</f>
        <v>62</v>
      </c>
      <c r="B64" s="19" t="str">
        <f>IFERROR(INDEX(原始数据!$B$3:$B$1002,MATCH(1,INDEX((原始数据!$D$3:$D$1002="HT20250403")*(原始数据!$B$3:$B$1002&lt;&gt;""),0),0)),"")</f>
        <v>华南-澳门</v>
      </c>
      <c r="C64" s="19" t="str">
        <f>IFERROR(INDEX(原始数据!$C$3:$C$1002,MATCH(1,INDEX((原始数据!$D$3:$D$1002="HT20250403")*(原始数据!$C$3:$C$1002&lt;&gt;""),0),0)),"")</f>
        <v>事业单位</v>
      </c>
      <c r="D64" s="20" t="inlineStr">
        <is>
          <t>HT20250403</t>
        </is>
      </c>
      <c r="E64" s="21">
        <f>IFERROR(INDEX(原始数据!$E$3:$E$1002,MATCH(1,INDEX((原始数据!$D$3:$D$1002="HT20250403")*(原始数据!$E$3:$E$1002&lt;&gt;""),0),0)),"")</f>
        <v>20260402</v>
      </c>
      <c r="F64" s="22">
        <f>SUMIFS(原始数据!$F$3:$F$1002,原始数据!$D$3:$D$1002,"HT20250403")</f>
        <v>11543.159</v>
      </c>
      <c r="G64" s="22">
        <f>SUMIFS(原始数据!$H$3:$H$1002,原始数据!$D$3:$D$1002,"HT20250403")</f>
        <v>9132.716</v>
      </c>
      <c r="H64" s="22">
        <f>SUMIFS(原始数据!$I$3:$I$1002,原始数据!$D$3:$D$1002,"HT20250403")</f>
        <v>2410.443</v>
      </c>
      <c r="I64" s="22">
        <f>SUMIFS(原始数据!$J$3:$J$1002,原始数据!$D$3:$D$1002,"HT20250403")</f>
        <v>898.9390000000001</v>
      </c>
      <c r="J64" s="22">
        <f>SUMIFS(原始数据!$K$3:$K$1002,原始数据!$D$3:$D$1002,"HT20250403")</f>
        <v>1511.504</v>
      </c>
      <c r="K64" s="19" t="str">
        <f>IFERROR(INDEX(原始数据!$L$3:$L$1002,MATCH(1,INDEX((原始数据!$D$3:$D$1002="HT20250403")*(原始数据!$L$3:$L$1002&lt;&gt;""),0),0)),"")</f>
        <v>八部</v>
      </c>
      <c r="L64" s="20" t="str">
        <f>IFERROR(INDEX(原始数据!$M$3:$M$1002,MATCH(1,INDEX((原始数据!$D$3:$D$1002="HT20250403")*(原始数据!$M$3:$M$1002&lt;&gt;""),0),0)),"")</f>
        <v>卢俊</v>
      </c>
      <c r="M64" s="19" t="str">
        <f>IFERROR(INDEX(原始数据!$N$3:$N$1002,MATCH(1,INDEX((原始数据!$D$3:$D$1002="HT20250403")*(原始数据!$N$3:$N$1002&lt;&gt;""),0),0)),"")</f>
        <v>2-3年</v>
      </c>
      <c r="N64" s="19" t="inlineStr"/>
    </row>
    <row r="65">
      <c r="A65" s="13">
        <f>ROW()-2</f>
        <v>63</v>
      </c>
      <c r="B65" s="14" t="str">
        <f>IFERROR(INDEX(原始数据!$B$3:$B$1002,MATCH(1,INDEX((原始数据!$D$3:$D$1002="HT20250404")*(原始数据!$B$3:$B$1002&lt;&gt;""),0),0)),"")</f>
        <v>西北-甘肃</v>
      </c>
      <c r="C65" s="14" t="str">
        <f>IFERROR(INDEX(原始数据!$C$3:$C$1002,MATCH(1,INDEX((原始数据!$D$3:$D$1002="HT20250404")*(原始数据!$C$3:$C$1002&lt;&gt;""),0),0)),"")</f>
        <v>党委机关</v>
      </c>
      <c r="D65" s="15" t="inlineStr">
        <is>
          <t>HT20250404</t>
        </is>
      </c>
      <c r="E65" s="16">
        <f>IFERROR(INDEX(原始数据!$E$3:$E$1002,MATCH(1,INDEX((原始数据!$D$3:$D$1002="HT20250404")*(原始数据!$E$3:$E$1002&lt;&gt;""),0),0)),"")</f>
        <v>20260811</v>
      </c>
      <c r="F65" s="17">
        <f>SUMIFS(原始数据!$F$3:$F$1002,原始数据!$D$3:$D$1002,"HT20250404")</f>
        <v>319.823</v>
      </c>
      <c r="G65" s="17">
        <f>SUMIFS(原始数据!$H$3:$H$1002,原始数据!$D$3:$D$1002,"HT20250404")</f>
        <v>247.321</v>
      </c>
      <c r="H65" s="17">
        <f>SUMIFS(原始数据!$I$3:$I$1002,原始数据!$D$3:$D$1002,"HT20250404")</f>
        <v>72.502</v>
      </c>
      <c r="I65" s="17">
        <f>SUMIFS(原始数据!$J$3:$J$1002,原始数据!$D$3:$D$1002,"HT20250404")</f>
        <v>62.81</v>
      </c>
      <c r="J65" s="17">
        <f>SUMIFS(原始数据!$K$3:$K$1002,原始数据!$D$3:$D$1002,"HT20250404")</f>
        <v>9.692</v>
      </c>
      <c r="K65" s="14" t="str">
        <f>IFERROR(INDEX(原始数据!$L$3:$L$1002,MATCH(1,INDEX((原始数据!$D$3:$D$1002="HT20250404")*(原始数据!$L$3:$L$1002&lt;&gt;""),0),0)),"")</f>
        <v>四部</v>
      </c>
      <c r="L65" s="15" t="str">
        <f>IFERROR(INDEX(原始数据!$M$3:$M$1002,MATCH(1,INDEX((原始数据!$D$3:$D$1002="HT20250404")*(原始数据!$M$3:$M$1002&lt;&gt;""),0),0)),"")</f>
        <v>高翔</v>
      </c>
      <c r="M65" s="14" t="str">
        <f>IFERROR(INDEX(原始数据!$N$3:$N$1002,MATCH(1,INDEX((原始数据!$D$3:$D$1002="HT20250404")*(原始数据!$N$3:$N$1002&lt;&gt;""),0),0)),"")</f>
        <v>1-2年</v>
      </c>
      <c r="N65" s="14" t="inlineStr"/>
    </row>
    <row r="66">
      <c r="A66" s="18">
        <f>ROW()-2</f>
        <v>64</v>
      </c>
      <c r="B66" s="19" t="str">
        <f>IFERROR(INDEX(原始数据!$B$3:$B$1002,MATCH(1,INDEX((原始数据!$D$3:$D$1002="HT20250405")*(原始数据!$B$3:$B$1002&lt;&gt;""),0),0)),"")</f>
        <v>西南-贵州</v>
      </c>
      <c r="C66" s="19" t="str">
        <f>IFERROR(INDEX(原始数据!$C$3:$C$1002,MATCH(1,INDEX((原始数据!$D$3:$D$1002="HT20250405")*(原始数据!$C$3:$C$1002&lt;&gt;""),0),0)),"")</f>
        <v>监察司法机关</v>
      </c>
      <c r="D66" s="20" t="inlineStr">
        <is>
          <t>HT20250405</t>
        </is>
      </c>
      <c r="E66" s="21">
        <f>IFERROR(INDEX(原始数据!$E$3:$E$1002,MATCH(1,INDEX((原始数据!$D$3:$D$1002="HT20250405")*(原始数据!$E$3:$E$1002&lt;&gt;""),0),0)),"")</f>
        <v>20260711</v>
      </c>
      <c r="F66" s="22">
        <f>SUMIFS(原始数据!$F$3:$F$1002,原始数据!$D$3:$D$1002,"HT20250405")</f>
        <v>2114.062</v>
      </c>
      <c r="G66" s="22">
        <f>SUMIFS(原始数据!$H$3:$H$1002,原始数据!$D$3:$D$1002,"HT20250405")</f>
        <v>796.586</v>
      </c>
      <c r="H66" s="22">
        <f>SUMIFS(原始数据!$I$3:$I$1002,原始数据!$D$3:$D$1002,"HT20250405")</f>
        <v>1317.4759999999999</v>
      </c>
      <c r="I66" s="22">
        <f>SUMIFS(原始数据!$J$3:$J$1002,原始数据!$D$3:$D$1002,"HT20250405")</f>
        <v>1147.41</v>
      </c>
      <c r="J66" s="22">
        <f>SUMIFS(原始数据!$K$3:$K$1002,原始数据!$D$3:$D$1002,"HT20250405")</f>
        <v>170.066</v>
      </c>
      <c r="K66" s="19" t="str">
        <f>IFERROR(INDEX(原始数据!$L$3:$L$1002,MATCH(1,INDEX((原始数据!$D$3:$D$1002="HT20250405")*(原始数据!$L$3:$L$1002&lt;&gt;""),0),0)),"")</f>
        <v>五部</v>
      </c>
      <c r="L66" s="20" t="str">
        <f>IFERROR(INDEX(原始数据!$M$3:$M$1002,MATCH(1,INDEX((原始数据!$D$3:$D$1002="HT20250405")*(原始数据!$M$3:$M$1002&lt;&gt;""),0),0)),"")</f>
        <v>梁雪</v>
      </c>
      <c r="M66" s="19" t="str">
        <f>IFERROR(INDEX(原始数据!$N$3:$N$1002,MATCH(1,INDEX((原始数据!$D$3:$D$1002="HT20250405")*(原始数据!$N$3:$N$1002&lt;&gt;""),0),0)),"")</f>
        <v>2-3年</v>
      </c>
      <c r="N66" s="19" t="inlineStr"/>
    </row>
    <row r="67">
      <c r="A67" s="13">
        <f>ROW()-2</f>
        <v>65</v>
      </c>
      <c r="B67" s="14" t="str">
        <f>IFERROR(INDEX(原始数据!$B$3:$B$1002,MATCH(1,INDEX((原始数据!$D$3:$D$1002="HT20250406")*(原始数据!$B$3:$B$1002&lt;&gt;""),0),0)),"")</f>
        <v>东北-吉林</v>
      </c>
      <c r="C67" s="14" t="str">
        <f>IFERROR(INDEX(原始数据!$C$3:$C$1002,MATCH(1,INDEX((原始数据!$D$3:$D$1002="HT20250406")*(原始数据!$C$3:$C$1002&lt;&gt;""),0),0)),"")</f>
        <v>党委机关</v>
      </c>
      <c r="D67" s="15" t="inlineStr">
        <is>
          <t>HT20250406</t>
        </is>
      </c>
      <c r="E67" s="16">
        <f>IFERROR(INDEX(原始数据!$E$3:$E$1002,MATCH(1,INDEX((原始数据!$D$3:$D$1002="HT20250406")*(原始数据!$E$3:$E$1002&lt;&gt;""),0),0)),"")</f>
        <v>20260812</v>
      </c>
      <c r="F67" s="17">
        <f>SUMIFS(原始数据!$F$3:$F$1002,原始数据!$D$3:$D$1002,"HT20250406")</f>
        <v>1457.3609999999999</v>
      </c>
      <c r="G67" s="17">
        <f>SUMIFS(原始数据!$H$3:$H$1002,原始数据!$D$3:$D$1002,"HT20250406")</f>
        <v>613.768</v>
      </c>
      <c r="H67" s="17">
        <f>SUMIFS(原始数据!$I$3:$I$1002,原始数据!$D$3:$D$1002,"HT20250406")</f>
        <v>843.593</v>
      </c>
      <c r="I67" s="17">
        <f>SUMIFS(原始数据!$J$3:$J$1002,原始数据!$D$3:$D$1002,"HT20250406")</f>
        <v>427.603</v>
      </c>
      <c r="J67" s="17">
        <f>SUMIFS(原始数据!$K$3:$K$1002,原始数据!$D$3:$D$1002,"HT20250406")</f>
        <v>415.99</v>
      </c>
      <c r="K67" s="14" t="str">
        <f>IFERROR(INDEX(原始数据!$L$3:$L$1002,MATCH(1,INDEX((原始数据!$D$3:$D$1002="HT20250406")*(原始数据!$L$3:$L$1002&lt;&gt;""),0),0)),"")</f>
        <v>一部</v>
      </c>
      <c r="L67" s="15" t="str">
        <f>IFERROR(INDEX(原始数据!$M$3:$M$1002,MATCH(1,INDEX((原始数据!$D$3:$D$1002="HT20250406")*(原始数据!$M$3:$M$1002&lt;&gt;""),0),0)),"")</f>
        <v>刘洋</v>
      </c>
      <c r="M67" s="14" t="str">
        <f>IFERROR(INDEX(原始数据!$N$3:$N$1002,MATCH(1,INDEX((原始数据!$D$3:$D$1002="HT20250406")*(原始数据!$N$3:$N$1002&lt;&gt;""),0),0)),"")</f>
        <v>2-3年</v>
      </c>
      <c r="N67" s="14" t="inlineStr"/>
    </row>
    <row r="68">
      <c r="A68" s="18">
        <f>ROW()-2</f>
        <v>66</v>
      </c>
      <c r="B68" s="19" t="str">
        <f>IFERROR(INDEX(原始数据!$B$3:$B$1002,MATCH(1,INDEX((原始数据!$D$3:$D$1002="HT20250407")*(原始数据!$B$3:$B$1002&lt;&gt;""),0),0)),"")</f>
        <v>东北-黑龙江</v>
      </c>
      <c r="C68" s="19" t="str">
        <f>IFERROR(INDEX(原始数据!$C$3:$C$1002,MATCH(1,INDEX((原始数据!$D$3:$D$1002="HT20250407")*(原始数据!$C$3:$C$1002&lt;&gt;""),0),0)),"")</f>
        <v>群团组织</v>
      </c>
      <c r="D68" s="20" t="inlineStr">
        <is>
          <t>HT20250407</t>
        </is>
      </c>
      <c r="E68" s="21">
        <f>IFERROR(INDEX(原始数据!$E$3:$E$1002,MATCH(1,INDEX((原始数据!$D$3:$D$1002="HT20250407")*(原始数据!$E$3:$E$1002&lt;&gt;""),0),0)),"")</f>
        <v>20260909</v>
      </c>
      <c r="F68" s="22">
        <f>SUMIFS(原始数据!$F$3:$F$1002,原始数据!$D$3:$D$1002,"HT20250407")</f>
        <v>1291.597</v>
      </c>
      <c r="G68" s="22">
        <f>SUMIFS(原始数据!$H$3:$H$1002,原始数据!$D$3:$D$1002,"HT20250407")</f>
        <v>464.997</v>
      </c>
      <c r="H68" s="22">
        <f>SUMIFS(原始数据!$I$3:$I$1002,原始数据!$D$3:$D$1002,"HT20250407")</f>
        <v>826.5999999999999</v>
      </c>
      <c r="I68" s="22">
        <f>SUMIFS(原始数据!$J$3:$J$1002,原始数据!$D$3:$D$1002,"HT20250407")</f>
        <v>525.7850000000001</v>
      </c>
      <c r="J68" s="22">
        <f>SUMIFS(原始数据!$K$3:$K$1002,原始数据!$D$3:$D$1002,"HT20250407")</f>
        <v>300.815</v>
      </c>
      <c r="K68" s="19" t="str">
        <f>IFERROR(INDEX(原始数据!$L$3:$L$1002,MATCH(1,INDEX((原始数据!$D$3:$D$1002="HT20250407")*(原始数据!$L$3:$L$1002&lt;&gt;""),0),0)),"")</f>
        <v>三部</v>
      </c>
      <c r="L68" s="20" t="str">
        <f>IFERROR(INDEX(原始数据!$M$3:$M$1002,MATCH(1,INDEX((原始数据!$D$3:$D$1002="HT20250407")*(原始数据!$M$3:$M$1002&lt;&gt;""),0),0)),"")</f>
        <v>马超</v>
      </c>
      <c r="M68" s="19" t="str">
        <f>IFERROR(INDEX(原始数据!$N$3:$N$1002,MATCH(1,INDEX((原始数据!$D$3:$D$1002="HT20250407")*(原始数据!$N$3:$N$1002&lt;&gt;""),0),0)),"")</f>
        <v>2-3年</v>
      </c>
      <c r="N68" s="19" t="inlineStr"/>
    </row>
    <row r="69">
      <c r="A69" s="13">
        <f>ROW()-2</f>
        <v>67</v>
      </c>
      <c r="B69" s="14" t="str">
        <f>IFERROR(INDEX(原始数据!$B$3:$B$1002,MATCH(1,INDEX((原始数据!$D$3:$D$1002="HT20250408")*(原始数据!$B$3:$B$1002&lt;&gt;""),0),0)),"")</f>
        <v>华南-海南</v>
      </c>
      <c r="C69" s="14" t="str">
        <f>IFERROR(INDEX(原始数据!$C$3:$C$1002,MATCH(1,INDEX((原始数据!$D$3:$D$1002="HT20250408")*(原始数据!$C$3:$C$1002&lt;&gt;""),0),0)),"")</f>
        <v>党委机关</v>
      </c>
      <c r="D69" s="15" t="inlineStr">
        <is>
          <t>HT20250408</t>
        </is>
      </c>
      <c r="E69" s="16">
        <f>IFERROR(INDEX(原始数据!$E$3:$E$1002,MATCH(1,INDEX((原始数据!$D$3:$D$1002="HT20250408")*(原始数据!$E$3:$E$1002&lt;&gt;""),0),0)),"")</f>
        <v>20251025</v>
      </c>
      <c r="F69" s="17">
        <f>SUMIFS(原始数据!$F$3:$F$1002,原始数据!$D$3:$D$1002,"HT20250408")</f>
        <v>1176.586</v>
      </c>
      <c r="G69" s="17">
        <f>SUMIFS(原始数据!$H$3:$H$1002,原始数据!$D$3:$D$1002,"HT20250408")</f>
        <v>565.399</v>
      </c>
      <c r="H69" s="17">
        <f>SUMIFS(原始数据!$I$3:$I$1002,原始数据!$D$3:$D$1002,"HT20250408")</f>
        <v>611.187</v>
      </c>
      <c r="I69" s="17">
        <f>SUMIFS(原始数据!$J$3:$J$1002,原始数据!$D$3:$D$1002,"HT20250408")</f>
        <v>446.21700000000004</v>
      </c>
      <c r="J69" s="17">
        <f>SUMIFS(原始数据!$K$3:$K$1002,原始数据!$D$3:$D$1002,"HT20250408")</f>
        <v>164.97</v>
      </c>
      <c r="K69" s="14" t="str">
        <f>IFERROR(INDEX(原始数据!$L$3:$L$1002,MATCH(1,INDEX((原始数据!$D$3:$D$1002="HT20250408")*(原始数据!$L$3:$L$1002&lt;&gt;""),0),0)),"")</f>
        <v>五部</v>
      </c>
      <c r="L69" s="15" t="str">
        <f>IFERROR(INDEX(原始数据!$M$3:$M$1002,MATCH(1,INDEX((原始数据!$D$3:$D$1002="HT20250408")*(原始数据!$M$3:$M$1002&lt;&gt;""),0),0)),"")</f>
        <v>韩梅</v>
      </c>
      <c r="M69" s="14" t="str">
        <f>IFERROR(INDEX(原始数据!$N$3:$N$1002,MATCH(1,INDEX((原始数据!$D$3:$D$1002="HT20250408")*(原始数据!$N$3:$N$1002&lt;&gt;""),0),0)),"")</f>
        <v>1-2年</v>
      </c>
      <c r="N69" s="14" t="inlineStr"/>
    </row>
    <row r="70">
      <c r="A70" s="18">
        <f>ROW()-2</f>
        <v>68</v>
      </c>
      <c r="B70" s="19" t="str">
        <f>IFERROR(INDEX(原始数据!$B$3:$B$1002,MATCH(1,INDEX((原始数据!$D$3:$D$1002="HT20250411")*(原始数据!$B$3:$B$1002&lt;&gt;""),0),0)),"")</f>
        <v>华北-山西</v>
      </c>
      <c r="C70" s="19" t="str">
        <f>IFERROR(INDEX(原始数据!$C$3:$C$1002,MATCH(1,INDEX((原始数据!$D$3:$D$1002="HT20250411")*(原始数据!$C$3:$C$1002&lt;&gt;""),0),0)),"")</f>
        <v>政府机关</v>
      </c>
      <c r="D70" s="20" t="inlineStr">
        <is>
          <t>HT20250411</t>
        </is>
      </c>
      <c r="E70" s="21">
        <f>IFERROR(INDEX(原始数据!$E$3:$E$1002,MATCH(1,INDEX((原始数据!$D$3:$D$1002="HT20250411")*(原始数据!$E$3:$E$1002&lt;&gt;""),0),0)),"")</f>
        <v>20260729</v>
      </c>
      <c r="F70" s="22">
        <f>SUMIFS(原始数据!$F$3:$F$1002,原始数据!$D$3:$D$1002,"HT20250411")</f>
        <v>9563.914999999999</v>
      </c>
      <c r="G70" s="22">
        <f>SUMIFS(原始数据!$H$3:$H$1002,原始数据!$D$3:$D$1002,"HT20250411")</f>
        <v>6377.331999999999</v>
      </c>
      <c r="H70" s="22">
        <f>SUMIFS(原始数据!$I$3:$I$1002,原始数据!$D$3:$D$1002,"HT20250411")</f>
        <v>3186.583</v>
      </c>
      <c r="I70" s="22">
        <f>SUMIFS(原始数据!$J$3:$J$1002,原始数据!$D$3:$D$1002,"HT20250411")</f>
        <v>2980.1110000000003</v>
      </c>
      <c r="J70" s="22">
        <f>SUMIFS(原始数据!$K$3:$K$1002,原始数据!$D$3:$D$1002,"HT20250411")</f>
        <v>206.47199999999998</v>
      </c>
      <c r="K70" s="19" t="str">
        <f>IFERROR(INDEX(原始数据!$L$3:$L$1002,MATCH(1,INDEX((原始数据!$D$3:$D$1002="HT20250411")*(原始数据!$L$3:$L$1002&lt;&gt;""),0),0)),"")</f>
        <v>六部</v>
      </c>
      <c r="L70" s="20" t="str">
        <f>IFERROR(INDEX(原始数据!$M$3:$M$1002,MATCH(1,INDEX((原始数据!$D$3:$D$1002="HT20250411")*(原始数据!$M$3:$M$1002&lt;&gt;""),0),0)),"")</f>
        <v>唐亮</v>
      </c>
      <c r="M70" s="19" t="str">
        <f>IFERROR(INDEX(原始数据!$N$3:$N$1002,MATCH(1,INDEX((原始数据!$D$3:$D$1002="HT20250411")*(原始数据!$N$3:$N$1002&lt;&gt;""),0),0)),"")</f>
        <v>1-2年</v>
      </c>
      <c r="N70" s="19" t="inlineStr"/>
    </row>
    <row r="71">
      <c r="A71" s="13">
        <f>ROW()-2</f>
        <v>69</v>
      </c>
      <c r="B71" s="14" t="str">
        <f>IFERROR(INDEX(原始数据!$B$3:$B$1002,MATCH(1,INDEX((原始数据!$D$3:$D$1002="HT20250412")*(原始数据!$B$3:$B$1002&lt;&gt;""),0),0)),"")</f>
        <v>华中-河南</v>
      </c>
      <c r="C71" s="14" t="str">
        <f>IFERROR(INDEX(原始数据!$C$3:$C$1002,MATCH(1,INDEX((原始数据!$D$3:$D$1002="HT20250412")*(原始数据!$C$3:$C$1002&lt;&gt;""),0),0)),"")</f>
        <v>群团组织</v>
      </c>
      <c r="D71" s="15" t="inlineStr">
        <is>
          <t>HT20250412</t>
        </is>
      </c>
      <c r="E71" s="16">
        <f>IFERROR(INDEX(原始数据!$E$3:$E$1002,MATCH(1,INDEX((原始数据!$D$3:$D$1002="HT20250412")*(原始数据!$E$3:$E$1002&lt;&gt;""),0),0)),"")</f>
        <v>20251106</v>
      </c>
      <c r="F71" s="17">
        <f>SUMIFS(原始数据!$F$3:$F$1002,原始数据!$D$3:$D$1002,"HT20250412")</f>
        <v>6513.476000000001</v>
      </c>
      <c r="G71" s="17">
        <f>SUMIFS(原始数据!$H$3:$H$1002,原始数据!$D$3:$D$1002,"HT20250412")</f>
        <v>3364.147</v>
      </c>
      <c r="H71" s="17">
        <f>SUMIFS(原始数据!$I$3:$I$1002,原始数据!$D$3:$D$1002,"HT20250412")</f>
        <v>3149.329</v>
      </c>
      <c r="I71" s="17">
        <f>SUMIFS(原始数据!$J$3:$J$1002,原始数据!$D$3:$D$1002,"HT20250412")</f>
        <v>1488.388</v>
      </c>
      <c r="J71" s="17">
        <f>SUMIFS(原始数据!$K$3:$K$1002,原始数据!$D$3:$D$1002,"HT20250412")</f>
        <v>1660.941</v>
      </c>
      <c r="K71" s="14" t="str">
        <f>IFERROR(INDEX(原始数据!$L$3:$L$1002,MATCH(1,INDEX((原始数据!$D$3:$D$1002="HT20250412")*(原始数据!$L$3:$L$1002&lt;&gt;""),0),0)),"")</f>
        <v>六部</v>
      </c>
      <c r="L71" s="15" t="str">
        <f>IFERROR(INDEX(原始数据!$M$3:$M$1002,MATCH(1,INDEX((原始数据!$D$3:$D$1002="HT20250412")*(原始数据!$M$3:$M$1002&lt;&gt;""),0),0)),"")</f>
        <v>冯倩</v>
      </c>
      <c r="M71" s="14" t="str">
        <f>IFERROR(INDEX(原始数据!$N$3:$N$1002,MATCH(1,INDEX((原始数据!$D$3:$D$1002="HT20250412")*(原始数据!$N$3:$N$1002&lt;&gt;""),0),0)),"")</f>
        <v>1-2年</v>
      </c>
      <c r="N71" s="14" t="inlineStr"/>
    </row>
    <row r="72">
      <c r="A72" s="18">
        <f>ROW()-2</f>
        <v>70</v>
      </c>
      <c r="B72" s="19" t="str">
        <f>IFERROR(INDEX(原始数据!$B$3:$B$1002,MATCH(1,INDEX((原始数据!$D$3:$D$1002="HT20250413")*(原始数据!$B$3:$B$1002&lt;&gt;""),0),0)),"")</f>
        <v>华东-上海</v>
      </c>
      <c r="C72" s="19" t="str">
        <f>IFERROR(INDEX(原始数据!$C$3:$C$1002,MATCH(1,INDEX((原始数据!$D$3:$D$1002="HT20250413")*(原始数据!$C$3:$C$1002&lt;&gt;""),0),0)),"")</f>
        <v>基层自治组织</v>
      </c>
      <c r="D72" s="20" t="inlineStr">
        <is>
          <t>HT20250413</t>
        </is>
      </c>
      <c r="E72" s="21">
        <f>IFERROR(INDEX(原始数据!$E$3:$E$1002,MATCH(1,INDEX((原始数据!$D$3:$D$1002="HT20250413")*(原始数据!$E$3:$E$1002&lt;&gt;""),0),0)),"")</f>
        <v>20260115</v>
      </c>
      <c r="F72" s="22">
        <f>SUMIFS(原始数据!$F$3:$F$1002,原始数据!$D$3:$D$1002,"HT20250413")</f>
        <v>903.8140000000001</v>
      </c>
      <c r="G72" s="22">
        <f>SUMIFS(原始数据!$H$3:$H$1002,原始数据!$D$3:$D$1002,"HT20250413")</f>
        <v>521.652</v>
      </c>
      <c r="H72" s="22">
        <f>SUMIFS(原始数据!$I$3:$I$1002,原始数据!$D$3:$D$1002,"HT20250413")</f>
        <v>382.162</v>
      </c>
      <c r="I72" s="22">
        <f>SUMIFS(原始数据!$J$3:$J$1002,原始数据!$D$3:$D$1002,"HT20250413")</f>
        <v>318.02500000000003</v>
      </c>
      <c r="J72" s="22">
        <f>SUMIFS(原始数据!$K$3:$K$1002,原始数据!$D$3:$D$1002,"HT20250413")</f>
        <v>64.137</v>
      </c>
      <c r="K72" s="19" t="str">
        <f>IFERROR(INDEX(原始数据!$L$3:$L$1002,MATCH(1,INDEX((原始数据!$D$3:$D$1002="HT20250413")*(原始数据!$L$3:$L$1002&lt;&gt;""),0),0)),"")</f>
        <v>七部</v>
      </c>
      <c r="L72" s="20" t="str">
        <f>IFERROR(INDEX(原始数据!$M$3:$M$1002,MATCH(1,INDEX((原始数据!$D$3:$D$1002="HT20250413")*(原始数据!$M$3:$M$1002&lt;&gt;""),0),0)),"")</f>
        <v>沈刚</v>
      </c>
      <c r="M72" s="19" t="str">
        <f>IFERROR(INDEX(原始数据!$N$3:$N$1002,MATCH(1,INDEX((原始数据!$D$3:$D$1002="HT20250413")*(原始数据!$N$3:$N$1002&lt;&gt;""),0),0)),"")</f>
        <v>1-2年</v>
      </c>
      <c r="N72" s="19" t="inlineStr"/>
    </row>
    <row r="73">
      <c r="A73" s="13">
        <f>ROW()-2</f>
        <v>71</v>
      </c>
      <c r="B73" s="14" t="str">
        <f>IFERROR(INDEX(原始数据!$B$3:$B$1002,MATCH(1,INDEX((原始数据!$D$3:$D$1002="HT20250414")*(原始数据!$B$3:$B$1002&lt;&gt;""),0),0)),"")</f>
        <v>华东-江苏</v>
      </c>
      <c r="C73" s="14" t="str">
        <f>IFERROR(INDEX(原始数据!$C$3:$C$1002,MATCH(1,INDEX((原始数据!$D$3:$D$1002="HT20250414")*(原始数据!$C$3:$C$1002&lt;&gt;""),0),0)),"")</f>
        <v>人大政协</v>
      </c>
      <c r="D73" s="15" t="inlineStr">
        <is>
          <t>HT20250414</t>
        </is>
      </c>
      <c r="E73" s="16">
        <f>IFERROR(INDEX(原始数据!$E$3:$E$1002,MATCH(1,INDEX((原始数据!$D$3:$D$1002="HT20250414")*(原始数据!$E$3:$E$1002&lt;&gt;""),0),0)),"")</f>
        <v>20260901</v>
      </c>
      <c r="F73" s="17">
        <f>SUMIFS(原始数据!$F$3:$F$1002,原始数据!$D$3:$D$1002,"HT20250414")</f>
        <v>1752.453</v>
      </c>
      <c r="G73" s="17">
        <f>SUMIFS(原始数据!$H$3:$H$1002,原始数据!$D$3:$D$1002,"HT20250414")</f>
        <v>937.4089999999999</v>
      </c>
      <c r="H73" s="17">
        <f>SUMIFS(原始数据!$I$3:$I$1002,原始数据!$D$3:$D$1002,"HT20250414")</f>
        <v>815.0440000000001</v>
      </c>
      <c r="I73" s="17">
        <f>SUMIFS(原始数据!$J$3:$J$1002,原始数据!$D$3:$D$1002,"HT20250414")</f>
        <v>621.894</v>
      </c>
      <c r="J73" s="17">
        <f>SUMIFS(原始数据!$K$3:$K$1002,原始数据!$D$3:$D$1002,"HT20250414")</f>
        <v>193.14999999999998</v>
      </c>
      <c r="K73" s="14" t="str">
        <f>IFERROR(INDEX(原始数据!$L$3:$L$1002,MATCH(1,INDEX((原始数据!$D$3:$D$1002="HT20250414")*(原始数据!$L$3:$L$1002&lt;&gt;""),0),0)),"")</f>
        <v>八部</v>
      </c>
      <c r="L73" s="15" t="str">
        <f>IFERROR(INDEX(原始数据!$M$3:$M$1002,MATCH(1,INDEX((原始数据!$D$3:$D$1002="HT20250414")*(原始数据!$M$3:$M$1002&lt;&gt;""),0),0)),"")</f>
        <v>吕强</v>
      </c>
      <c r="M73" s="14" t="str">
        <f>IFERROR(INDEX(原始数据!$N$3:$N$1002,MATCH(1,INDEX((原始数据!$D$3:$D$1002="HT20250414")*(原始数据!$N$3:$N$1002&lt;&gt;""),0),0)),"")</f>
        <v>2-3年</v>
      </c>
      <c r="N73" s="14" t="inlineStr"/>
    </row>
    <row r="74">
      <c r="A74" s="18">
        <f>ROW()-2</f>
        <v>72</v>
      </c>
      <c r="B74" s="19" t="str">
        <f>IFERROR(INDEX(原始数据!$B$3:$B$1002,MATCH(1,INDEX((原始数据!$D$3:$D$1002="HT20250416")*(原始数据!$B$3:$B$1002&lt;&gt;""),0),0)),"")</f>
        <v>西北-甘肃</v>
      </c>
      <c r="C74" s="19" t="str">
        <f>IFERROR(INDEX(原始数据!$C$3:$C$1002,MATCH(1,INDEX((原始数据!$D$3:$D$1002="HT20250416")*(原始数据!$C$3:$C$1002&lt;&gt;""),0),0)),"")</f>
        <v>国有企业</v>
      </c>
      <c r="D74" s="20" t="inlineStr">
        <is>
          <t>HT20250416</t>
        </is>
      </c>
      <c r="E74" s="21">
        <f>IFERROR(INDEX(原始数据!$E$3:$E$1002,MATCH(1,INDEX((原始数据!$D$3:$D$1002="HT20250416")*(原始数据!$E$3:$E$1002&lt;&gt;""),0),0)),"")</f>
        <v>20260529</v>
      </c>
      <c r="F74" s="22">
        <f>SUMIFS(原始数据!$F$3:$F$1002,原始数据!$D$3:$D$1002,"HT20250416")</f>
        <v>85.879</v>
      </c>
      <c r="G74" s="22">
        <f>SUMIFS(原始数据!$H$3:$H$1002,原始数据!$D$3:$D$1002,"HT20250416")</f>
        <v>0.502</v>
      </c>
      <c r="H74" s="22">
        <f>SUMIFS(原始数据!$I$3:$I$1002,原始数据!$D$3:$D$1002,"HT20250416")</f>
        <v>85.377</v>
      </c>
      <c r="I74" s="22">
        <f>SUMIFS(原始数据!$J$3:$J$1002,原始数据!$D$3:$D$1002,"HT20250416")</f>
        <v>59.079</v>
      </c>
      <c r="J74" s="22">
        <f>SUMIFS(原始数据!$K$3:$K$1002,原始数据!$D$3:$D$1002,"HT20250416")</f>
        <v>26.298</v>
      </c>
      <c r="K74" s="19" t="str">
        <f>IFERROR(INDEX(原始数据!$L$3:$L$1002,MATCH(1,INDEX((原始数据!$D$3:$D$1002="HT20250416")*(原始数据!$L$3:$L$1002&lt;&gt;""),0),0)),"")</f>
        <v>九部</v>
      </c>
      <c r="L74" s="20" t="str">
        <f>IFERROR(INDEX(原始数据!$M$3:$M$1002,MATCH(1,INDEX((原始数据!$D$3:$D$1002="HT20250416")*(原始数据!$M$3:$M$1002&lt;&gt;""),0),0)),"")</f>
        <v>蔡明</v>
      </c>
      <c r="M74" s="19" t="str">
        <f>IFERROR(INDEX(原始数据!$N$3:$N$1002,MATCH(1,INDEX((原始数据!$D$3:$D$1002="HT20250416")*(原始数据!$N$3:$N$1002&lt;&gt;""),0),0)),"")</f>
        <v>1年以内</v>
      </c>
      <c r="N74" s="19" t="inlineStr"/>
    </row>
    <row r="75">
      <c r="A75" s="13">
        <f>ROW()-2</f>
        <v>73</v>
      </c>
      <c r="B75" s="14" t="str">
        <f>IFERROR(INDEX(原始数据!$B$3:$B$1002,MATCH(1,INDEX((原始数据!$D$3:$D$1002="HT20250417")*(原始数据!$B$3:$B$1002&lt;&gt;""),0),0)),"")</f>
        <v>华北-山西</v>
      </c>
      <c r="C75" s="14" t="str">
        <f>IFERROR(INDEX(原始数据!$C$3:$C$1002,MATCH(1,INDEX((原始数据!$D$3:$D$1002="HT20250417")*(原始数据!$C$3:$C$1002&lt;&gt;""),0),0)),"")</f>
        <v>群团组织</v>
      </c>
      <c r="D75" s="15" t="inlineStr">
        <is>
          <t>HT20250417</t>
        </is>
      </c>
      <c r="E75" s="16">
        <f>IFERROR(INDEX(原始数据!$E$3:$E$1002,MATCH(1,INDEX((原始数据!$D$3:$D$1002="HT20250417")*(原始数据!$E$3:$E$1002&lt;&gt;""),0),0)),"")</f>
        <v>20260802</v>
      </c>
      <c r="F75" s="17">
        <f>SUMIFS(原始数据!$F$3:$F$1002,原始数据!$D$3:$D$1002,"HT20250417")</f>
        <v>3647.684</v>
      </c>
      <c r="G75" s="17">
        <f>SUMIFS(原始数据!$H$3:$H$1002,原始数据!$D$3:$D$1002,"HT20250417")</f>
        <v>2183.124</v>
      </c>
      <c r="H75" s="17">
        <f>SUMIFS(原始数据!$I$3:$I$1002,原始数据!$D$3:$D$1002,"HT20250417")</f>
        <v>1464.56</v>
      </c>
      <c r="I75" s="17">
        <f>SUMIFS(原始数据!$J$3:$J$1002,原始数据!$D$3:$D$1002,"HT20250417")</f>
        <v>1097.895</v>
      </c>
      <c r="J75" s="17">
        <f>SUMIFS(原始数据!$K$3:$K$1002,原始数据!$D$3:$D$1002,"HT20250417")</f>
        <v>366.665</v>
      </c>
      <c r="K75" s="14" t="str">
        <f>IFERROR(INDEX(原始数据!$L$3:$L$1002,MATCH(1,INDEX((原始数据!$D$3:$D$1002="HT20250417")*(原始数据!$L$3:$L$1002&lt;&gt;""),0),0)),"")</f>
        <v>三部</v>
      </c>
      <c r="L75" s="15" t="str">
        <f>IFERROR(INDEX(原始数据!$M$3:$M$1002,MATCH(1,INDEX((原始数据!$D$3:$D$1002="HT20250417")*(原始数据!$M$3:$M$1002&lt;&gt;""),0),0)),"")</f>
        <v>马超</v>
      </c>
      <c r="M75" s="14" t="str">
        <f>IFERROR(INDEX(原始数据!$N$3:$N$1002,MATCH(1,INDEX((原始数据!$D$3:$D$1002="HT20250417")*(原始数据!$N$3:$N$1002&lt;&gt;""),0),0)),"")</f>
        <v>1年以内</v>
      </c>
      <c r="N75" s="14" t="inlineStr"/>
    </row>
    <row r="76">
      <c r="A76" s="18">
        <f>ROW()-2</f>
        <v>74</v>
      </c>
      <c r="B76" s="19" t="str">
        <f>IFERROR(INDEX(原始数据!$B$3:$B$1002,MATCH(1,INDEX((原始数据!$D$3:$D$1002="HT20250418")*(原始数据!$B$3:$B$1002&lt;&gt;""),0),0)),"")</f>
        <v>华中-湖南</v>
      </c>
      <c r="C76" s="19" t="str">
        <f>IFERROR(INDEX(原始数据!$C$3:$C$1002,MATCH(1,INDEX((原始数据!$D$3:$D$1002="HT20250418")*(原始数据!$C$3:$C$1002&lt;&gt;""),0),0)),"")</f>
        <v>事业单位</v>
      </c>
      <c r="D76" s="20" t="inlineStr">
        <is>
          <t>HT20250418</t>
        </is>
      </c>
      <c r="E76" s="21">
        <f>IFERROR(INDEX(原始数据!$E$3:$E$1002,MATCH(1,INDEX((原始数据!$D$3:$D$1002="HT20250418")*(原始数据!$E$3:$E$1002&lt;&gt;""),0),0)),"")</f>
        <v>20260706</v>
      </c>
      <c r="F76" s="22">
        <f>SUMIFS(原始数据!$F$3:$F$1002,原始数据!$D$3:$D$1002,"HT20250418")</f>
        <v>953.913</v>
      </c>
      <c r="G76" s="22">
        <f>SUMIFS(原始数据!$H$3:$H$1002,原始数据!$D$3:$D$1002,"HT20250418")</f>
        <v>520.248</v>
      </c>
      <c r="H76" s="22">
        <f>SUMIFS(原始数据!$I$3:$I$1002,原始数据!$D$3:$D$1002,"HT20250418")</f>
        <v>433.665</v>
      </c>
      <c r="I76" s="22">
        <f>SUMIFS(原始数据!$J$3:$J$1002,原始数据!$D$3:$D$1002,"HT20250418")</f>
        <v>144.785</v>
      </c>
      <c r="J76" s="22">
        <f>SUMIFS(原始数据!$K$3:$K$1002,原始数据!$D$3:$D$1002,"HT20250418")</f>
        <v>288.88</v>
      </c>
      <c r="K76" s="19" t="str">
        <f>IFERROR(INDEX(原始数据!$L$3:$L$1002,MATCH(1,INDEX((原始数据!$D$3:$D$1002="HT20250418")*(原始数据!$L$3:$L$1002&lt;&gt;""),0),0)),"")</f>
        <v>七部</v>
      </c>
      <c r="L76" s="20" t="str">
        <f>IFERROR(INDEX(原始数据!$M$3:$M$1002,MATCH(1,INDEX((原始数据!$D$3:$D$1002="HT20250418")*(原始数据!$M$3:$M$1002&lt;&gt;""),0),0)),"")</f>
        <v>邓丽</v>
      </c>
      <c r="M76" s="19" t="str">
        <f>IFERROR(INDEX(原始数据!$N$3:$N$1002,MATCH(1,INDEX((原始数据!$D$3:$D$1002="HT20250418")*(原始数据!$N$3:$N$1002&lt;&gt;""),0),0)),"")</f>
        <v>2-3年</v>
      </c>
      <c r="N76" s="19" t="inlineStr"/>
    </row>
    <row r="77">
      <c r="A77" s="13">
        <f>ROW()-2</f>
        <v>75</v>
      </c>
      <c r="B77" s="14" t="str">
        <f>IFERROR(INDEX(原始数据!$B$3:$B$1002,MATCH(1,INDEX((原始数据!$D$3:$D$1002="HT20250421")*(原始数据!$B$3:$B$1002&lt;&gt;""),0),0)),"")</f>
        <v>西南-云南</v>
      </c>
      <c r="C77" s="14" t="str">
        <f>IFERROR(INDEX(原始数据!$C$3:$C$1002,MATCH(1,INDEX((原始数据!$D$3:$D$1002="HT20250421")*(原始数据!$C$3:$C$1002&lt;&gt;""),0),0)),"")</f>
        <v>国有企业</v>
      </c>
      <c r="D77" s="15" t="inlineStr">
        <is>
          <t>HT20250421</t>
        </is>
      </c>
      <c r="E77" s="16">
        <f>IFERROR(INDEX(原始数据!$E$3:$E$1002,MATCH(1,INDEX((原始数据!$D$3:$D$1002="HT20250421")*(原始数据!$E$3:$E$1002&lt;&gt;""),0),0)),"")</f>
        <v>20260209</v>
      </c>
      <c r="F77" s="17">
        <f>SUMIFS(原始数据!$F$3:$F$1002,原始数据!$D$3:$D$1002,"HT20250421")</f>
        <v>442.355</v>
      </c>
      <c r="G77" s="17">
        <f>SUMIFS(原始数据!$H$3:$H$1002,原始数据!$D$3:$D$1002,"HT20250421")</f>
        <v>225.192</v>
      </c>
      <c r="H77" s="17">
        <f>SUMIFS(原始数据!$I$3:$I$1002,原始数据!$D$3:$D$1002,"HT20250421")</f>
        <v>217.163</v>
      </c>
      <c r="I77" s="17">
        <f>SUMIFS(原始数据!$J$3:$J$1002,原始数据!$D$3:$D$1002,"HT20250421")</f>
        <v>199.29</v>
      </c>
      <c r="J77" s="17">
        <f>SUMIFS(原始数据!$K$3:$K$1002,原始数据!$D$3:$D$1002,"HT20250421")</f>
        <v>17.873</v>
      </c>
      <c r="K77" s="14" t="str">
        <f>IFERROR(INDEX(原始数据!$L$3:$L$1002,MATCH(1,INDEX((原始数据!$D$3:$D$1002="HT20250421")*(原始数据!$L$3:$L$1002&lt;&gt;""),0),0)),"")</f>
        <v>五部</v>
      </c>
      <c r="L77" s="15" t="str">
        <f>IFERROR(INDEX(原始数据!$M$3:$M$1002,MATCH(1,INDEX((原始数据!$D$3:$D$1002="HT20250421")*(原始数据!$M$3:$M$1002&lt;&gt;""),0),0)),"")</f>
        <v>梁雪</v>
      </c>
      <c r="M77" s="14" t="str">
        <f>IFERROR(INDEX(原始数据!$N$3:$N$1002,MATCH(1,INDEX((原始数据!$D$3:$D$1002="HT20250421")*(原始数据!$N$3:$N$1002&lt;&gt;""),0),0)),"")</f>
        <v>2-3年</v>
      </c>
      <c r="N77" s="14" t="inlineStr"/>
    </row>
    <row r="78">
      <c r="A78" s="18">
        <f>ROW()-2</f>
        <v>76</v>
      </c>
      <c r="B78" s="19" t="str">
        <f>IFERROR(INDEX(原始数据!$B$3:$B$1002,MATCH(1,INDEX((原始数据!$D$3:$D$1002="HT20250422")*(原始数据!$B$3:$B$1002&lt;&gt;""),0),0)),"")</f>
        <v>华中-湖南</v>
      </c>
      <c r="C78" s="19" t="str">
        <f>IFERROR(INDEX(原始数据!$C$3:$C$1002,MATCH(1,INDEX((原始数据!$D$3:$D$1002="HT20250422")*(原始数据!$C$3:$C$1002&lt;&gt;""),0),0)),"")</f>
        <v>群团组织</v>
      </c>
      <c r="D78" s="20" t="inlineStr">
        <is>
          <t>HT20250422</t>
        </is>
      </c>
      <c r="E78" s="21">
        <f>IFERROR(INDEX(原始数据!$E$3:$E$1002,MATCH(1,INDEX((原始数据!$D$3:$D$1002="HT20250422")*(原始数据!$E$3:$E$1002&lt;&gt;""),0),0)),"")</f>
        <v>20260404</v>
      </c>
      <c r="F78" s="22">
        <f>SUMIFS(原始数据!$F$3:$F$1002,原始数据!$D$3:$D$1002,"HT20250422")</f>
        <v>1631.4</v>
      </c>
      <c r="G78" s="22">
        <f>SUMIFS(原始数据!$H$3:$H$1002,原始数据!$D$3:$D$1002,"HT20250422")</f>
        <v>797.4200000000001</v>
      </c>
      <c r="H78" s="22">
        <f>SUMIFS(原始数据!$I$3:$I$1002,原始数据!$D$3:$D$1002,"HT20250422")</f>
        <v>833.98</v>
      </c>
      <c r="I78" s="22">
        <f>SUMIFS(原始数据!$J$3:$J$1002,原始数据!$D$3:$D$1002,"HT20250422")</f>
        <v>278.139</v>
      </c>
      <c r="J78" s="22">
        <f>SUMIFS(原始数据!$K$3:$K$1002,原始数据!$D$3:$D$1002,"HT20250422")</f>
        <v>555.841</v>
      </c>
      <c r="K78" s="19" t="str">
        <f>IFERROR(INDEX(原始数据!$L$3:$L$1002,MATCH(1,INDEX((原始数据!$D$3:$D$1002="HT20250422")*(原始数据!$L$3:$L$1002&lt;&gt;""),0),0)),"")</f>
        <v>八部</v>
      </c>
      <c r="L78" s="20" t="str">
        <f>IFERROR(INDEX(原始数据!$M$3:$M$1002,MATCH(1,INDEX((原始数据!$D$3:$D$1002="HT20250422")*(原始数据!$M$3:$M$1002&lt;&gt;""),0),0)),"")</f>
        <v>吕强</v>
      </c>
      <c r="M78" s="19" t="str">
        <f>IFERROR(INDEX(原始数据!$N$3:$N$1002,MATCH(1,INDEX((原始数据!$D$3:$D$1002="HT20250422")*(原始数据!$N$3:$N$1002&lt;&gt;""),0),0)),"")</f>
        <v>1-2年</v>
      </c>
      <c r="N78" s="19" t="inlineStr"/>
    </row>
    <row r="79">
      <c r="A79" s="13">
        <f>ROW()-2</f>
        <v>77</v>
      </c>
      <c r="B79" s="14" t="str">
        <f>IFERROR(INDEX(原始数据!$B$3:$B$1002,MATCH(1,INDEX((原始数据!$D$3:$D$1002="HT20250423")*(原始数据!$B$3:$B$1002&lt;&gt;""),0),0)),"")</f>
        <v>华南-广东</v>
      </c>
      <c r="C79" s="14" t="str">
        <f>IFERROR(INDEX(原始数据!$C$3:$C$1002,MATCH(1,INDEX((原始数据!$D$3:$D$1002="HT20250423")*(原始数据!$C$3:$C$1002&lt;&gt;""),0),0)),"")</f>
        <v>国有企业</v>
      </c>
      <c r="D79" s="15" t="inlineStr">
        <is>
          <t>HT20250423</t>
        </is>
      </c>
      <c r="E79" s="16">
        <f>IFERROR(INDEX(原始数据!$E$3:$E$1002,MATCH(1,INDEX((原始数据!$D$3:$D$1002="HT20250423")*(原始数据!$E$3:$E$1002&lt;&gt;""),0),0)),"")</f>
        <v>20260727</v>
      </c>
      <c r="F79" s="17">
        <f>SUMIFS(原始数据!$F$3:$F$1002,原始数据!$D$3:$D$1002,"HT20250423")</f>
        <v>1531.81</v>
      </c>
      <c r="G79" s="17">
        <f>SUMIFS(原始数据!$H$3:$H$1002,原始数据!$D$3:$D$1002,"HT20250423")</f>
        <v>1054.9830000000002</v>
      </c>
      <c r="H79" s="17">
        <f>SUMIFS(原始数据!$I$3:$I$1002,原始数据!$D$3:$D$1002,"HT20250423")</f>
        <v>476.827</v>
      </c>
      <c r="I79" s="17">
        <f>SUMIFS(原始数据!$J$3:$J$1002,原始数据!$D$3:$D$1002,"HT20250423")</f>
        <v>333.908</v>
      </c>
      <c r="J79" s="17">
        <f>SUMIFS(原始数据!$K$3:$K$1002,原始数据!$D$3:$D$1002,"HT20250423")</f>
        <v>142.91899999999998</v>
      </c>
      <c r="K79" s="14" t="str">
        <f>IFERROR(INDEX(原始数据!$L$3:$L$1002,MATCH(1,INDEX((原始数据!$D$3:$D$1002="HT20250423")*(原始数据!$L$3:$L$1002&lt;&gt;""),0),0)),"")</f>
        <v>四部</v>
      </c>
      <c r="L79" s="15" t="str">
        <f>IFERROR(INDEX(原始数据!$M$3:$M$1002,MATCH(1,INDEX((原始数据!$D$3:$D$1002="HT20250423")*(原始数据!$M$3:$M$1002&lt;&gt;""),0),0)),"")</f>
        <v>高翔</v>
      </c>
      <c r="M79" s="14" t="str">
        <f>IFERROR(INDEX(原始数据!$N$3:$N$1002,MATCH(1,INDEX((原始数据!$D$3:$D$1002="HT20250423")*(原始数据!$N$3:$N$1002&lt;&gt;""),0),0)),"")</f>
        <v>2-3年</v>
      </c>
      <c r="N79" s="14" t="inlineStr">
        <is>
          <t>产品不合格</t>
        </is>
      </c>
    </row>
    <row r="80">
      <c r="A80" s="18">
        <f>ROW()-2</f>
        <v>78</v>
      </c>
      <c r="B80" s="19" t="str">
        <f>IFERROR(INDEX(原始数据!$B$3:$B$1002,MATCH(1,INDEX((原始数据!$D$3:$D$1002="HT20250424")*(原始数据!$B$3:$B$1002&lt;&gt;""),0),0)),"")</f>
        <v>西北-陕西</v>
      </c>
      <c r="C80" s="19" t="str">
        <f>IFERROR(INDEX(原始数据!$C$3:$C$1002,MATCH(1,INDEX((原始数据!$D$3:$D$1002="HT20250424")*(原始数据!$C$3:$C$1002&lt;&gt;""),0),0)),"")</f>
        <v>人大政协</v>
      </c>
      <c r="D80" s="20" t="inlineStr">
        <is>
          <t>HT20250424</t>
        </is>
      </c>
      <c r="E80" s="21">
        <f>IFERROR(INDEX(原始数据!$E$3:$E$1002,MATCH(1,INDEX((原始数据!$D$3:$D$1002="HT20250424")*(原始数据!$E$3:$E$1002&lt;&gt;""),0),0)),"")</f>
        <v>20260321</v>
      </c>
      <c r="F80" s="22">
        <f>SUMIFS(原始数据!$F$3:$F$1002,原始数据!$D$3:$D$1002,"HT20250424")</f>
        <v>689.664</v>
      </c>
      <c r="G80" s="22">
        <f>SUMIFS(原始数据!$H$3:$H$1002,原始数据!$D$3:$D$1002,"HT20250424")</f>
        <v>359.689</v>
      </c>
      <c r="H80" s="22">
        <f>SUMIFS(原始数据!$I$3:$I$1002,原始数据!$D$3:$D$1002,"HT20250424")</f>
        <v>329.975</v>
      </c>
      <c r="I80" s="22">
        <f>SUMIFS(原始数据!$J$3:$J$1002,原始数据!$D$3:$D$1002,"HT20250424")</f>
        <v>0.659</v>
      </c>
      <c r="J80" s="22">
        <f>SUMIFS(原始数据!$K$3:$K$1002,原始数据!$D$3:$D$1002,"HT20250424")</f>
        <v>329.316</v>
      </c>
      <c r="K80" s="19" t="str">
        <f>IFERROR(INDEX(原始数据!$L$3:$L$1002,MATCH(1,INDEX((原始数据!$D$3:$D$1002="HT20250424")*(原始数据!$L$3:$L$1002&lt;&gt;""),0),0)),"")</f>
        <v>十部</v>
      </c>
      <c r="L80" s="20" t="str">
        <f>IFERROR(INDEX(原始数据!$M$3:$M$1002,MATCH(1,INDEX((原始数据!$D$3:$D$1002="HT20250424")*(原始数据!$M$3:$M$1002&lt;&gt;""),0),0)),"")</f>
        <v>薛峰</v>
      </c>
      <c r="M80" s="19" t="str">
        <f>IFERROR(INDEX(原始数据!$N$3:$N$1002,MATCH(1,INDEX((原始数据!$D$3:$D$1002="HT20250424")*(原始数据!$N$3:$N$1002&lt;&gt;""),0),0)),"")</f>
        <v>1年以内</v>
      </c>
      <c r="N80" s="19" t="inlineStr">
        <is>
          <t>产品不合格</t>
        </is>
      </c>
    </row>
    <row r="81">
      <c r="A81" s="13">
        <f>ROW()-2</f>
        <v>79</v>
      </c>
      <c r="B81" s="14" t="str">
        <f>IFERROR(INDEX(原始数据!$B$3:$B$1002,MATCH(1,INDEX((原始数据!$D$3:$D$1002="HT20250425")*(原始数据!$B$3:$B$1002&lt;&gt;""),0),0)),"")</f>
        <v>华南-香港</v>
      </c>
      <c r="C81" s="14" t="str">
        <f>IFERROR(INDEX(原始数据!$C$3:$C$1002,MATCH(1,INDEX((原始数据!$D$3:$D$1002="HT20250425")*(原始数据!$C$3:$C$1002&lt;&gt;""),0),0)),"")</f>
        <v>基层自治组织</v>
      </c>
      <c r="D81" s="15" t="inlineStr">
        <is>
          <t>HT20250425</t>
        </is>
      </c>
      <c r="E81" s="16">
        <f>IFERROR(INDEX(原始数据!$E$3:$E$1002,MATCH(1,INDEX((原始数据!$D$3:$D$1002="HT20250425")*(原始数据!$E$3:$E$1002&lt;&gt;""),0),0)),"")</f>
        <v>20260227</v>
      </c>
      <c r="F81" s="17">
        <f>SUMIFS(原始数据!$F$3:$F$1002,原始数据!$D$3:$D$1002,"HT20250425")</f>
        <v>2020.895</v>
      </c>
      <c r="G81" s="17">
        <f>SUMIFS(原始数据!$H$3:$H$1002,原始数据!$D$3:$D$1002,"HT20250425")</f>
        <v>1193.7020000000002</v>
      </c>
      <c r="H81" s="17">
        <f>SUMIFS(原始数据!$I$3:$I$1002,原始数据!$D$3:$D$1002,"HT20250425")</f>
        <v>827.193</v>
      </c>
      <c r="I81" s="17">
        <f>SUMIFS(原始数据!$J$3:$J$1002,原始数据!$D$3:$D$1002,"HT20250425")</f>
        <v>430.25</v>
      </c>
      <c r="J81" s="17">
        <f>SUMIFS(原始数据!$K$3:$K$1002,原始数据!$D$3:$D$1002,"HT20250425")</f>
        <v>396.943</v>
      </c>
      <c r="K81" s="14" t="str">
        <f>IFERROR(INDEX(原始数据!$L$3:$L$1002,MATCH(1,INDEX((原始数据!$D$3:$D$1002="HT20250425")*(原始数据!$L$3:$L$1002&lt;&gt;""),0),0)),"")</f>
        <v>九部</v>
      </c>
      <c r="L81" s="15" t="str">
        <f>IFERROR(INDEX(原始数据!$M$3:$M$1002,MATCH(1,INDEX((原始数据!$D$3:$D$1002="HT20250425")*(原始数据!$M$3:$M$1002&lt;&gt;""),0),0)),"")</f>
        <v>贾静</v>
      </c>
      <c r="M81" s="14" t="str">
        <f>IFERROR(INDEX(原始数据!$N$3:$N$1002,MATCH(1,INDEX((原始数据!$D$3:$D$1002="HT20250425")*(原始数据!$N$3:$N$1002&lt;&gt;""),0),0)),"")</f>
        <v>2-3年</v>
      </c>
      <c r="N81" s="14" t="inlineStr">
        <is>
          <t>产品不合格</t>
        </is>
      </c>
    </row>
    <row r="82">
      <c r="A82" s="18">
        <f>ROW()-2</f>
        <v>80</v>
      </c>
      <c r="B82" s="19" t="str">
        <f>IFERROR(INDEX(原始数据!$B$3:$B$1002,MATCH(1,INDEX((原始数据!$D$3:$D$1002="HT20250426")*(原始数据!$B$3:$B$1002&lt;&gt;""),0),0)),"")</f>
        <v>华东-浙江</v>
      </c>
      <c r="C82" s="19" t="str">
        <f>IFERROR(INDEX(原始数据!$C$3:$C$1002,MATCH(1,INDEX((原始数据!$D$3:$D$1002="HT20250426")*(原始数据!$C$3:$C$1002&lt;&gt;""),0),0)),"")</f>
        <v>基层自治组织</v>
      </c>
      <c r="D82" s="20" t="inlineStr">
        <is>
          <t>HT20250426</t>
        </is>
      </c>
      <c r="E82" s="21">
        <f>IFERROR(INDEX(原始数据!$E$3:$E$1002,MATCH(1,INDEX((原始数据!$D$3:$D$1002="HT20250426")*(原始数据!$E$3:$E$1002&lt;&gt;""),0),0)),"")</f>
        <v>20251125</v>
      </c>
      <c r="F82" s="22">
        <f>SUMIFS(原始数据!$F$3:$F$1002,原始数据!$D$3:$D$1002,"HT20250426")</f>
        <v>806.106</v>
      </c>
      <c r="G82" s="22">
        <f>SUMIFS(原始数据!$H$3:$H$1002,原始数据!$D$3:$D$1002,"HT20250426")</f>
        <v>103.779</v>
      </c>
      <c r="H82" s="22">
        <f>SUMIFS(原始数据!$I$3:$I$1002,原始数据!$D$3:$D$1002,"HT20250426")</f>
        <v>702.327</v>
      </c>
      <c r="I82" s="22">
        <f>SUMIFS(原始数据!$J$3:$J$1002,原始数据!$D$3:$D$1002,"HT20250426")</f>
        <v>14.911</v>
      </c>
      <c r="J82" s="22">
        <f>SUMIFS(原始数据!$K$3:$K$1002,原始数据!$D$3:$D$1002,"HT20250426")</f>
        <v>687.416</v>
      </c>
      <c r="K82" s="19" t="str">
        <f>IFERROR(INDEX(原始数据!$L$3:$L$1002,MATCH(1,INDEX((原始数据!$D$3:$D$1002="HT20250426")*(原始数据!$L$3:$L$1002&lt;&gt;""),0),0)),"")</f>
        <v>四部</v>
      </c>
      <c r="L82" s="20" t="str">
        <f>IFERROR(INDEX(原始数据!$M$3:$M$1002,MATCH(1,INDEX((原始数据!$D$3:$D$1002="HT20250426")*(原始数据!$M$3:$M$1002&lt;&gt;""),0),0)),"")</f>
        <v>罗刚</v>
      </c>
      <c r="M82" s="19" t="str">
        <f>IFERROR(INDEX(原始数据!$N$3:$N$1002,MATCH(1,INDEX((原始数据!$D$3:$D$1002="HT20250426")*(原始数据!$N$3:$N$1002&lt;&gt;""),0),0)),"")</f>
        <v>1年以内</v>
      </c>
      <c r="N82" s="19" t="inlineStr"/>
    </row>
    <row r="83">
      <c r="A83" s="13">
        <f>ROW()-2</f>
        <v>81</v>
      </c>
      <c r="B83" s="14" t="str">
        <f>IFERROR(INDEX(原始数据!$B$3:$B$1002,MATCH(1,INDEX((原始数据!$D$3:$D$1002="HT20250427")*(原始数据!$B$3:$B$1002&lt;&gt;""),0),0)),"")</f>
        <v>华东-上海</v>
      </c>
      <c r="C83" s="14" t="str">
        <f>IFERROR(INDEX(原始数据!$C$3:$C$1002,MATCH(1,INDEX((原始数据!$D$3:$D$1002="HT20250427")*(原始数据!$C$3:$C$1002&lt;&gt;""),0),0)),"")</f>
        <v>群团组织</v>
      </c>
      <c r="D83" s="15" t="inlineStr">
        <is>
          <t>HT20250427</t>
        </is>
      </c>
      <c r="E83" s="16">
        <f>IFERROR(INDEX(原始数据!$E$3:$E$1002,MATCH(1,INDEX((原始数据!$D$3:$D$1002="HT20250427")*(原始数据!$E$3:$E$1002&lt;&gt;""),0),0)),"")</f>
        <v>20260127</v>
      </c>
      <c r="F83" s="17">
        <f>SUMIFS(原始数据!$F$3:$F$1002,原始数据!$D$3:$D$1002,"HT20250427")</f>
        <v>4652.428</v>
      </c>
      <c r="G83" s="17">
        <f>SUMIFS(原始数据!$H$3:$H$1002,原始数据!$D$3:$D$1002,"HT20250427")</f>
        <v>4249.471</v>
      </c>
      <c r="H83" s="17">
        <f>SUMIFS(原始数据!$I$3:$I$1002,原始数据!$D$3:$D$1002,"HT20250427")</f>
        <v>402.957</v>
      </c>
      <c r="I83" s="17">
        <f>SUMIFS(原始数据!$J$3:$J$1002,原始数据!$D$3:$D$1002,"HT20250427")</f>
        <v>147.526</v>
      </c>
      <c r="J83" s="17">
        <f>SUMIFS(原始数据!$K$3:$K$1002,原始数据!$D$3:$D$1002,"HT20250427")</f>
        <v>255.43099999999998</v>
      </c>
      <c r="K83" s="14" t="str">
        <f>IFERROR(INDEX(原始数据!$L$3:$L$1002,MATCH(1,INDEX((原始数据!$D$3:$D$1002="HT20250427")*(原始数据!$L$3:$L$1002&lt;&gt;""),0),0)),"")</f>
        <v>三部</v>
      </c>
      <c r="L83" s="15" t="str">
        <f>IFERROR(INDEX(原始数据!$M$3:$M$1002,MATCH(1,INDEX((原始数据!$D$3:$D$1002="HT20250427")*(原始数据!$M$3:$M$1002&lt;&gt;""),0),0)),"")</f>
        <v>朱军</v>
      </c>
      <c r="M83" s="14" t="str">
        <f>IFERROR(INDEX(原始数据!$N$3:$N$1002,MATCH(1,INDEX((原始数据!$D$3:$D$1002="HT20250427")*(原始数据!$N$3:$N$1002&lt;&gt;""),0),0)),"")</f>
        <v>1年以内</v>
      </c>
      <c r="N83" s="14" t="inlineStr"/>
    </row>
    <row r="84">
      <c r="A84" s="18">
        <f>ROW()-2</f>
        <v>82</v>
      </c>
      <c r="B84" s="19" t="str">
        <f>IFERROR(INDEX(原始数据!$B$3:$B$1002,MATCH(1,INDEX((原始数据!$D$3:$D$1002="HT20250428")*(原始数据!$B$3:$B$1002&lt;&gt;""),0),0)),"")</f>
        <v>华东-山东</v>
      </c>
      <c r="C84" s="19" t="str">
        <f>IFERROR(INDEX(原始数据!$C$3:$C$1002,MATCH(1,INDEX((原始数据!$D$3:$D$1002="HT20250428")*(原始数据!$C$3:$C$1002&lt;&gt;""),0),0)),"")</f>
        <v>人大政协</v>
      </c>
      <c r="D84" s="20" t="inlineStr">
        <is>
          <t>HT20250428</t>
        </is>
      </c>
      <c r="E84" s="21">
        <f>IFERROR(INDEX(原始数据!$E$3:$E$1002,MATCH(1,INDEX((原始数据!$D$3:$D$1002="HT20250428")*(原始数据!$E$3:$E$1002&lt;&gt;""),0),0)),"")</f>
        <v>20260312</v>
      </c>
      <c r="F84" s="22">
        <f>SUMIFS(原始数据!$F$3:$F$1002,原始数据!$D$3:$D$1002,"HT20250428")</f>
        <v>4215.876</v>
      </c>
      <c r="G84" s="22">
        <f>SUMIFS(原始数据!$H$3:$H$1002,原始数据!$D$3:$D$1002,"HT20250428")</f>
        <v>145.332</v>
      </c>
      <c r="H84" s="22">
        <f>SUMIFS(原始数据!$I$3:$I$1002,原始数据!$D$3:$D$1002,"HT20250428")</f>
        <v>4070.544</v>
      </c>
      <c r="I84" s="22">
        <f>SUMIFS(原始数据!$J$3:$J$1002,原始数据!$D$3:$D$1002,"HT20250428")</f>
        <v>3040.519</v>
      </c>
      <c r="J84" s="22">
        <f>SUMIFS(原始数据!$K$3:$K$1002,原始数据!$D$3:$D$1002,"HT20250428")</f>
        <v>1030.025</v>
      </c>
      <c r="K84" s="19" t="str">
        <f>IFERROR(INDEX(原始数据!$L$3:$L$1002,MATCH(1,INDEX((原始数据!$D$3:$D$1002="HT20250428")*(原始数据!$L$3:$L$1002&lt;&gt;""),0),0)),"")</f>
        <v>八部</v>
      </c>
      <c r="L84" s="20" t="str">
        <f>IFERROR(INDEX(原始数据!$M$3:$M$1002,MATCH(1,INDEX((原始数据!$D$3:$D$1002="HT20250428")*(原始数据!$M$3:$M$1002&lt;&gt;""),0),0)),"")</f>
        <v>苏珊</v>
      </c>
      <c r="M84" s="19" t="str">
        <f>IFERROR(INDEX(原始数据!$N$3:$N$1002,MATCH(1,INDEX((原始数据!$D$3:$D$1002="HT20250428")*(原始数据!$N$3:$N$1002&lt;&gt;""),0),0)),"")</f>
        <v>1-2年</v>
      </c>
      <c r="N84" s="19" t="inlineStr">
        <is>
          <t>产品不合格</t>
        </is>
      </c>
    </row>
    <row r="85">
      <c r="A85" s="13">
        <f>ROW()-2</f>
        <v>83</v>
      </c>
      <c r="B85" s="14" t="str">
        <f>IFERROR(INDEX(原始数据!$B$3:$B$1002,MATCH(1,INDEX((原始数据!$D$3:$D$1002="HT20250503")*(原始数据!$B$3:$B$1002&lt;&gt;""),0),0)),"")</f>
        <v>华东-福建</v>
      </c>
      <c r="C85" s="14" t="str">
        <f>IFERROR(INDEX(原始数据!$C$3:$C$1002,MATCH(1,INDEX((原始数据!$D$3:$D$1002="HT20250503")*(原始数据!$C$3:$C$1002&lt;&gt;""),0),0)),"")</f>
        <v>政府机关</v>
      </c>
      <c r="D85" s="15" t="inlineStr">
        <is>
          <t>HT20250503</t>
        </is>
      </c>
      <c r="E85" s="16">
        <f>IFERROR(INDEX(原始数据!$E$3:$E$1002,MATCH(1,INDEX((原始数据!$D$3:$D$1002="HT20250503")*(原始数据!$E$3:$E$1002&lt;&gt;""),0),0)),"")</f>
        <v>20260205</v>
      </c>
      <c r="F85" s="17">
        <f>SUMIFS(原始数据!$F$3:$F$1002,原始数据!$D$3:$D$1002,"HT20250503")</f>
        <v>909.4870000000001</v>
      </c>
      <c r="G85" s="17">
        <f>SUMIFS(原始数据!$H$3:$H$1002,原始数据!$D$3:$D$1002,"HT20250503")</f>
        <v>129.73</v>
      </c>
      <c r="H85" s="17">
        <f>SUMIFS(原始数据!$I$3:$I$1002,原始数据!$D$3:$D$1002,"HT20250503")</f>
        <v>779.7570000000001</v>
      </c>
      <c r="I85" s="17">
        <f>SUMIFS(原始数据!$J$3:$J$1002,原始数据!$D$3:$D$1002,"HT20250503")</f>
        <v>137.866</v>
      </c>
      <c r="J85" s="17">
        <f>SUMIFS(原始数据!$K$3:$K$1002,原始数据!$D$3:$D$1002,"HT20250503")</f>
        <v>641.8910000000001</v>
      </c>
      <c r="K85" s="14" t="str">
        <f>IFERROR(INDEX(原始数据!$L$3:$L$1002,MATCH(1,INDEX((原始数据!$D$3:$D$1002="HT20250503")*(原始数据!$L$3:$L$1002&lt;&gt;""),0),0)),"")</f>
        <v>一部</v>
      </c>
      <c r="L85" s="15" t="str">
        <f>IFERROR(INDEX(原始数据!$M$3:$M$1002,MATCH(1,INDEX((原始数据!$D$3:$D$1002="HT20250503")*(原始数据!$M$3:$M$1002&lt;&gt;""),0),0)),"")</f>
        <v>王芳</v>
      </c>
      <c r="M85" s="14" t="str">
        <f>IFERROR(INDEX(原始数据!$N$3:$N$1002,MATCH(1,INDEX((原始数据!$D$3:$D$1002="HT20250503")*(原始数据!$N$3:$N$1002&lt;&gt;""),0),0)),"")</f>
        <v>1年以内</v>
      </c>
      <c r="N85" s="14" t="inlineStr">
        <is>
          <t>产品不合格</t>
        </is>
      </c>
    </row>
    <row r="86">
      <c r="A86" s="18">
        <f>ROW()-2</f>
        <v>84</v>
      </c>
      <c r="B86" s="19" t="str">
        <f>IFERROR(INDEX(原始数据!$B$3:$B$1002,MATCH(1,INDEX((原始数据!$D$3:$D$1002="HT20250504")*(原始数据!$B$3:$B$1002&lt;&gt;""),0),0)),"")</f>
        <v>西南-贵州</v>
      </c>
      <c r="C86" s="19" t="str">
        <f>IFERROR(INDEX(原始数据!$C$3:$C$1002,MATCH(1,INDEX((原始数据!$D$3:$D$1002="HT20250504")*(原始数据!$C$3:$C$1002&lt;&gt;""),0),0)),"")</f>
        <v>党委机关</v>
      </c>
      <c r="D86" s="20" t="inlineStr">
        <is>
          <t>HT20250504</t>
        </is>
      </c>
      <c r="E86" s="21">
        <f>IFERROR(INDEX(原始数据!$E$3:$E$1002,MATCH(1,INDEX((原始数据!$D$3:$D$1002="HT20250504")*(原始数据!$E$3:$E$1002&lt;&gt;""),0),0)),"")</f>
        <v>20260728</v>
      </c>
      <c r="F86" s="22">
        <f>SUMIFS(原始数据!$F$3:$F$1002,原始数据!$D$3:$D$1002,"HT20250504")</f>
        <v>1715.6640000000002</v>
      </c>
      <c r="G86" s="22">
        <f>SUMIFS(原始数据!$H$3:$H$1002,原始数据!$D$3:$D$1002,"HT20250504")</f>
        <v>891.47</v>
      </c>
      <c r="H86" s="22">
        <f>SUMIFS(原始数据!$I$3:$I$1002,原始数据!$D$3:$D$1002,"HT20250504")</f>
        <v>824.194</v>
      </c>
      <c r="I86" s="22">
        <f>SUMIFS(原始数据!$J$3:$J$1002,原始数据!$D$3:$D$1002,"HT20250504")</f>
        <v>451.223</v>
      </c>
      <c r="J86" s="22">
        <f>SUMIFS(原始数据!$K$3:$K$1002,原始数据!$D$3:$D$1002,"HT20250504")</f>
        <v>372.971</v>
      </c>
      <c r="K86" s="19" t="str">
        <f>IFERROR(INDEX(原始数据!$L$3:$L$1002,MATCH(1,INDEX((原始数据!$D$3:$D$1002="HT20250504")*(原始数据!$L$3:$L$1002&lt;&gt;""),0),0)),"")</f>
        <v>一部</v>
      </c>
      <c r="L86" s="20" t="str">
        <f>IFERROR(INDEX(原始数据!$M$3:$M$1002,MATCH(1,INDEX((原始数据!$D$3:$D$1002="HT20250504")*(原始数据!$M$3:$M$1002&lt;&gt;""),0),0)),"")</f>
        <v>王芳</v>
      </c>
      <c r="M86" s="19" t="str">
        <f>IFERROR(INDEX(原始数据!$N$3:$N$1002,MATCH(1,INDEX((原始数据!$D$3:$D$1002="HT20250504")*(原始数据!$N$3:$N$1002&lt;&gt;""),0),0)),"")</f>
        <v>1年以内</v>
      </c>
      <c r="N86" s="19" t="inlineStr"/>
    </row>
    <row r="87">
      <c r="A87" s="13">
        <f>ROW()-2</f>
        <v>85</v>
      </c>
      <c r="B87" s="14" t="str">
        <f>IFERROR(INDEX(原始数据!$B$3:$B$1002,MATCH(1,INDEX((原始数据!$D$3:$D$1002="HT20250505")*(原始数据!$B$3:$B$1002&lt;&gt;""),0),0)),"")</f>
        <v>西北-宁夏</v>
      </c>
      <c r="C87" s="14" t="str">
        <f>IFERROR(INDEX(原始数据!$C$3:$C$1002,MATCH(1,INDEX((原始数据!$D$3:$D$1002="HT20250505")*(原始数据!$C$3:$C$1002&lt;&gt;""),0),0)),"")</f>
        <v>事业单位</v>
      </c>
      <c r="D87" s="15" t="inlineStr">
        <is>
          <t>HT20250505</t>
        </is>
      </c>
      <c r="E87" s="16">
        <f>IFERROR(INDEX(原始数据!$E$3:$E$1002,MATCH(1,INDEX((原始数据!$D$3:$D$1002="HT20250505")*(原始数据!$E$3:$E$1002&lt;&gt;""),0),0)),"")</f>
        <v>20260831</v>
      </c>
      <c r="F87" s="17">
        <f>SUMIFS(原始数据!$F$3:$F$1002,原始数据!$D$3:$D$1002,"HT20250505")</f>
        <v>419.345</v>
      </c>
      <c r="G87" s="17">
        <f>SUMIFS(原始数据!$H$3:$H$1002,原始数据!$D$3:$D$1002,"HT20250505")</f>
        <v>390.338</v>
      </c>
      <c r="H87" s="17">
        <f>SUMIFS(原始数据!$I$3:$I$1002,原始数据!$D$3:$D$1002,"HT20250505")</f>
        <v>29.007</v>
      </c>
      <c r="I87" s="17">
        <f>SUMIFS(原始数据!$J$3:$J$1002,原始数据!$D$3:$D$1002,"HT20250505")</f>
        <v>2.559</v>
      </c>
      <c r="J87" s="17">
        <f>SUMIFS(原始数据!$K$3:$K$1002,原始数据!$D$3:$D$1002,"HT20250505")</f>
        <v>26.448</v>
      </c>
      <c r="K87" s="14" t="str">
        <f>IFERROR(INDEX(原始数据!$L$3:$L$1002,MATCH(1,INDEX((原始数据!$D$3:$D$1002="HT20250505")*(原始数据!$L$3:$L$1002&lt;&gt;""),0),0)),"")</f>
        <v>四部</v>
      </c>
      <c r="L87" s="15" t="str">
        <f>IFERROR(INDEX(原始数据!$M$3:$M$1002,MATCH(1,INDEX((原始数据!$D$3:$D$1002="HT20250505")*(原始数据!$M$3:$M$1002&lt;&gt;""),0),0)),"")</f>
        <v>何萍</v>
      </c>
      <c r="M87" s="14" t="str">
        <f>IFERROR(INDEX(原始数据!$N$3:$N$1002,MATCH(1,INDEX((原始数据!$D$3:$D$1002="HT20250505")*(原始数据!$N$3:$N$1002&lt;&gt;""),0),0)),"")</f>
        <v>1-2年</v>
      </c>
      <c r="N87" s="14" t="inlineStr"/>
    </row>
    <row r="88">
      <c r="A88" s="18">
        <f>ROW()-2</f>
        <v>86</v>
      </c>
      <c r="B88" s="19" t="str">
        <f>IFERROR(INDEX(原始数据!$B$3:$B$1002,MATCH(1,INDEX((原始数据!$D$3:$D$1002="HT20250506")*(原始数据!$B$3:$B$1002&lt;&gt;""),0),0)),"")</f>
        <v>西南-四川</v>
      </c>
      <c r="C88" s="19" t="str">
        <f>IFERROR(INDEX(原始数据!$C$3:$C$1002,MATCH(1,INDEX((原始数据!$D$3:$D$1002="HT20250506")*(原始数据!$C$3:$C$1002&lt;&gt;""),0),0)),"")</f>
        <v>事业单位</v>
      </c>
      <c r="D88" s="20" t="inlineStr">
        <is>
          <t>HT20250506</t>
        </is>
      </c>
      <c r="E88" s="21">
        <f>IFERROR(INDEX(原始数据!$E$3:$E$1002,MATCH(1,INDEX((原始数据!$D$3:$D$1002="HT20250506")*(原始数据!$E$3:$E$1002&lt;&gt;""),0),0)),"")</f>
        <v>20251109</v>
      </c>
      <c r="F88" s="22">
        <f>SUMIFS(原始数据!$F$3:$F$1002,原始数据!$D$3:$D$1002,"HT20250506")</f>
        <v>867.614</v>
      </c>
      <c r="G88" s="22">
        <f>SUMIFS(原始数据!$H$3:$H$1002,原始数据!$D$3:$D$1002,"HT20250506")</f>
        <v>194.341</v>
      </c>
      <c r="H88" s="22">
        <f>SUMIFS(原始数据!$I$3:$I$1002,原始数据!$D$3:$D$1002,"HT20250506")</f>
        <v>673.273</v>
      </c>
      <c r="I88" s="22">
        <f>SUMIFS(原始数据!$J$3:$J$1002,原始数据!$D$3:$D$1002,"HT20250506")</f>
        <v>440.883</v>
      </c>
      <c r="J88" s="22">
        <f>SUMIFS(原始数据!$K$3:$K$1002,原始数据!$D$3:$D$1002,"HT20250506")</f>
        <v>232.39</v>
      </c>
      <c r="K88" s="19" t="str">
        <f>IFERROR(INDEX(原始数据!$L$3:$L$1002,MATCH(1,INDEX((原始数据!$D$3:$D$1002="HT20250506")*(原始数据!$L$3:$L$1002&lt;&gt;""),0),0)),"")</f>
        <v>四部</v>
      </c>
      <c r="L88" s="20" t="str">
        <f>IFERROR(INDEX(原始数据!$M$3:$M$1002,MATCH(1,INDEX((原始数据!$D$3:$D$1002="HT20250506")*(原始数据!$M$3:$M$1002&lt;&gt;""),0),0)),"")</f>
        <v>高翔</v>
      </c>
      <c r="M88" s="19" t="str">
        <f>IFERROR(INDEX(原始数据!$N$3:$N$1002,MATCH(1,INDEX((原始数据!$D$3:$D$1002="HT20250506")*(原始数据!$N$3:$N$1002&lt;&gt;""),0),0)),"")</f>
        <v>1-2年</v>
      </c>
      <c r="N88" s="19" t="inlineStr">
        <is>
          <t>产品不合格</t>
        </is>
      </c>
    </row>
    <row r="89">
      <c r="A89" s="13">
        <f>ROW()-2</f>
        <v>87</v>
      </c>
      <c r="B89" s="14" t="str">
        <f>IFERROR(INDEX(原始数据!$B$3:$B$1002,MATCH(1,INDEX((原始数据!$D$3:$D$1002="HT20250507")*(原始数据!$B$3:$B$1002&lt;&gt;""),0),0)),"")</f>
        <v>华东-浙江</v>
      </c>
      <c r="C89" s="14" t="str">
        <f>IFERROR(INDEX(原始数据!$C$3:$C$1002,MATCH(1,INDEX((原始数据!$D$3:$D$1002="HT20250507")*(原始数据!$C$3:$C$1002&lt;&gt;""),0),0)),"")</f>
        <v>监察司法机关</v>
      </c>
      <c r="D89" s="15" t="inlineStr">
        <is>
          <t>HT20250507</t>
        </is>
      </c>
      <c r="E89" s="16">
        <f>IFERROR(INDEX(原始数据!$E$3:$E$1002,MATCH(1,INDEX((原始数据!$D$3:$D$1002="HT20250507")*(原始数据!$E$3:$E$1002&lt;&gt;""),0),0)),"")</f>
        <v>20260111</v>
      </c>
      <c r="F89" s="17">
        <f>SUMIFS(原始数据!$F$3:$F$1002,原始数据!$D$3:$D$1002,"HT20250507")</f>
        <v>959.856</v>
      </c>
      <c r="G89" s="17">
        <f>SUMIFS(原始数据!$H$3:$H$1002,原始数据!$D$3:$D$1002,"HT20250507")</f>
        <v>389.75</v>
      </c>
      <c r="H89" s="17">
        <f>SUMIFS(原始数据!$I$3:$I$1002,原始数据!$D$3:$D$1002,"HT20250507")</f>
        <v>570.106</v>
      </c>
      <c r="I89" s="17">
        <f>SUMIFS(原始数据!$J$3:$J$1002,原始数据!$D$3:$D$1002,"HT20250507")</f>
        <v>13.415</v>
      </c>
      <c r="J89" s="17">
        <f>SUMIFS(原始数据!$K$3:$K$1002,原始数据!$D$3:$D$1002,"HT20250507")</f>
        <v>556.691</v>
      </c>
      <c r="K89" s="14" t="str">
        <f>IFERROR(INDEX(原始数据!$L$3:$L$1002,MATCH(1,INDEX((原始数据!$D$3:$D$1002="HT20250507")*(原始数据!$L$3:$L$1002&lt;&gt;""),0),0)),"")</f>
        <v>八部</v>
      </c>
      <c r="L89" s="15" t="str">
        <f>IFERROR(INDEX(原始数据!$M$3:$M$1002,MATCH(1,INDEX((原始数据!$D$3:$D$1002="HT20250507")*(原始数据!$M$3:$M$1002&lt;&gt;""),0),0)),"")</f>
        <v>彭燕</v>
      </c>
      <c r="M89" s="14" t="str">
        <f>IFERROR(INDEX(原始数据!$N$3:$N$1002,MATCH(1,INDEX((原始数据!$D$3:$D$1002="HT20250507")*(原始数据!$N$3:$N$1002&lt;&gt;""),0),0)),"")</f>
        <v>1年以内</v>
      </c>
      <c r="N89" s="14" t="inlineStr"/>
    </row>
    <row r="90">
      <c r="A90" s="18">
        <f>ROW()-2</f>
        <v>88</v>
      </c>
      <c r="B90" s="19" t="str">
        <f>IFERROR(INDEX(原始数据!$B$3:$B$1002,MATCH(1,INDEX((原始数据!$D$3:$D$1002="HT20250508")*(原始数据!$B$3:$B$1002&lt;&gt;""),0),0)),"")</f>
        <v>华北-河北</v>
      </c>
      <c r="C90" s="19" t="str">
        <f>IFERROR(INDEX(原始数据!$C$3:$C$1002,MATCH(1,INDEX((原始数据!$D$3:$D$1002="HT20250508")*(原始数据!$C$3:$C$1002&lt;&gt;""),0),0)),"")</f>
        <v>政府机关</v>
      </c>
      <c r="D90" s="20" t="inlineStr">
        <is>
          <t>HT20250508</t>
        </is>
      </c>
      <c r="E90" s="21">
        <f>IFERROR(INDEX(原始数据!$E$3:$E$1002,MATCH(1,INDEX((原始数据!$D$3:$D$1002="HT20250508")*(原始数据!$E$3:$E$1002&lt;&gt;""),0),0)),"")</f>
        <v>20250907</v>
      </c>
      <c r="F90" s="22">
        <f>SUMIFS(原始数据!$F$3:$F$1002,原始数据!$D$3:$D$1002,"HT20250508")</f>
        <v>578.447</v>
      </c>
      <c r="G90" s="22">
        <f>SUMIFS(原始数据!$H$3:$H$1002,原始数据!$D$3:$D$1002,"HT20250508")</f>
        <v>473.33</v>
      </c>
      <c r="H90" s="22">
        <f>SUMIFS(原始数据!$I$3:$I$1002,原始数据!$D$3:$D$1002,"HT20250508")</f>
        <v>105.117</v>
      </c>
      <c r="I90" s="22">
        <f>SUMIFS(原始数据!$J$3:$J$1002,原始数据!$D$3:$D$1002,"HT20250508")</f>
        <v>37.023</v>
      </c>
      <c r="J90" s="22">
        <f>SUMIFS(原始数据!$K$3:$K$1002,原始数据!$D$3:$D$1002,"HT20250508")</f>
        <v>68.094</v>
      </c>
      <c r="K90" s="19" t="str">
        <f>IFERROR(INDEX(原始数据!$L$3:$L$1002,MATCH(1,INDEX((原始数据!$D$3:$D$1002="HT20250508")*(原始数据!$L$3:$L$1002&lt;&gt;""),0),0)),"")</f>
        <v>十部</v>
      </c>
      <c r="L90" s="20" t="str">
        <f>IFERROR(INDEX(原始数据!$M$3:$M$1002,MATCH(1,INDEX((原始数据!$D$3:$D$1002="HT20250508")*(原始数据!$M$3:$M$1002&lt;&gt;""),0),0)),"")</f>
        <v>侯敏</v>
      </c>
      <c r="M90" s="19" t="str">
        <f>IFERROR(INDEX(原始数据!$N$3:$N$1002,MATCH(1,INDEX((原始数据!$D$3:$D$1002="HT20250508")*(原始数据!$N$3:$N$1002&lt;&gt;""),0),0)),"")</f>
        <v>2-3年</v>
      </c>
      <c r="N90" s="19" t="inlineStr"/>
    </row>
    <row r="91">
      <c r="A91" s="13">
        <f>ROW()-2</f>
        <v>89</v>
      </c>
      <c r="B91" s="14" t="str">
        <f>IFERROR(INDEX(原始数据!$B$3:$B$1002,MATCH(1,INDEX((原始数据!$D$3:$D$1002="HT20250509")*(原始数据!$B$3:$B$1002&lt;&gt;""),0),0)),"")</f>
        <v>东北-辽宁</v>
      </c>
      <c r="C91" s="14" t="str">
        <f>IFERROR(INDEX(原始数据!$C$3:$C$1002,MATCH(1,INDEX((原始数据!$D$3:$D$1002="HT20250509")*(原始数据!$C$3:$C$1002&lt;&gt;""),0),0)),"")</f>
        <v>党委机关</v>
      </c>
      <c r="D91" s="15" t="inlineStr">
        <is>
          <t>HT20250509</t>
        </is>
      </c>
      <c r="E91" s="16">
        <f>IFERROR(INDEX(原始数据!$E$3:$E$1002,MATCH(1,INDEX((原始数据!$D$3:$D$1002="HT20250509")*(原始数据!$E$3:$E$1002&lt;&gt;""),0),0)),"")</f>
        <v>20260614</v>
      </c>
      <c r="F91" s="17">
        <f>SUMIFS(原始数据!$F$3:$F$1002,原始数据!$D$3:$D$1002,"HT20250509")</f>
        <v>2850.844</v>
      </c>
      <c r="G91" s="17">
        <f>SUMIFS(原始数据!$H$3:$H$1002,原始数据!$D$3:$D$1002,"HT20250509")</f>
        <v>1161.023</v>
      </c>
      <c r="H91" s="17">
        <f>SUMIFS(原始数据!$I$3:$I$1002,原始数据!$D$3:$D$1002,"HT20250509")</f>
        <v>1689.821</v>
      </c>
      <c r="I91" s="17">
        <f>SUMIFS(原始数据!$J$3:$J$1002,原始数据!$D$3:$D$1002,"HT20250509")</f>
        <v>1218.745</v>
      </c>
      <c r="J91" s="17">
        <f>SUMIFS(原始数据!$K$3:$K$1002,原始数据!$D$3:$D$1002,"HT20250509")</f>
        <v>471.0759999999999</v>
      </c>
      <c r="K91" s="14" t="str">
        <f>IFERROR(INDEX(原始数据!$L$3:$L$1002,MATCH(1,INDEX((原始数据!$D$3:$D$1002="HT20250509")*(原始数据!$L$3:$L$1002&lt;&gt;""),0),0)),"")</f>
        <v>五部</v>
      </c>
      <c r="L91" s="15" t="str">
        <f>IFERROR(INDEX(原始数据!$M$3:$M$1002,MATCH(1,INDEX((原始数据!$D$3:$D$1002="HT20250509")*(原始数据!$M$3:$M$1002&lt;&gt;""),0),0)),"")</f>
        <v>宋佳</v>
      </c>
      <c r="M91" s="14" t="str">
        <f>IFERROR(INDEX(原始数据!$N$3:$N$1002,MATCH(1,INDEX((原始数据!$D$3:$D$1002="HT20250509")*(原始数据!$N$3:$N$1002&lt;&gt;""),0),0)),"")</f>
        <v>1年以内</v>
      </c>
      <c r="N91" s="14" t="inlineStr"/>
    </row>
    <row r="92">
      <c r="A92" s="18">
        <f>ROW()-2</f>
        <v>90</v>
      </c>
      <c r="B92" s="19" t="str">
        <f>IFERROR(INDEX(原始数据!$B$3:$B$1002,MATCH(1,INDEX((原始数据!$D$3:$D$1002="HT20250510")*(原始数据!$B$3:$B$1002&lt;&gt;""),0),0)),"")</f>
        <v>华东-福建</v>
      </c>
      <c r="C92" s="19" t="str">
        <f>IFERROR(INDEX(原始数据!$C$3:$C$1002,MATCH(1,INDEX((原始数据!$D$3:$D$1002="HT20250510")*(原始数据!$C$3:$C$1002&lt;&gt;""),0),0)),"")</f>
        <v>群团组织</v>
      </c>
      <c r="D92" s="20" t="inlineStr">
        <is>
          <t>HT20250510</t>
        </is>
      </c>
      <c r="E92" s="21">
        <f>IFERROR(INDEX(原始数据!$E$3:$E$1002,MATCH(1,INDEX((原始数据!$D$3:$D$1002="HT20250510")*(原始数据!$E$3:$E$1002&lt;&gt;""),0),0)),"")</f>
        <v>20260605</v>
      </c>
      <c r="F92" s="22">
        <f>SUMIFS(原始数据!$F$3:$F$1002,原始数据!$D$3:$D$1002,"HT20250510")</f>
        <v>7.338</v>
      </c>
      <c r="G92" s="22">
        <f>SUMIFS(原始数据!$H$3:$H$1002,原始数据!$D$3:$D$1002,"HT20250510")</f>
        <v>6.262</v>
      </c>
      <c r="H92" s="22">
        <f>SUMIFS(原始数据!$I$3:$I$1002,原始数据!$D$3:$D$1002,"HT20250510")</f>
        <v>1.076</v>
      </c>
      <c r="I92" s="22">
        <f>SUMIFS(原始数据!$J$3:$J$1002,原始数据!$D$3:$D$1002,"HT20250510")</f>
        <v>0.7</v>
      </c>
      <c r="J92" s="22">
        <f>SUMIFS(原始数据!$K$3:$K$1002,原始数据!$D$3:$D$1002,"HT20250510")</f>
        <v>0.376</v>
      </c>
      <c r="K92" s="19" t="str">
        <f>IFERROR(INDEX(原始数据!$L$3:$L$1002,MATCH(1,INDEX((原始数据!$D$3:$D$1002="HT20250510")*(原始数据!$L$3:$L$1002&lt;&gt;""),0),0)),"")</f>
        <v>六部</v>
      </c>
      <c r="L92" s="20" t="str">
        <f>IFERROR(INDEX(原始数据!$M$3:$M$1002,MATCH(1,INDEX((原始数据!$D$3:$D$1002="HT20250510")*(原始数据!$M$3:$M$1002&lt;&gt;""),0),0)),"")</f>
        <v>董辉</v>
      </c>
      <c r="M92" s="19" t="str">
        <f>IFERROR(INDEX(原始数据!$N$3:$N$1002,MATCH(1,INDEX((原始数据!$D$3:$D$1002="HT20250510")*(原始数据!$N$3:$N$1002&lt;&gt;""),0),0)),"")</f>
        <v>1-2年</v>
      </c>
      <c r="N92" s="19" t="inlineStr"/>
    </row>
    <row r="93">
      <c r="A93" s="13">
        <f>ROW()-2</f>
        <v>91</v>
      </c>
      <c r="B93" s="14" t="str">
        <f>IFERROR(INDEX(原始数据!$B$3:$B$1002,MATCH(1,INDEX((原始数据!$D$3:$D$1002="HT20250511")*(原始数据!$B$3:$B$1002&lt;&gt;""),0),0)),"")</f>
        <v>西北-甘肃</v>
      </c>
      <c r="C93" s="14" t="str">
        <f>IFERROR(INDEX(原始数据!$C$3:$C$1002,MATCH(1,INDEX((原始数据!$D$3:$D$1002="HT20250511")*(原始数据!$C$3:$C$1002&lt;&gt;""),0),0)),"")</f>
        <v>党委机关</v>
      </c>
      <c r="D93" s="15" t="inlineStr">
        <is>
          <t>HT20250511</t>
        </is>
      </c>
      <c r="E93" s="16">
        <f>IFERROR(INDEX(原始数据!$E$3:$E$1002,MATCH(1,INDEX((原始数据!$D$3:$D$1002="HT20250511")*(原始数据!$E$3:$E$1002&lt;&gt;""),0),0)),"")</f>
        <v>20251127</v>
      </c>
      <c r="F93" s="17">
        <f>SUMIFS(原始数据!$F$3:$F$1002,原始数据!$D$3:$D$1002,"HT20250511")</f>
        <v>819.539</v>
      </c>
      <c r="G93" s="17">
        <f>SUMIFS(原始数据!$H$3:$H$1002,原始数据!$D$3:$D$1002,"HT20250511")</f>
        <v>430.782</v>
      </c>
      <c r="H93" s="17">
        <f>SUMIFS(原始数据!$I$3:$I$1002,原始数据!$D$3:$D$1002,"HT20250511")</f>
        <v>388.757</v>
      </c>
      <c r="I93" s="17">
        <f>SUMIFS(原始数据!$J$3:$J$1002,原始数据!$D$3:$D$1002,"HT20250511")</f>
        <v>268.265</v>
      </c>
      <c r="J93" s="17">
        <f>SUMIFS(原始数据!$K$3:$K$1002,原始数据!$D$3:$D$1002,"HT20250511")</f>
        <v>120.492</v>
      </c>
      <c r="K93" s="14" t="str">
        <f>IFERROR(INDEX(原始数据!$L$3:$L$1002,MATCH(1,INDEX((原始数据!$D$3:$D$1002="HT20250511")*(原始数据!$L$3:$L$1002&lt;&gt;""),0),0)),"")</f>
        <v>六部</v>
      </c>
      <c r="L93" s="15" t="str">
        <f>IFERROR(INDEX(原始数据!$M$3:$M$1002,MATCH(1,INDEX((原始数据!$D$3:$D$1002="HT20250511")*(原始数据!$M$3:$M$1002&lt;&gt;""),0),0)),"")</f>
        <v>董辉</v>
      </c>
      <c r="M93" s="14" t="str">
        <f>IFERROR(INDEX(原始数据!$N$3:$N$1002,MATCH(1,INDEX((原始数据!$D$3:$D$1002="HT20250511")*(原始数据!$N$3:$N$1002&lt;&gt;""),0),0)),"")</f>
        <v>1-2年</v>
      </c>
      <c r="N93" s="14" t="inlineStr"/>
    </row>
    <row r="94">
      <c r="A94" s="18">
        <f>ROW()-2</f>
        <v>92</v>
      </c>
      <c r="B94" s="19" t="str">
        <f>IFERROR(INDEX(原始数据!$B$3:$B$1002,MATCH(1,INDEX((原始数据!$D$3:$D$1002="HT20250512")*(原始数据!$B$3:$B$1002&lt;&gt;""),0),0)),"")</f>
        <v>华东-台湾</v>
      </c>
      <c r="C94" s="19" t="str">
        <f>IFERROR(INDEX(原始数据!$C$3:$C$1002,MATCH(1,INDEX((原始数据!$D$3:$D$1002="HT20250512")*(原始数据!$C$3:$C$1002&lt;&gt;""),0),0)),"")</f>
        <v>党委机关</v>
      </c>
      <c r="D94" s="20" t="inlineStr">
        <is>
          <t>HT20250512</t>
        </is>
      </c>
      <c r="E94" s="21">
        <f>IFERROR(INDEX(原始数据!$E$3:$E$1002,MATCH(1,INDEX((原始数据!$D$3:$D$1002="HT20250512")*(原始数据!$E$3:$E$1002&lt;&gt;""),0),0)),"")</f>
        <v>20251016</v>
      </c>
      <c r="F94" s="22">
        <f>SUMIFS(原始数据!$F$3:$F$1002,原始数据!$D$3:$D$1002,"HT20250512")</f>
        <v>327.445</v>
      </c>
      <c r="G94" s="22">
        <f>SUMIFS(原始数据!$H$3:$H$1002,原始数据!$D$3:$D$1002,"HT20250512")</f>
        <v>155.505</v>
      </c>
      <c r="H94" s="22">
        <f>SUMIFS(原始数据!$I$3:$I$1002,原始数据!$D$3:$D$1002,"HT20250512")</f>
        <v>171.94</v>
      </c>
      <c r="I94" s="22">
        <f>SUMIFS(原始数据!$J$3:$J$1002,原始数据!$D$3:$D$1002,"HT20250512")</f>
        <v>83.289</v>
      </c>
      <c r="J94" s="22">
        <f>SUMIFS(原始数据!$K$3:$K$1002,原始数据!$D$3:$D$1002,"HT20250512")</f>
        <v>88.651</v>
      </c>
      <c r="K94" s="19" t="str">
        <f>IFERROR(INDEX(原始数据!$L$3:$L$1002,MATCH(1,INDEX((原始数据!$D$3:$D$1002="HT20250512")*(原始数据!$L$3:$L$1002&lt;&gt;""),0),0)),"")</f>
        <v>五部</v>
      </c>
      <c r="L94" s="20" t="str">
        <f>IFERROR(INDEX(原始数据!$M$3:$M$1002,MATCH(1,INDEX((原始数据!$D$3:$D$1002="HT20250512")*(原始数据!$M$3:$M$1002&lt;&gt;""),0),0)),"")</f>
        <v>谢峰</v>
      </c>
      <c r="M94" s="19" t="str">
        <f>IFERROR(INDEX(原始数据!$N$3:$N$1002,MATCH(1,INDEX((原始数据!$D$3:$D$1002="HT20250512")*(原始数据!$N$3:$N$1002&lt;&gt;""),0),0)),"")</f>
        <v>2-3年</v>
      </c>
      <c r="N94" s="19" t="inlineStr"/>
    </row>
    <row r="95">
      <c r="A95" s="13">
        <f>ROW()-2</f>
        <v>93</v>
      </c>
      <c r="B95" s="14" t="str">
        <f>IFERROR(INDEX(原始数据!$B$3:$B$1002,MATCH(1,INDEX((原始数据!$D$3:$D$1002="HT20250513")*(原始数据!$B$3:$B$1002&lt;&gt;""),0),0)),"")</f>
        <v>西南-西藏</v>
      </c>
      <c r="C95" s="14" t="str">
        <f>IFERROR(INDEX(原始数据!$C$3:$C$1002,MATCH(1,INDEX((原始数据!$D$3:$D$1002="HT20250513")*(原始数据!$C$3:$C$1002&lt;&gt;""),0),0)),"")</f>
        <v>事业单位</v>
      </c>
      <c r="D95" s="15" t="inlineStr">
        <is>
          <t>HT20250513</t>
        </is>
      </c>
      <c r="E95" s="16">
        <f>IFERROR(INDEX(原始数据!$E$3:$E$1002,MATCH(1,INDEX((原始数据!$D$3:$D$1002="HT20250513")*(原始数据!$E$3:$E$1002&lt;&gt;""),0),0)),"")</f>
        <v>20260611</v>
      </c>
      <c r="F95" s="17">
        <f>SUMIFS(原始数据!$F$3:$F$1002,原始数据!$D$3:$D$1002,"HT20250513")</f>
        <v>498.787</v>
      </c>
      <c r="G95" s="17">
        <f>SUMIFS(原始数据!$H$3:$H$1002,原始数据!$D$3:$D$1002,"HT20250513")</f>
        <v>80.492</v>
      </c>
      <c r="H95" s="17">
        <f>SUMIFS(原始数据!$I$3:$I$1002,原始数据!$D$3:$D$1002,"HT20250513")</f>
        <v>418.295</v>
      </c>
      <c r="I95" s="17">
        <f>SUMIFS(原始数据!$J$3:$J$1002,原始数据!$D$3:$D$1002,"HT20250513")</f>
        <v>113.571</v>
      </c>
      <c r="J95" s="17">
        <f>SUMIFS(原始数据!$K$3:$K$1002,原始数据!$D$3:$D$1002,"HT20250513")</f>
        <v>304.724</v>
      </c>
      <c r="K95" s="14" t="str">
        <f>IFERROR(INDEX(原始数据!$L$3:$L$1002,MATCH(1,INDEX((原始数据!$D$3:$D$1002="HT20250513")*(原始数据!$L$3:$L$1002&lt;&gt;""),0),0)),"")</f>
        <v>七部</v>
      </c>
      <c r="L95" s="15" t="str">
        <f>IFERROR(INDEX(原始数据!$M$3:$M$1002,MATCH(1,INDEX((原始数据!$D$3:$D$1002="HT20250513")*(原始数据!$M$3:$M$1002&lt;&gt;""),0),0)),"")</f>
        <v>傅蓉</v>
      </c>
      <c r="M95" s="14" t="str">
        <f>IFERROR(INDEX(原始数据!$N$3:$N$1002,MATCH(1,INDEX((原始数据!$D$3:$D$1002="HT20250513")*(原始数据!$N$3:$N$1002&lt;&gt;""),0),0)),"")</f>
        <v>1-2年</v>
      </c>
      <c r="N95" s="14" t="inlineStr"/>
    </row>
    <row r="96">
      <c r="A96" s="18">
        <f>ROW()-2</f>
        <v>94</v>
      </c>
      <c r="B96" s="19" t="str">
        <f>IFERROR(INDEX(原始数据!$B$3:$B$1002,MATCH(1,INDEX((原始数据!$D$3:$D$1002="HT20250514")*(原始数据!$B$3:$B$1002&lt;&gt;""),0),0)),"")</f>
        <v>华中-湖南</v>
      </c>
      <c r="C96" s="19" t="str">
        <f>IFERROR(INDEX(原始数据!$C$3:$C$1002,MATCH(1,INDEX((原始数据!$D$3:$D$1002="HT20250514")*(原始数据!$C$3:$C$1002&lt;&gt;""),0),0)),"")</f>
        <v>基层自治组织</v>
      </c>
      <c r="D96" s="20" t="inlineStr">
        <is>
          <t>HT20250514</t>
        </is>
      </c>
      <c r="E96" s="21">
        <f>IFERROR(INDEX(原始数据!$E$3:$E$1002,MATCH(1,INDEX((原始数据!$D$3:$D$1002="HT20250514")*(原始数据!$E$3:$E$1002&lt;&gt;""),0),0)),"")</f>
        <v>20260108</v>
      </c>
      <c r="F96" s="22">
        <f>SUMIFS(原始数据!$F$3:$F$1002,原始数据!$D$3:$D$1002,"HT20250514")</f>
        <v>1849.2299999999998</v>
      </c>
      <c r="G96" s="22">
        <f>SUMIFS(原始数据!$H$3:$H$1002,原始数据!$D$3:$D$1002,"HT20250514")</f>
        <v>1139.064</v>
      </c>
      <c r="H96" s="22">
        <f>SUMIFS(原始数据!$I$3:$I$1002,原始数据!$D$3:$D$1002,"HT20250514")</f>
        <v>710.1659999999999</v>
      </c>
      <c r="I96" s="22">
        <f>SUMIFS(原始数据!$J$3:$J$1002,原始数据!$D$3:$D$1002,"HT20250514")</f>
        <v>441.14599999999996</v>
      </c>
      <c r="J96" s="22">
        <f>SUMIFS(原始数据!$K$3:$K$1002,原始数据!$D$3:$D$1002,"HT20250514")</f>
        <v>269.02000000000004</v>
      </c>
      <c r="K96" s="19" t="str">
        <f>IFERROR(INDEX(原始数据!$L$3:$L$1002,MATCH(1,INDEX((原始数据!$D$3:$D$1002="HT20250514")*(原始数据!$L$3:$L$1002&lt;&gt;""),0),0)),"")</f>
        <v>九部</v>
      </c>
      <c r="L96" s="20" t="str">
        <f>IFERROR(INDEX(原始数据!$M$3:$M$1002,MATCH(1,INDEX((原始数据!$D$3:$D$1002="HT20250514")*(原始数据!$M$3:$M$1002&lt;&gt;""),0),0)),"")</f>
        <v>丁磊</v>
      </c>
      <c r="M96" s="19" t="str">
        <f>IFERROR(INDEX(原始数据!$N$3:$N$1002,MATCH(1,INDEX((原始数据!$D$3:$D$1002="HT20250514")*(原始数据!$N$3:$N$1002&lt;&gt;""),0),0)),"")</f>
        <v>1年以内</v>
      </c>
      <c r="N96" s="19" t="inlineStr"/>
    </row>
    <row r="97">
      <c r="A97" s="13">
        <f>ROW()-2</f>
        <v>95</v>
      </c>
      <c r="B97" s="14" t="str">
        <f>IFERROR(INDEX(原始数据!$B$3:$B$1002,MATCH(1,INDEX((原始数据!$D$3:$D$1002="HT20250515")*(原始数据!$B$3:$B$1002&lt;&gt;""),0),0)),"")</f>
        <v>西南-贵州</v>
      </c>
      <c r="C97" s="14" t="str">
        <f>IFERROR(INDEX(原始数据!$C$3:$C$1002,MATCH(1,INDEX((原始数据!$D$3:$D$1002="HT20250515")*(原始数据!$C$3:$C$1002&lt;&gt;""),0),0)),"")</f>
        <v>政府机关</v>
      </c>
      <c r="D97" s="15" t="inlineStr">
        <is>
          <t>HT20250515</t>
        </is>
      </c>
      <c r="E97" s="16">
        <f>IFERROR(INDEX(原始数据!$E$3:$E$1002,MATCH(1,INDEX((原始数据!$D$3:$D$1002="HT20250515")*(原始数据!$E$3:$E$1002&lt;&gt;""),0),0)),"")</f>
        <v>20260803</v>
      </c>
      <c r="F97" s="17">
        <f>SUMIFS(原始数据!$F$3:$F$1002,原始数据!$D$3:$D$1002,"HT20250515")</f>
        <v>727.137</v>
      </c>
      <c r="G97" s="17">
        <f>SUMIFS(原始数据!$H$3:$H$1002,原始数据!$D$3:$D$1002,"HT20250515")</f>
        <v>599.124</v>
      </c>
      <c r="H97" s="17">
        <f>SUMIFS(原始数据!$I$3:$I$1002,原始数据!$D$3:$D$1002,"HT20250515")</f>
        <v>128.013</v>
      </c>
      <c r="I97" s="17">
        <f>SUMIFS(原始数据!$J$3:$J$1002,原始数据!$D$3:$D$1002,"HT20250515")</f>
        <v>32.733</v>
      </c>
      <c r="J97" s="17">
        <f>SUMIFS(原始数据!$K$3:$K$1002,原始数据!$D$3:$D$1002,"HT20250515")</f>
        <v>95.28</v>
      </c>
      <c r="K97" s="14" t="str">
        <f>IFERROR(INDEX(原始数据!$L$3:$L$1002,MATCH(1,INDEX((原始数据!$D$3:$D$1002="HT20250515")*(原始数据!$L$3:$L$1002&lt;&gt;""),0),0)),"")</f>
        <v>六部</v>
      </c>
      <c r="L97" s="15" t="str">
        <f>IFERROR(INDEX(原始数据!$M$3:$M$1002,MATCH(1,INDEX((原始数据!$D$3:$D$1002="HT20250515")*(原始数据!$M$3:$M$1002&lt;&gt;""),0),0)),"")</f>
        <v>董辉</v>
      </c>
      <c r="M97" s="14" t="str">
        <f>IFERROR(INDEX(原始数据!$N$3:$N$1002,MATCH(1,INDEX((原始数据!$D$3:$D$1002="HT20250515")*(原始数据!$N$3:$N$1002&lt;&gt;""),0),0)),"")</f>
        <v>1-2年</v>
      </c>
      <c r="N97" s="14" t="inlineStr"/>
    </row>
    <row r="98">
      <c r="A98" s="18">
        <f>ROW()-2</f>
        <v>96</v>
      </c>
      <c r="B98" s="19" t="str">
        <f>IFERROR(INDEX(原始数据!$B$3:$B$1002,MATCH(1,INDEX((原始数据!$D$3:$D$1002="HT20250516")*(原始数据!$B$3:$B$1002&lt;&gt;""),0),0)),"")</f>
        <v>华东-福建</v>
      </c>
      <c r="C98" s="19" t="str">
        <f>IFERROR(INDEX(原始数据!$C$3:$C$1002,MATCH(1,INDEX((原始数据!$D$3:$D$1002="HT20250516")*(原始数据!$C$3:$C$1002&lt;&gt;""),0),0)),"")</f>
        <v>群团组织</v>
      </c>
      <c r="D98" s="20" t="inlineStr">
        <is>
          <t>HT20250516</t>
        </is>
      </c>
      <c r="E98" s="21">
        <f>IFERROR(INDEX(原始数据!$E$3:$E$1002,MATCH(1,INDEX((原始数据!$D$3:$D$1002="HT20250516")*(原始数据!$E$3:$E$1002&lt;&gt;""),0),0)),"")</f>
        <v>20260704</v>
      </c>
      <c r="F98" s="22">
        <f>SUMIFS(原始数据!$F$3:$F$1002,原始数据!$D$3:$D$1002,"HT20250516")</f>
        <v>1012.309</v>
      </c>
      <c r="G98" s="22">
        <f>SUMIFS(原始数据!$H$3:$H$1002,原始数据!$D$3:$D$1002,"HT20250516")</f>
        <v>509.83000000000004</v>
      </c>
      <c r="H98" s="22">
        <f>SUMIFS(原始数据!$I$3:$I$1002,原始数据!$D$3:$D$1002,"HT20250516")</f>
        <v>502.479</v>
      </c>
      <c r="I98" s="22">
        <f>SUMIFS(原始数据!$J$3:$J$1002,原始数据!$D$3:$D$1002,"HT20250516")</f>
        <v>294.85999999999996</v>
      </c>
      <c r="J98" s="22">
        <f>SUMIFS(原始数据!$K$3:$K$1002,原始数据!$D$3:$D$1002,"HT20250516")</f>
        <v>207.619</v>
      </c>
      <c r="K98" s="19" t="str">
        <f>IFERROR(INDEX(原始数据!$L$3:$L$1002,MATCH(1,INDEX((原始数据!$D$3:$D$1002="HT20250516")*(原始数据!$L$3:$L$1002&lt;&gt;""),0),0)),"")</f>
        <v>六部</v>
      </c>
      <c r="L98" s="20" t="str">
        <f>IFERROR(INDEX(原始数据!$M$3:$M$1002,MATCH(1,INDEX((原始数据!$D$3:$D$1002="HT20250516")*(原始数据!$M$3:$M$1002&lt;&gt;""),0),0)),"")</f>
        <v>曹阳</v>
      </c>
      <c r="M98" s="19" t="str">
        <f>IFERROR(INDEX(原始数据!$N$3:$N$1002,MATCH(1,INDEX((原始数据!$D$3:$D$1002="HT20250516")*(原始数据!$N$3:$N$1002&lt;&gt;""),0),0)),"")</f>
        <v>1年以内</v>
      </c>
      <c r="N98" s="19" t="inlineStr"/>
    </row>
    <row r="99">
      <c r="A99" s="13">
        <f>ROW()-2</f>
        <v>97</v>
      </c>
      <c r="B99" s="14" t="str">
        <f>IFERROR(INDEX(原始数据!$B$3:$B$1002,MATCH(1,INDEX((原始数据!$D$3:$D$1002="HT20250518")*(原始数据!$B$3:$B$1002&lt;&gt;""),0),0)),"")</f>
        <v>西南-四川</v>
      </c>
      <c r="C99" s="14" t="str">
        <f>IFERROR(INDEX(原始数据!$C$3:$C$1002,MATCH(1,INDEX((原始数据!$D$3:$D$1002="HT20250518")*(原始数据!$C$3:$C$1002&lt;&gt;""),0),0)),"")</f>
        <v>群团组织</v>
      </c>
      <c r="D99" s="15" t="inlineStr">
        <is>
          <t>HT20250518</t>
        </is>
      </c>
      <c r="E99" s="16">
        <f>IFERROR(INDEX(原始数据!$E$3:$E$1002,MATCH(1,INDEX((原始数据!$D$3:$D$1002="HT20250518")*(原始数据!$E$3:$E$1002&lt;&gt;""),0),0)),"")</f>
        <v>20260304</v>
      </c>
      <c r="F99" s="17">
        <f>SUMIFS(原始数据!$F$3:$F$1002,原始数据!$D$3:$D$1002,"HT20250518")</f>
        <v>847.91</v>
      </c>
      <c r="G99" s="17">
        <f>SUMIFS(原始数据!$H$3:$H$1002,原始数据!$D$3:$D$1002,"HT20250518")</f>
        <v>615.289</v>
      </c>
      <c r="H99" s="17">
        <f>SUMIFS(原始数据!$I$3:$I$1002,原始数据!$D$3:$D$1002,"HT20250518")</f>
        <v>232.62099999999998</v>
      </c>
      <c r="I99" s="17">
        <f>SUMIFS(原始数据!$J$3:$J$1002,原始数据!$D$3:$D$1002,"HT20250518")</f>
        <v>172.941</v>
      </c>
      <c r="J99" s="17">
        <f>SUMIFS(原始数据!$K$3:$K$1002,原始数据!$D$3:$D$1002,"HT20250518")</f>
        <v>59.68</v>
      </c>
      <c r="K99" s="14" t="str">
        <f>IFERROR(INDEX(原始数据!$L$3:$L$1002,MATCH(1,INDEX((原始数据!$D$3:$D$1002="HT20250518")*(原始数据!$L$3:$L$1002&lt;&gt;""),0),0)),"")</f>
        <v>四部</v>
      </c>
      <c r="L99" s="15" t="str">
        <f>IFERROR(INDEX(原始数据!$M$3:$M$1002,MATCH(1,INDEX((原始数据!$D$3:$D$1002="HT20250518")*(原始数据!$M$3:$M$1002&lt;&gt;""),0),0)),"")</f>
        <v>高翔</v>
      </c>
      <c r="M99" s="14" t="str">
        <f>IFERROR(INDEX(原始数据!$N$3:$N$1002,MATCH(1,INDEX((原始数据!$D$3:$D$1002="HT20250518")*(原始数据!$N$3:$N$1002&lt;&gt;""),0),0)),"")</f>
        <v>1-2年</v>
      </c>
      <c r="N99" s="14" t="inlineStr"/>
    </row>
    <row r="100">
      <c r="A100" s="18">
        <f>ROW()-2</f>
        <v>98</v>
      </c>
      <c r="B100" s="19" t="str">
        <f>IFERROR(INDEX(原始数据!$B$3:$B$1002,MATCH(1,INDEX((原始数据!$D$3:$D$1002="HT20250519")*(原始数据!$B$3:$B$1002&lt;&gt;""),0),0)),"")</f>
        <v>华北-山西</v>
      </c>
      <c r="C100" s="19" t="str">
        <f>IFERROR(INDEX(原始数据!$C$3:$C$1002,MATCH(1,INDEX((原始数据!$D$3:$D$1002="HT20250519")*(原始数据!$C$3:$C$1002&lt;&gt;""),0),0)),"")</f>
        <v>监察司法机关</v>
      </c>
      <c r="D100" s="20" t="inlineStr">
        <is>
          <t>HT20250519</t>
        </is>
      </c>
      <c r="E100" s="21">
        <f>IFERROR(INDEX(原始数据!$E$3:$E$1002,MATCH(1,INDEX((原始数据!$D$3:$D$1002="HT20250519")*(原始数据!$E$3:$E$1002&lt;&gt;""),0),0)),"")</f>
        <v>20260601</v>
      </c>
      <c r="F100" s="22">
        <f>SUMIFS(原始数据!$F$3:$F$1002,原始数据!$D$3:$D$1002,"HT20250519")</f>
        <v>1690.841</v>
      </c>
      <c r="G100" s="22">
        <f>SUMIFS(原始数据!$H$3:$H$1002,原始数据!$D$3:$D$1002,"HT20250519")</f>
        <v>415.381</v>
      </c>
      <c r="H100" s="22">
        <f>SUMIFS(原始数据!$I$3:$I$1002,原始数据!$D$3:$D$1002,"HT20250519")</f>
        <v>1275.46</v>
      </c>
      <c r="I100" s="22">
        <f>SUMIFS(原始数据!$J$3:$J$1002,原始数据!$D$3:$D$1002,"HT20250519")</f>
        <v>684.076</v>
      </c>
      <c r="J100" s="22">
        <f>SUMIFS(原始数据!$K$3:$K$1002,原始数据!$D$3:$D$1002,"HT20250519")</f>
        <v>591.3840000000001</v>
      </c>
      <c r="K100" s="19" t="str">
        <f>IFERROR(INDEX(原始数据!$L$3:$L$1002,MATCH(1,INDEX((原始数据!$D$3:$D$1002="HT20250519")*(原始数据!$L$3:$L$1002&lt;&gt;""),0),0)),"")</f>
        <v>六部</v>
      </c>
      <c r="L100" s="20" t="str">
        <f>IFERROR(INDEX(原始数据!$M$3:$M$1002,MATCH(1,INDEX((原始数据!$D$3:$D$1002="HT20250519")*(原始数据!$M$3:$M$1002&lt;&gt;""),0),0)),"")</f>
        <v>程琳</v>
      </c>
      <c r="M100" s="19" t="str">
        <f>IFERROR(INDEX(原始数据!$N$3:$N$1002,MATCH(1,INDEX((原始数据!$D$3:$D$1002="HT20250519")*(原始数据!$N$3:$N$1002&lt;&gt;""),0),0)),"")</f>
        <v>1-2年</v>
      </c>
      <c r="N100" s="19" t="inlineStr"/>
    </row>
    <row r="101">
      <c r="A101" s="13">
        <f>ROW()-2</f>
        <v>99</v>
      </c>
      <c r="B101" s="14" t="str">
        <f>IFERROR(INDEX(原始数据!$B$3:$B$1002,MATCH(1,INDEX((原始数据!$D$3:$D$1002="HT20250520")*(原始数据!$B$3:$B$1002&lt;&gt;""),0),0)),"")</f>
        <v>华东-上海</v>
      </c>
      <c r="C101" s="14" t="str">
        <f>IFERROR(INDEX(原始数据!$C$3:$C$1002,MATCH(1,INDEX((原始数据!$D$3:$D$1002="HT20250520")*(原始数据!$C$3:$C$1002&lt;&gt;""),0),0)),"")</f>
        <v>事业单位</v>
      </c>
      <c r="D101" s="15" t="inlineStr">
        <is>
          <t>HT20250520</t>
        </is>
      </c>
      <c r="E101" s="16">
        <f>IFERROR(INDEX(原始数据!$E$3:$E$1002,MATCH(1,INDEX((原始数据!$D$3:$D$1002="HT20250520")*(原始数据!$E$3:$E$1002&lt;&gt;""),0),0)),"")</f>
        <v>20260503</v>
      </c>
      <c r="F101" s="17">
        <f>SUMIFS(原始数据!$F$3:$F$1002,原始数据!$D$3:$D$1002,"HT20250520")</f>
        <v>2547.441</v>
      </c>
      <c r="G101" s="17">
        <f>SUMIFS(原始数据!$H$3:$H$1002,原始数据!$D$3:$D$1002,"HT20250520")</f>
        <v>724.11</v>
      </c>
      <c r="H101" s="17">
        <f>SUMIFS(原始数据!$I$3:$I$1002,原始数据!$D$3:$D$1002,"HT20250520")</f>
        <v>1823.3310000000001</v>
      </c>
      <c r="I101" s="17">
        <f>SUMIFS(原始数据!$J$3:$J$1002,原始数据!$D$3:$D$1002,"HT20250520")</f>
        <v>481.399</v>
      </c>
      <c r="J101" s="17">
        <f>SUMIFS(原始数据!$K$3:$K$1002,原始数据!$D$3:$D$1002,"HT20250520")</f>
        <v>1341.932</v>
      </c>
      <c r="K101" s="14" t="str">
        <f>IFERROR(INDEX(原始数据!$L$3:$L$1002,MATCH(1,INDEX((原始数据!$D$3:$D$1002="HT20250520")*(原始数据!$L$3:$L$1002&lt;&gt;""),0),0)),"")</f>
        <v>一部</v>
      </c>
      <c r="L101" s="15" t="str">
        <f>IFERROR(INDEX(原始数据!$M$3:$M$1002,MATCH(1,INDEX((原始数据!$D$3:$D$1002="HT20250520")*(原始数据!$M$3:$M$1002&lt;&gt;""),0),0)),"")</f>
        <v>张伟</v>
      </c>
      <c r="M101" s="14" t="str">
        <f>IFERROR(INDEX(原始数据!$N$3:$N$1002,MATCH(1,INDEX((原始数据!$D$3:$D$1002="HT20250520")*(原始数据!$N$3:$N$1002&lt;&gt;""),0),0)),"")</f>
        <v>1-2年</v>
      </c>
      <c r="N101" s="14" t="inlineStr"/>
    </row>
    <row r="102">
      <c r="A102" s="18">
        <f>ROW()-2</f>
        <v>100</v>
      </c>
      <c r="B102" s="19" t="str">
        <f>IFERROR(INDEX(原始数据!$B$3:$B$1002,MATCH(1,INDEX((原始数据!$D$3:$D$1002="HT20250521")*(原始数据!$B$3:$B$1002&lt;&gt;""),0),0)),"")</f>
        <v>华南-广西</v>
      </c>
      <c r="C102" s="19" t="str">
        <f>IFERROR(INDEX(原始数据!$C$3:$C$1002,MATCH(1,INDEX((原始数据!$D$3:$D$1002="HT20250521")*(原始数据!$C$3:$C$1002&lt;&gt;""),0),0)),"")</f>
        <v>基层自治组织</v>
      </c>
      <c r="D102" s="20" t="inlineStr">
        <is>
          <t>HT20250521</t>
        </is>
      </c>
      <c r="E102" s="21">
        <f>IFERROR(INDEX(原始数据!$E$3:$E$1002,MATCH(1,INDEX((原始数据!$D$3:$D$1002="HT20250521")*(原始数据!$E$3:$E$1002&lt;&gt;""),0),0)),"")</f>
        <v>20251013</v>
      </c>
      <c r="F102" s="22">
        <f>SUMIFS(原始数据!$F$3:$F$1002,原始数据!$D$3:$D$1002,"HT20250521")</f>
        <v>297.611</v>
      </c>
      <c r="G102" s="22">
        <f>SUMIFS(原始数据!$H$3:$H$1002,原始数据!$D$3:$D$1002,"HT20250521")</f>
        <v>168.089</v>
      </c>
      <c r="H102" s="22">
        <f>SUMIFS(原始数据!$I$3:$I$1002,原始数据!$D$3:$D$1002,"HT20250521")</f>
        <v>129.522</v>
      </c>
      <c r="I102" s="22">
        <f>SUMIFS(原始数据!$J$3:$J$1002,原始数据!$D$3:$D$1002,"HT20250521")</f>
        <v>83.772</v>
      </c>
      <c r="J102" s="22">
        <f>SUMIFS(原始数据!$K$3:$K$1002,原始数据!$D$3:$D$1002,"HT20250521")</f>
        <v>45.75</v>
      </c>
      <c r="K102" s="19" t="str">
        <f>IFERROR(INDEX(原始数据!$L$3:$L$1002,MATCH(1,INDEX((原始数据!$D$3:$D$1002="HT20250521")*(原始数据!$L$3:$L$1002&lt;&gt;""),0),0)),"")</f>
        <v>九部</v>
      </c>
      <c r="L102" s="20" t="str">
        <f>IFERROR(INDEX(原始数据!$M$3:$M$1002,MATCH(1,INDEX((原始数据!$D$3:$D$1002="HT20250521")*(原始数据!$M$3:$M$1002&lt;&gt;""),0),0)),"")</f>
        <v>魏红</v>
      </c>
      <c r="M102" s="19" t="str">
        <f>IFERROR(INDEX(原始数据!$N$3:$N$1002,MATCH(1,INDEX((原始数据!$D$3:$D$1002="HT20250521")*(原始数据!$N$3:$N$1002&lt;&gt;""),0),0)),"")</f>
        <v>1年以内</v>
      </c>
      <c r="N102" s="19" t="inlineStr"/>
    </row>
    <row r="103">
      <c r="A103" s="13">
        <f>ROW()-2</f>
        <v>101</v>
      </c>
      <c r="B103" s="14" t="str">
        <f>IFERROR(INDEX(原始数据!$B$3:$B$1002,MATCH(1,INDEX((原始数据!$D$3:$D$1002="HT20250522")*(原始数据!$B$3:$B$1002&lt;&gt;""),0),0)),"")</f>
        <v>西南-重庆</v>
      </c>
      <c r="C103" s="14" t="str">
        <f>IFERROR(INDEX(原始数据!$C$3:$C$1002,MATCH(1,INDEX((原始数据!$D$3:$D$1002="HT20250522")*(原始数据!$C$3:$C$1002&lt;&gt;""),0),0)),"")</f>
        <v>基层自治组织</v>
      </c>
      <c r="D103" s="15" t="inlineStr">
        <is>
          <t>HT20250522</t>
        </is>
      </c>
      <c r="E103" s="16">
        <f>IFERROR(INDEX(原始数据!$E$3:$E$1002,MATCH(1,INDEX((原始数据!$D$3:$D$1002="HT20250522")*(原始数据!$E$3:$E$1002&lt;&gt;""),0),0)),"")</f>
        <v>20260423</v>
      </c>
      <c r="F103" s="17">
        <f>SUMIFS(原始数据!$F$3:$F$1002,原始数据!$D$3:$D$1002,"HT20250522")</f>
        <v>799.588</v>
      </c>
      <c r="G103" s="17">
        <f>SUMIFS(原始数据!$H$3:$H$1002,原始数据!$D$3:$D$1002,"HT20250522")</f>
        <v>460.97299999999996</v>
      </c>
      <c r="H103" s="17">
        <f>SUMIFS(原始数据!$I$3:$I$1002,原始数据!$D$3:$D$1002,"HT20250522")</f>
        <v>338.615</v>
      </c>
      <c r="I103" s="17">
        <f>SUMIFS(原始数据!$J$3:$J$1002,原始数据!$D$3:$D$1002,"HT20250522")</f>
        <v>190.626</v>
      </c>
      <c r="J103" s="17">
        <f>SUMIFS(原始数据!$K$3:$K$1002,原始数据!$D$3:$D$1002,"HT20250522")</f>
        <v>147.989</v>
      </c>
      <c r="K103" s="14" t="str">
        <f>IFERROR(INDEX(原始数据!$L$3:$L$1002,MATCH(1,INDEX((原始数据!$D$3:$D$1002="HT20250522")*(原始数据!$L$3:$L$1002&lt;&gt;""),0),0)),"")</f>
        <v>一部</v>
      </c>
      <c r="L103" s="15" t="str">
        <f>IFERROR(INDEX(原始数据!$M$3:$M$1002,MATCH(1,INDEX((原始数据!$D$3:$D$1002="HT20250522")*(原始数据!$M$3:$M$1002&lt;&gt;""),0),0)),"")</f>
        <v>王芳</v>
      </c>
      <c r="M103" s="14" t="str">
        <f>IFERROR(INDEX(原始数据!$N$3:$N$1002,MATCH(1,INDEX((原始数据!$D$3:$D$1002="HT20250522")*(原始数据!$N$3:$N$1002&lt;&gt;""),0),0)),"")</f>
        <v>1-2年</v>
      </c>
      <c r="N103" s="14" t="inlineStr"/>
    </row>
    <row r="104">
      <c r="A104" s="18">
        <f>ROW()-2</f>
        <v>102</v>
      </c>
      <c r="B104" s="19" t="str">
        <f>IFERROR(INDEX(原始数据!$B$3:$B$1002,MATCH(1,INDEX((原始数据!$D$3:$D$1002="HT20250523")*(原始数据!$B$3:$B$1002&lt;&gt;""),0),0)),"")</f>
        <v>华东-上海</v>
      </c>
      <c r="C104" s="19" t="str">
        <f>IFERROR(INDEX(原始数据!$C$3:$C$1002,MATCH(1,INDEX((原始数据!$D$3:$D$1002="HT20250523")*(原始数据!$C$3:$C$1002&lt;&gt;""),0),0)),"")</f>
        <v>人大政协</v>
      </c>
      <c r="D104" s="20" t="inlineStr">
        <is>
          <t>HT20250523</t>
        </is>
      </c>
      <c r="E104" s="21">
        <f>IFERROR(INDEX(原始数据!$E$3:$E$1002,MATCH(1,INDEX((原始数据!$D$3:$D$1002="HT20250523")*(原始数据!$E$3:$E$1002&lt;&gt;""),0),0)),"")</f>
        <v>20260131</v>
      </c>
      <c r="F104" s="22">
        <f>SUMIFS(原始数据!$F$3:$F$1002,原始数据!$D$3:$D$1002,"HT20250523")</f>
        <v>1324.067</v>
      </c>
      <c r="G104" s="22">
        <f>SUMIFS(原始数据!$H$3:$H$1002,原始数据!$D$3:$D$1002,"HT20250523")</f>
        <v>1172.606</v>
      </c>
      <c r="H104" s="22">
        <f>SUMIFS(原始数据!$I$3:$I$1002,原始数据!$D$3:$D$1002,"HT20250523")</f>
        <v>151.461</v>
      </c>
      <c r="I104" s="22">
        <f>SUMIFS(原始数据!$J$3:$J$1002,原始数据!$D$3:$D$1002,"HT20250523")</f>
        <v>146.685</v>
      </c>
      <c r="J104" s="22">
        <f>SUMIFS(原始数据!$K$3:$K$1002,原始数据!$D$3:$D$1002,"HT20250523")</f>
        <v>4.776</v>
      </c>
      <c r="K104" s="19" t="str">
        <f>IFERROR(INDEX(原始数据!$L$3:$L$1002,MATCH(1,INDEX((原始数据!$D$3:$D$1002="HT20250523")*(原始数据!$L$3:$L$1002&lt;&gt;""),0),0)),"")</f>
        <v>六部</v>
      </c>
      <c r="L104" s="20" t="str">
        <f>IFERROR(INDEX(原始数据!$M$3:$M$1002,MATCH(1,INDEX((原始数据!$D$3:$D$1002="HT20250523")*(原始数据!$M$3:$M$1002&lt;&gt;""),0),0)),"")</f>
        <v>曹阳</v>
      </c>
      <c r="M104" s="19" t="str">
        <f>IFERROR(INDEX(原始数据!$N$3:$N$1002,MATCH(1,INDEX((原始数据!$D$3:$D$1002="HT20250523")*(原始数据!$N$3:$N$1002&lt;&gt;""),0),0)),"")</f>
        <v>1年以内</v>
      </c>
      <c r="N104" s="19" t="inlineStr"/>
    </row>
    <row r="105">
      <c r="A105" s="13">
        <f>ROW()-2</f>
        <v>103</v>
      </c>
      <c r="B105" s="14" t="str">
        <f>IFERROR(INDEX(原始数据!$B$3:$B$1002,MATCH(1,INDEX((原始数据!$D$3:$D$1002="HT20250525")*(原始数据!$B$3:$B$1002&lt;&gt;""),0),0)),"")</f>
        <v>西南-西藏</v>
      </c>
      <c r="C105" s="14" t="str">
        <f>IFERROR(INDEX(原始数据!$C$3:$C$1002,MATCH(1,INDEX((原始数据!$D$3:$D$1002="HT20250525")*(原始数据!$C$3:$C$1002&lt;&gt;""),0),0)),"")</f>
        <v>基层自治组织</v>
      </c>
      <c r="D105" s="15" t="inlineStr">
        <is>
          <t>HT20250525</t>
        </is>
      </c>
      <c r="E105" s="16">
        <f>IFERROR(INDEX(原始数据!$E$3:$E$1002,MATCH(1,INDEX((原始数据!$D$3:$D$1002="HT20250525")*(原始数据!$E$3:$E$1002&lt;&gt;""),0),0)),"")</f>
        <v>20260822</v>
      </c>
      <c r="F105" s="17">
        <f>SUMIFS(原始数据!$F$3:$F$1002,原始数据!$D$3:$D$1002,"HT20250525")</f>
        <v>158.969</v>
      </c>
      <c r="G105" s="17">
        <f>SUMIFS(原始数据!$H$3:$H$1002,原始数据!$D$3:$D$1002,"HT20250525")</f>
        <v>139.844</v>
      </c>
      <c r="H105" s="17">
        <f>SUMIFS(原始数据!$I$3:$I$1002,原始数据!$D$3:$D$1002,"HT20250525")</f>
        <v>19.125</v>
      </c>
      <c r="I105" s="17">
        <f>SUMIFS(原始数据!$J$3:$J$1002,原始数据!$D$3:$D$1002,"HT20250525")</f>
        <v>6.784</v>
      </c>
      <c r="J105" s="17">
        <f>SUMIFS(原始数据!$K$3:$K$1002,原始数据!$D$3:$D$1002,"HT20250525")</f>
        <v>12.341</v>
      </c>
      <c r="K105" s="14" t="str">
        <f>IFERROR(INDEX(原始数据!$L$3:$L$1002,MATCH(1,INDEX((原始数据!$D$3:$D$1002="HT20250525")*(原始数据!$L$3:$L$1002&lt;&gt;""),0),0)),"")</f>
        <v>十部</v>
      </c>
      <c r="L105" s="15" t="str">
        <f>IFERROR(INDEX(原始数据!$M$3:$M$1002,MATCH(1,INDEX((原始数据!$D$3:$D$1002="HT20250525")*(原始数据!$M$3:$M$1002&lt;&gt;""),0),0)),"")</f>
        <v>侯敏</v>
      </c>
      <c r="M105" s="14" t="str">
        <f>IFERROR(INDEX(原始数据!$N$3:$N$1002,MATCH(1,INDEX((原始数据!$D$3:$D$1002="HT20250525")*(原始数据!$N$3:$N$1002&lt;&gt;""),0),0)),"")</f>
        <v>2-3年</v>
      </c>
      <c r="N105" s="14" t="inlineStr"/>
    </row>
    <row r="106">
      <c r="A106" s="18">
        <f>ROW()-2</f>
        <v>104</v>
      </c>
      <c r="B106" s="19" t="str">
        <f>IFERROR(INDEX(原始数据!$B$3:$B$1002,MATCH(1,INDEX((原始数据!$D$3:$D$1002="HT20250526")*(原始数据!$B$3:$B$1002&lt;&gt;""),0),0)),"")</f>
        <v>华中-湖南</v>
      </c>
      <c r="C106" s="19" t="str">
        <f>IFERROR(INDEX(原始数据!$C$3:$C$1002,MATCH(1,INDEX((原始数据!$D$3:$D$1002="HT20250526")*(原始数据!$C$3:$C$1002&lt;&gt;""),0),0)),"")</f>
        <v>基层自治组织</v>
      </c>
      <c r="D106" s="20" t="inlineStr">
        <is>
          <t>HT20250526</t>
        </is>
      </c>
      <c r="E106" s="21">
        <f>IFERROR(INDEX(原始数据!$E$3:$E$1002,MATCH(1,INDEX((原始数据!$D$3:$D$1002="HT20250526")*(原始数据!$E$3:$E$1002&lt;&gt;""),0),0)),"")</f>
        <v>20260824</v>
      </c>
      <c r="F106" s="22">
        <f>SUMIFS(原始数据!$F$3:$F$1002,原始数据!$D$3:$D$1002,"HT20250526")</f>
        <v>4482.648</v>
      </c>
      <c r="G106" s="22">
        <f>SUMIFS(原始数据!$H$3:$H$1002,原始数据!$D$3:$D$1002,"HT20250526")</f>
        <v>1924.65</v>
      </c>
      <c r="H106" s="22">
        <f>SUMIFS(原始数据!$I$3:$I$1002,原始数据!$D$3:$D$1002,"HT20250526")</f>
        <v>2557.998</v>
      </c>
      <c r="I106" s="22">
        <f>SUMIFS(原始数据!$J$3:$J$1002,原始数据!$D$3:$D$1002,"HT20250526")</f>
        <v>1859.4540000000002</v>
      </c>
      <c r="J106" s="22">
        <f>SUMIFS(原始数据!$K$3:$K$1002,原始数据!$D$3:$D$1002,"HT20250526")</f>
        <v>698.544</v>
      </c>
      <c r="K106" s="19" t="str">
        <f>IFERROR(INDEX(原始数据!$L$3:$L$1002,MATCH(1,INDEX((原始数据!$D$3:$D$1002="HT20250526")*(原始数据!$L$3:$L$1002&lt;&gt;""),0),0)),"")</f>
        <v>一部</v>
      </c>
      <c r="L106" s="20" t="str">
        <f>IFERROR(INDEX(原始数据!$M$3:$M$1002,MATCH(1,INDEX((原始数据!$D$3:$D$1002="HT20250526")*(原始数据!$M$3:$M$1002&lt;&gt;""),0),0)),"")</f>
        <v>李娜</v>
      </c>
      <c r="M106" s="19" t="str">
        <f>IFERROR(INDEX(原始数据!$N$3:$N$1002,MATCH(1,INDEX((原始数据!$D$3:$D$1002="HT20250526")*(原始数据!$N$3:$N$1002&lt;&gt;""),0),0)),"")</f>
        <v>1-2年</v>
      </c>
      <c r="N106" s="19" t="inlineStr"/>
    </row>
    <row r="107">
      <c r="A107" s="13">
        <f>ROW()-2</f>
        <v>105</v>
      </c>
      <c r="B107" s="14" t="str">
        <f>IFERROR(INDEX(原始数据!$B$3:$B$1002,MATCH(1,INDEX((原始数据!$D$3:$D$1002="HT20250527")*(原始数据!$B$3:$B$1002&lt;&gt;""),0),0)),"")</f>
        <v>东北-黑龙江</v>
      </c>
      <c r="C107" s="14" t="str">
        <f>IFERROR(INDEX(原始数据!$C$3:$C$1002,MATCH(1,INDEX((原始数据!$D$3:$D$1002="HT20250527")*(原始数据!$C$3:$C$1002&lt;&gt;""),0),0)),"")</f>
        <v>群团组织</v>
      </c>
      <c r="D107" s="15" t="inlineStr">
        <is>
          <t>HT20250527</t>
        </is>
      </c>
      <c r="E107" s="16">
        <f>IFERROR(INDEX(原始数据!$E$3:$E$1002,MATCH(1,INDEX((原始数据!$D$3:$D$1002="HT20250527")*(原始数据!$E$3:$E$1002&lt;&gt;""),0),0)),"")</f>
        <v>20260716</v>
      </c>
      <c r="F107" s="17">
        <f>SUMIFS(原始数据!$F$3:$F$1002,原始数据!$D$3:$D$1002,"HT20250527")</f>
        <v>4142.717000000001</v>
      </c>
      <c r="G107" s="17">
        <f>SUMIFS(原始数据!$H$3:$H$1002,原始数据!$D$3:$D$1002,"HT20250527")</f>
        <v>878.363</v>
      </c>
      <c r="H107" s="17">
        <f>SUMIFS(原始数据!$I$3:$I$1002,原始数据!$D$3:$D$1002,"HT20250527")</f>
        <v>3264.354</v>
      </c>
      <c r="I107" s="17">
        <f>SUMIFS(原始数据!$J$3:$J$1002,原始数据!$D$3:$D$1002,"HT20250527")</f>
        <v>951.952</v>
      </c>
      <c r="J107" s="17">
        <f>SUMIFS(原始数据!$K$3:$K$1002,原始数据!$D$3:$D$1002,"HT20250527")</f>
        <v>2312.402</v>
      </c>
      <c r="K107" s="14" t="str">
        <f>IFERROR(INDEX(原始数据!$L$3:$L$1002,MATCH(1,INDEX((原始数据!$D$3:$D$1002="HT20250527")*(原始数据!$L$3:$L$1002&lt;&gt;""),0),0)),"")</f>
        <v>七部</v>
      </c>
      <c r="L107" s="15" t="str">
        <f>IFERROR(INDEX(原始数据!$M$3:$M$1002,MATCH(1,INDEX((原始数据!$D$3:$D$1002="HT20250527")*(原始数据!$M$3:$M$1002&lt;&gt;""),0),0)),"")</f>
        <v>袁博</v>
      </c>
      <c r="M107" s="14" t="str">
        <f>IFERROR(INDEX(原始数据!$N$3:$N$1002,MATCH(1,INDEX((原始数据!$D$3:$D$1002="HT20250527")*(原始数据!$N$3:$N$1002&lt;&gt;""),0),0)),"")</f>
        <v>1-2年</v>
      </c>
      <c r="N107" s="14" t="inlineStr"/>
    </row>
    <row r="108">
      <c r="A108" s="18">
        <f>ROW()-2</f>
        <v>106</v>
      </c>
      <c r="B108" s="19" t="str">
        <f>IFERROR(INDEX(原始数据!$B$3:$B$1002,MATCH(1,INDEX((原始数据!$D$3:$D$1002="HT20250531")*(原始数据!$B$3:$B$1002&lt;&gt;""),0),0)),"")</f>
        <v>华南-广西</v>
      </c>
      <c r="C108" s="19" t="str">
        <f>IFERROR(INDEX(原始数据!$C$3:$C$1002,MATCH(1,INDEX((原始数据!$D$3:$D$1002="HT20250531")*(原始数据!$C$3:$C$1002&lt;&gt;""),0),0)),"")</f>
        <v>党委机关</v>
      </c>
      <c r="D108" s="20" t="inlineStr">
        <is>
          <t>HT20250531</t>
        </is>
      </c>
      <c r="E108" s="21">
        <f>IFERROR(INDEX(原始数据!$E$3:$E$1002,MATCH(1,INDEX((原始数据!$D$3:$D$1002="HT20250531")*(原始数据!$E$3:$E$1002&lt;&gt;""),0),0)),"")</f>
        <v>20260124</v>
      </c>
      <c r="F108" s="22">
        <f>SUMIFS(原始数据!$F$3:$F$1002,原始数据!$D$3:$D$1002,"HT20250531")</f>
        <v>1403.8449999999998</v>
      </c>
      <c r="G108" s="22">
        <f>SUMIFS(原始数据!$H$3:$H$1002,原始数据!$D$3:$D$1002,"HT20250531")</f>
        <v>824.9060000000001</v>
      </c>
      <c r="H108" s="22">
        <f>SUMIFS(原始数据!$I$3:$I$1002,原始数据!$D$3:$D$1002,"HT20250531")</f>
        <v>578.939</v>
      </c>
      <c r="I108" s="22">
        <f>SUMIFS(原始数据!$J$3:$J$1002,原始数据!$D$3:$D$1002,"HT20250531")</f>
        <v>293.52000000000004</v>
      </c>
      <c r="J108" s="22">
        <f>SUMIFS(原始数据!$K$3:$K$1002,原始数据!$D$3:$D$1002,"HT20250531")</f>
        <v>285.419</v>
      </c>
      <c r="K108" s="19" t="str">
        <f>IFERROR(INDEX(原始数据!$L$3:$L$1002,MATCH(1,INDEX((原始数据!$D$3:$D$1002="HT20250531")*(原始数据!$L$3:$L$1002&lt;&gt;""),0),0)),"")</f>
        <v>七部</v>
      </c>
      <c r="L108" s="20" t="str">
        <f>IFERROR(INDEX(原始数据!$M$3:$M$1002,MATCH(1,INDEX((原始数据!$D$3:$D$1002="HT20250531")*(原始数据!$M$3:$M$1002&lt;&gt;""),0),0)),"")</f>
        <v>许涛</v>
      </c>
      <c r="M108" s="19" t="str">
        <f>IFERROR(INDEX(原始数据!$N$3:$N$1002,MATCH(1,INDEX((原始数据!$D$3:$D$1002="HT20250531")*(原始数据!$N$3:$N$1002&lt;&gt;""),0),0)),"")</f>
        <v>1年以内</v>
      </c>
      <c r="N108" s="19" t="inlineStr"/>
    </row>
    <row r="109">
      <c r="A109" s="13">
        <f>ROW()-2</f>
        <v>107</v>
      </c>
      <c r="B109" s="14" t="str">
        <f>IFERROR(INDEX(原始数据!$B$3:$B$1002,MATCH(1,INDEX((原始数据!$D$3:$D$1002="HT20250601")*(原始数据!$B$3:$B$1002&lt;&gt;""),0),0)),"")</f>
        <v>华东-上海</v>
      </c>
      <c r="C109" s="14" t="str">
        <f>IFERROR(INDEX(原始数据!$C$3:$C$1002,MATCH(1,INDEX((原始数据!$D$3:$D$1002="HT20250601")*(原始数据!$C$3:$C$1002&lt;&gt;""),0),0)),"")</f>
        <v>群团组织</v>
      </c>
      <c r="D109" s="15" t="inlineStr">
        <is>
          <t>HT20250601</t>
        </is>
      </c>
      <c r="E109" s="16">
        <f>IFERROR(INDEX(原始数据!$E$3:$E$1002,MATCH(1,INDEX((原始数据!$D$3:$D$1002="HT20250601")*(原始数据!$E$3:$E$1002&lt;&gt;""),0),0)),"")</f>
        <v>20260514</v>
      </c>
      <c r="F109" s="17">
        <f>SUMIFS(原始数据!$F$3:$F$1002,原始数据!$D$3:$D$1002,"HT20250601")</f>
        <v>21.056</v>
      </c>
      <c r="G109" s="17">
        <f>SUMIFS(原始数据!$H$3:$H$1002,原始数据!$D$3:$D$1002,"HT20250601")</f>
        <v>10.801</v>
      </c>
      <c r="H109" s="17">
        <f>SUMIFS(原始数据!$I$3:$I$1002,原始数据!$D$3:$D$1002,"HT20250601")</f>
        <v>10.255</v>
      </c>
      <c r="I109" s="17">
        <f>SUMIFS(原始数据!$J$3:$J$1002,原始数据!$D$3:$D$1002,"HT20250601")</f>
        <v>0.143</v>
      </c>
      <c r="J109" s="17">
        <f>SUMIFS(原始数据!$K$3:$K$1002,原始数据!$D$3:$D$1002,"HT20250601")</f>
        <v>10.112</v>
      </c>
      <c r="K109" s="14" t="str">
        <f>IFERROR(INDEX(原始数据!$L$3:$L$1002,MATCH(1,INDEX((原始数据!$D$3:$D$1002="HT20250601")*(原始数据!$L$3:$L$1002&lt;&gt;""),0),0)),"")</f>
        <v>六部</v>
      </c>
      <c r="L109" s="15" t="str">
        <f>IFERROR(INDEX(原始数据!$M$3:$M$1002,MATCH(1,INDEX((原始数据!$D$3:$D$1002="HT20250601")*(原始数据!$M$3:$M$1002&lt;&gt;""),0),0)),"")</f>
        <v>董辉</v>
      </c>
      <c r="M109" s="14" t="str">
        <f>IFERROR(INDEX(原始数据!$N$3:$N$1002,MATCH(1,INDEX((原始数据!$D$3:$D$1002="HT20250601")*(原始数据!$N$3:$N$1002&lt;&gt;""),0),0)),"")</f>
        <v>2-3年</v>
      </c>
      <c r="N109" s="14" t="inlineStr"/>
    </row>
    <row r="110">
      <c r="A110" s="18">
        <f>ROW()-2</f>
        <v>108</v>
      </c>
      <c r="B110" s="19" t="str">
        <f>IFERROR(INDEX(原始数据!$B$3:$B$1002,MATCH(1,INDEX((原始数据!$D$3:$D$1002="HT20250602")*(原始数据!$B$3:$B$1002&lt;&gt;""),0),0)),"")</f>
        <v>华东-上海</v>
      </c>
      <c r="C110" s="19" t="str">
        <f>IFERROR(INDEX(原始数据!$C$3:$C$1002,MATCH(1,INDEX((原始数据!$D$3:$D$1002="HT20250602")*(原始数据!$C$3:$C$1002&lt;&gt;""),0),0)),"")</f>
        <v>群团组织</v>
      </c>
      <c r="D110" s="20" t="inlineStr">
        <is>
          <t>HT20250602</t>
        </is>
      </c>
      <c r="E110" s="21">
        <f>IFERROR(INDEX(原始数据!$E$3:$E$1002,MATCH(1,INDEX((原始数据!$D$3:$D$1002="HT20250602")*(原始数据!$E$3:$E$1002&lt;&gt;""),0),0)),"")</f>
        <v>20260703</v>
      </c>
      <c r="F110" s="22">
        <f>SUMIFS(原始数据!$F$3:$F$1002,原始数据!$D$3:$D$1002,"HT20250602")</f>
        <v>54.311</v>
      </c>
      <c r="G110" s="22">
        <f>SUMIFS(原始数据!$H$3:$H$1002,原始数据!$D$3:$D$1002,"HT20250602")</f>
        <v>36.911</v>
      </c>
      <c r="H110" s="22">
        <f>SUMIFS(原始数据!$I$3:$I$1002,原始数据!$D$3:$D$1002,"HT20250602")</f>
        <v>17.4</v>
      </c>
      <c r="I110" s="22">
        <f>SUMIFS(原始数据!$J$3:$J$1002,原始数据!$D$3:$D$1002,"HT20250602")</f>
        <v>13.151</v>
      </c>
      <c r="J110" s="22">
        <f>SUMIFS(原始数据!$K$3:$K$1002,原始数据!$D$3:$D$1002,"HT20250602")</f>
        <v>4.249</v>
      </c>
      <c r="K110" s="19" t="str">
        <f>IFERROR(INDEX(原始数据!$L$3:$L$1002,MATCH(1,INDEX((原始数据!$D$3:$D$1002="HT20250602")*(原始数据!$L$3:$L$1002&lt;&gt;""),0),0)),"")</f>
        <v>四部</v>
      </c>
      <c r="L110" s="20" t="str">
        <f>IFERROR(INDEX(原始数据!$M$3:$M$1002,MATCH(1,INDEX((原始数据!$D$3:$D$1002="HT20250602")*(原始数据!$M$3:$M$1002&lt;&gt;""),0),0)),"")</f>
        <v>罗刚</v>
      </c>
      <c r="M110" s="19" t="str">
        <f>IFERROR(INDEX(原始数据!$N$3:$N$1002,MATCH(1,INDEX((原始数据!$D$3:$D$1002="HT20250602")*(原始数据!$N$3:$N$1002&lt;&gt;""),0),0)),"")</f>
        <v>1-2年</v>
      </c>
      <c r="N110" s="19" t="inlineStr"/>
    </row>
    <row r="111">
      <c r="A111" s="13">
        <f>ROW()-2</f>
        <v>109</v>
      </c>
      <c r="B111" s="14" t="str">
        <f>IFERROR(INDEX(原始数据!$B$3:$B$1002,MATCH(1,INDEX((原始数据!$D$3:$D$1002="HT20250604")*(原始数据!$B$3:$B$1002&lt;&gt;""),0),0)),"")</f>
        <v>西南-云南</v>
      </c>
      <c r="C111" s="14" t="str">
        <f>IFERROR(INDEX(原始数据!$C$3:$C$1002,MATCH(1,INDEX((原始数据!$D$3:$D$1002="HT20250604")*(原始数据!$C$3:$C$1002&lt;&gt;""),0),0)),"")</f>
        <v>监察司法机关</v>
      </c>
      <c r="D111" s="15" t="inlineStr">
        <is>
          <t>HT20250604</t>
        </is>
      </c>
      <c r="E111" s="16">
        <f>IFERROR(INDEX(原始数据!$E$3:$E$1002,MATCH(1,INDEX((原始数据!$D$3:$D$1002="HT20250604")*(原始数据!$E$3:$E$1002&lt;&gt;""),0),0)),"")</f>
        <v>20250917</v>
      </c>
      <c r="F111" s="17">
        <f>SUMIFS(原始数据!$F$3:$F$1002,原始数据!$D$3:$D$1002,"HT20250604")</f>
        <v>237.648</v>
      </c>
      <c r="G111" s="17">
        <f>SUMIFS(原始数据!$H$3:$H$1002,原始数据!$D$3:$D$1002,"HT20250604")</f>
        <v>25.748</v>
      </c>
      <c r="H111" s="17">
        <f>SUMIFS(原始数据!$I$3:$I$1002,原始数据!$D$3:$D$1002,"HT20250604")</f>
        <v>211.9</v>
      </c>
      <c r="I111" s="17">
        <f>SUMIFS(原始数据!$J$3:$J$1002,原始数据!$D$3:$D$1002,"HT20250604")</f>
        <v>206.996</v>
      </c>
      <c r="J111" s="17">
        <f>SUMIFS(原始数据!$K$3:$K$1002,原始数据!$D$3:$D$1002,"HT20250604")</f>
        <v>4.904</v>
      </c>
      <c r="K111" s="14" t="str">
        <f>IFERROR(INDEX(原始数据!$L$3:$L$1002,MATCH(1,INDEX((原始数据!$D$3:$D$1002="HT20250604")*(原始数据!$L$3:$L$1002&lt;&gt;""),0),0)),"")</f>
        <v>七部</v>
      </c>
      <c r="L111" s="15" t="str">
        <f>IFERROR(INDEX(原始数据!$M$3:$M$1002,MATCH(1,INDEX((原始数据!$D$3:$D$1002="HT20250604")*(原始数据!$M$3:$M$1002&lt;&gt;""),0),0)),"")</f>
        <v>傅蓉</v>
      </c>
      <c r="M111" s="14" t="str">
        <f>IFERROR(INDEX(原始数据!$N$3:$N$1002,MATCH(1,INDEX((原始数据!$D$3:$D$1002="HT20250604")*(原始数据!$N$3:$N$1002&lt;&gt;""),0),0)),"")</f>
        <v>1-2年</v>
      </c>
      <c r="N111" s="14" t="inlineStr"/>
    </row>
    <row r="112">
      <c r="A112" s="18">
        <f>ROW()-2</f>
        <v>110</v>
      </c>
      <c r="B112" s="19" t="str">
        <f>IFERROR(INDEX(原始数据!$B$3:$B$1002,MATCH(1,INDEX((原始数据!$D$3:$D$1002="HT20250605")*(原始数据!$B$3:$B$1002&lt;&gt;""),0),0)),"")</f>
        <v>东北-辽宁</v>
      </c>
      <c r="C112" s="19" t="str">
        <f>IFERROR(INDEX(原始数据!$C$3:$C$1002,MATCH(1,INDEX((原始数据!$D$3:$D$1002="HT20250605")*(原始数据!$C$3:$C$1002&lt;&gt;""),0),0)),"")</f>
        <v>党委机关</v>
      </c>
      <c r="D112" s="20" t="inlineStr">
        <is>
          <t>HT20250605</t>
        </is>
      </c>
      <c r="E112" s="21">
        <f>IFERROR(INDEX(原始数据!$E$3:$E$1002,MATCH(1,INDEX((原始数据!$D$3:$D$1002="HT20250605")*(原始数据!$E$3:$E$1002&lt;&gt;""),0),0)),"")</f>
        <v>20260204</v>
      </c>
      <c r="F112" s="22">
        <f>SUMIFS(原始数据!$F$3:$F$1002,原始数据!$D$3:$D$1002,"HT20250605")</f>
        <v>143.338</v>
      </c>
      <c r="G112" s="22">
        <f>SUMIFS(原始数据!$H$3:$H$1002,原始数据!$D$3:$D$1002,"HT20250605")</f>
        <v>71.155</v>
      </c>
      <c r="H112" s="22">
        <f>SUMIFS(原始数据!$I$3:$I$1002,原始数据!$D$3:$D$1002,"HT20250605")</f>
        <v>72.183</v>
      </c>
      <c r="I112" s="22">
        <f>SUMIFS(原始数据!$J$3:$J$1002,原始数据!$D$3:$D$1002,"HT20250605")</f>
        <v>24.223</v>
      </c>
      <c r="J112" s="22">
        <f>SUMIFS(原始数据!$K$3:$K$1002,原始数据!$D$3:$D$1002,"HT20250605")</f>
        <v>47.96</v>
      </c>
      <c r="K112" s="19" t="str">
        <f>IFERROR(INDEX(原始数据!$L$3:$L$1002,MATCH(1,INDEX((原始数据!$D$3:$D$1002="HT20250605")*(原始数据!$L$3:$L$1002&lt;&gt;""),0),0)),"")</f>
        <v>四部</v>
      </c>
      <c r="L112" s="20" t="str">
        <f>IFERROR(INDEX(原始数据!$M$3:$M$1002,MATCH(1,INDEX((原始数据!$D$3:$D$1002="HT20250605")*(原始数据!$M$3:$M$1002&lt;&gt;""),0),0)),"")</f>
        <v>高翔</v>
      </c>
      <c r="M112" s="19" t="str">
        <f>IFERROR(INDEX(原始数据!$N$3:$N$1002,MATCH(1,INDEX((原始数据!$D$3:$D$1002="HT20250605")*(原始数据!$N$3:$N$1002&lt;&gt;""),0),0)),"")</f>
        <v>2-3年</v>
      </c>
      <c r="N112" s="19" t="inlineStr"/>
    </row>
    <row r="113">
      <c r="A113" s="13">
        <f>ROW()-2</f>
        <v>111</v>
      </c>
      <c r="B113" s="14" t="str">
        <f>IFERROR(INDEX(原始数据!$B$3:$B$1002,MATCH(1,INDEX((原始数据!$D$3:$D$1002="HT20250606")*(原始数据!$B$3:$B$1002&lt;&gt;""),0),0)),"")</f>
        <v>西北-新疆</v>
      </c>
      <c r="C113" s="14" t="str">
        <f>IFERROR(INDEX(原始数据!$C$3:$C$1002,MATCH(1,INDEX((原始数据!$D$3:$D$1002="HT20250606")*(原始数据!$C$3:$C$1002&lt;&gt;""),0),0)),"")</f>
        <v>事业单位</v>
      </c>
      <c r="D113" s="15" t="inlineStr">
        <is>
          <t>HT20250606</t>
        </is>
      </c>
      <c r="E113" s="16">
        <f>IFERROR(INDEX(原始数据!$E$3:$E$1002,MATCH(1,INDEX((原始数据!$D$3:$D$1002="HT20250606")*(原始数据!$E$3:$E$1002&lt;&gt;""),0),0)),"")</f>
        <v>20260218</v>
      </c>
      <c r="F113" s="17">
        <f>SUMIFS(原始数据!$F$3:$F$1002,原始数据!$D$3:$D$1002,"HT20250606")</f>
        <v>355.981</v>
      </c>
      <c r="G113" s="17">
        <f>SUMIFS(原始数据!$H$3:$H$1002,原始数据!$D$3:$D$1002,"HT20250606")</f>
        <v>234.075</v>
      </c>
      <c r="H113" s="17">
        <f>SUMIFS(原始数据!$I$3:$I$1002,原始数据!$D$3:$D$1002,"HT20250606")</f>
        <v>121.906</v>
      </c>
      <c r="I113" s="17">
        <f>SUMIFS(原始数据!$J$3:$J$1002,原始数据!$D$3:$D$1002,"HT20250606")</f>
        <v>51.431</v>
      </c>
      <c r="J113" s="17">
        <f>SUMIFS(原始数据!$K$3:$K$1002,原始数据!$D$3:$D$1002,"HT20250606")</f>
        <v>70.475</v>
      </c>
      <c r="K113" s="14" t="str">
        <f>IFERROR(INDEX(原始数据!$L$3:$L$1002,MATCH(1,INDEX((原始数据!$D$3:$D$1002="HT20250606")*(原始数据!$L$3:$L$1002&lt;&gt;""),0),0)),"")</f>
        <v>四部</v>
      </c>
      <c r="L113" s="15" t="str">
        <f>IFERROR(INDEX(原始数据!$M$3:$M$1002,MATCH(1,INDEX((原始数据!$D$3:$D$1002="HT20250606")*(原始数据!$M$3:$M$1002&lt;&gt;""),0),0)),"")</f>
        <v>何萍</v>
      </c>
      <c r="M113" s="14" t="str">
        <f>IFERROR(INDEX(原始数据!$N$3:$N$1002,MATCH(1,INDEX((原始数据!$D$3:$D$1002="HT20250606")*(原始数据!$N$3:$N$1002&lt;&gt;""),0),0)),"")</f>
        <v>2-3年</v>
      </c>
      <c r="N113" s="14" t="inlineStr"/>
    </row>
    <row r="114">
      <c r="A114" s="18">
        <f>ROW()-2</f>
        <v>112</v>
      </c>
      <c r="B114" s="19" t="str">
        <f>IFERROR(INDEX(原始数据!$B$3:$B$1002,MATCH(1,INDEX((原始数据!$D$3:$D$1002="HT20250607")*(原始数据!$B$3:$B$1002&lt;&gt;""),0),0)),"")</f>
        <v>西南-四川</v>
      </c>
      <c r="C114" s="19" t="str">
        <f>IFERROR(INDEX(原始数据!$C$3:$C$1002,MATCH(1,INDEX((原始数据!$D$3:$D$1002="HT20250607")*(原始数据!$C$3:$C$1002&lt;&gt;""),0),0)),"")</f>
        <v>群团组织</v>
      </c>
      <c r="D114" s="20" t="inlineStr">
        <is>
          <t>HT20250607</t>
        </is>
      </c>
      <c r="E114" s="21">
        <f>IFERROR(INDEX(原始数据!$E$3:$E$1002,MATCH(1,INDEX((原始数据!$D$3:$D$1002="HT20250607")*(原始数据!$E$3:$E$1002&lt;&gt;""),0),0)),"")</f>
        <v>20260320</v>
      </c>
      <c r="F114" s="22">
        <f>SUMIFS(原始数据!$F$3:$F$1002,原始数据!$D$3:$D$1002,"HT20250607")</f>
        <v>494.617</v>
      </c>
      <c r="G114" s="22">
        <f>SUMIFS(原始数据!$H$3:$H$1002,原始数据!$D$3:$D$1002,"HT20250607")</f>
        <v>316.704</v>
      </c>
      <c r="H114" s="22">
        <f>SUMIFS(原始数据!$I$3:$I$1002,原始数据!$D$3:$D$1002,"HT20250607")</f>
        <v>177.91299999999998</v>
      </c>
      <c r="I114" s="22">
        <f>SUMIFS(原始数据!$J$3:$J$1002,原始数据!$D$3:$D$1002,"HT20250607")</f>
        <v>116.629</v>
      </c>
      <c r="J114" s="22">
        <f>SUMIFS(原始数据!$K$3:$K$1002,原始数据!$D$3:$D$1002,"HT20250607")</f>
        <v>61.284</v>
      </c>
      <c r="K114" s="19" t="str">
        <f>IFERROR(INDEX(原始数据!$L$3:$L$1002,MATCH(1,INDEX((原始数据!$D$3:$D$1002="HT20250607")*(原始数据!$L$3:$L$1002&lt;&gt;""),0),0)),"")</f>
        <v>三部</v>
      </c>
      <c r="L114" s="20" t="str">
        <f>IFERROR(INDEX(原始数据!$M$3:$M$1002,MATCH(1,INDEX((原始数据!$D$3:$D$1002="HT20250607")*(原始数据!$M$3:$M$1002&lt;&gt;""),0),0)),"")</f>
        <v>徐涛</v>
      </c>
      <c r="M114" s="19" t="str">
        <f>IFERROR(INDEX(原始数据!$N$3:$N$1002,MATCH(1,INDEX((原始数据!$D$3:$D$1002="HT20250607")*(原始数据!$N$3:$N$1002&lt;&gt;""),0),0)),"")</f>
        <v>1年以内</v>
      </c>
      <c r="N114" s="19" t="inlineStr"/>
    </row>
    <row r="115">
      <c r="A115" s="13">
        <f>ROW()-2</f>
        <v>113</v>
      </c>
      <c r="B115" s="14" t="str">
        <f>IFERROR(INDEX(原始数据!$B$3:$B$1002,MATCH(1,INDEX((原始数据!$D$3:$D$1002="HT20250608")*(原始数据!$B$3:$B$1002&lt;&gt;""),0),0)),"")</f>
        <v>东北-黑龙江</v>
      </c>
      <c r="C115" s="14" t="str">
        <f>IFERROR(INDEX(原始数据!$C$3:$C$1002,MATCH(1,INDEX((原始数据!$D$3:$D$1002="HT20250608")*(原始数据!$C$3:$C$1002&lt;&gt;""),0),0)),"")</f>
        <v>监察司法机关</v>
      </c>
      <c r="D115" s="15" t="inlineStr">
        <is>
          <t>HT20250608</t>
        </is>
      </c>
      <c r="E115" s="16">
        <f>IFERROR(INDEX(原始数据!$E$3:$E$1002,MATCH(1,INDEX((原始数据!$D$3:$D$1002="HT20250608")*(原始数据!$E$3:$E$1002&lt;&gt;""),0),0)),"")</f>
        <v>20260131</v>
      </c>
      <c r="F115" s="17">
        <f>SUMIFS(原始数据!$F$3:$F$1002,原始数据!$D$3:$D$1002,"HT20250608")</f>
        <v>2320.264</v>
      </c>
      <c r="G115" s="17">
        <f>SUMIFS(原始数据!$H$3:$H$1002,原始数据!$D$3:$D$1002,"HT20250608")</f>
        <v>1232.878</v>
      </c>
      <c r="H115" s="17">
        <f>SUMIFS(原始数据!$I$3:$I$1002,原始数据!$D$3:$D$1002,"HT20250608")</f>
        <v>1087.386</v>
      </c>
      <c r="I115" s="17">
        <f>SUMIFS(原始数据!$J$3:$J$1002,原始数据!$D$3:$D$1002,"HT20250608")</f>
        <v>393.914</v>
      </c>
      <c r="J115" s="17">
        <f>SUMIFS(原始数据!$K$3:$K$1002,原始数据!$D$3:$D$1002,"HT20250608")</f>
        <v>693.472</v>
      </c>
      <c r="K115" s="14" t="str">
        <f>IFERROR(INDEX(原始数据!$L$3:$L$1002,MATCH(1,INDEX((原始数据!$D$3:$D$1002="HT20250608")*(原始数据!$L$3:$L$1002&lt;&gt;""),0),0)),"")</f>
        <v>九部</v>
      </c>
      <c r="L115" s="15" t="str">
        <f>IFERROR(INDEX(原始数据!$M$3:$M$1002,MATCH(1,INDEX((原始数据!$D$3:$D$1002="HT20250608")*(原始数据!$M$3:$M$1002&lt;&gt;""),0),0)),"")</f>
        <v>丁磊</v>
      </c>
      <c r="M115" s="14" t="str">
        <f>IFERROR(INDEX(原始数据!$N$3:$N$1002,MATCH(1,INDEX((原始数据!$D$3:$D$1002="HT20250608")*(原始数据!$N$3:$N$1002&lt;&gt;""),0),0)),"")</f>
        <v>2-3年</v>
      </c>
      <c r="N115" s="14" t="inlineStr"/>
    </row>
    <row r="116">
      <c r="A116" s="18">
        <f>ROW()-2</f>
        <v>114</v>
      </c>
      <c r="B116" s="19" t="str">
        <f>IFERROR(INDEX(原始数据!$B$3:$B$1002,MATCH(1,INDEX((原始数据!$D$3:$D$1002="HT20250609")*(原始数据!$B$3:$B$1002&lt;&gt;""),0),0)),"")</f>
        <v>华东-上海</v>
      </c>
      <c r="C116" s="19" t="str">
        <f>IFERROR(INDEX(原始数据!$C$3:$C$1002,MATCH(1,INDEX((原始数据!$D$3:$D$1002="HT20250609")*(原始数据!$C$3:$C$1002&lt;&gt;""),0),0)),"")</f>
        <v>监察司法机关</v>
      </c>
      <c r="D116" s="20" t="inlineStr">
        <is>
          <t>HT20250609</t>
        </is>
      </c>
      <c r="E116" s="21">
        <f>IFERROR(INDEX(原始数据!$E$3:$E$1002,MATCH(1,INDEX((原始数据!$D$3:$D$1002="HT20250609")*(原始数据!$E$3:$E$1002&lt;&gt;""),0),0)),"")</f>
        <v>20260403</v>
      </c>
      <c r="F116" s="22">
        <f>SUMIFS(原始数据!$F$3:$F$1002,原始数据!$D$3:$D$1002,"HT20250609")</f>
        <v>2254.5070000000005</v>
      </c>
      <c r="G116" s="22">
        <f>SUMIFS(原始数据!$H$3:$H$1002,原始数据!$D$3:$D$1002,"HT20250609")</f>
        <v>1025.213</v>
      </c>
      <c r="H116" s="22">
        <f>SUMIFS(原始数据!$I$3:$I$1002,原始数据!$D$3:$D$1002,"HT20250609")</f>
        <v>1229.294</v>
      </c>
      <c r="I116" s="22">
        <f>SUMIFS(原始数据!$J$3:$J$1002,原始数据!$D$3:$D$1002,"HT20250609")</f>
        <v>457.572</v>
      </c>
      <c r="J116" s="22">
        <f>SUMIFS(原始数据!$K$3:$K$1002,原始数据!$D$3:$D$1002,"HT20250609")</f>
        <v>771.722</v>
      </c>
      <c r="K116" s="19" t="str">
        <f>IFERROR(INDEX(原始数据!$L$3:$L$1002,MATCH(1,INDEX((原始数据!$D$3:$D$1002="HT20250609")*(原始数据!$L$3:$L$1002&lt;&gt;""),0),0)),"")</f>
        <v>三部</v>
      </c>
      <c r="L116" s="20" t="str">
        <f>IFERROR(INDEX(原始数据!$M$3:$M$1002,MATCH(1,INDEX((原始数据!$D$3:$D$1002="HT20250609")*(原始数据!$M$3:$M$1002&lt;&gt;""),0),0)),"")</f>
        <v>胡蓉</v>
      </c>
      <c r="M116" s="19" t="str">
        <f>IFERROR(INDEX(原始数据!$N$3:$N$1002,MATCH(1,INDEX((原始数据!$D$3:$D$1002="HT20250609")*(原始数据!$N$3:$N$1002&lt;&gt;""),0),0)),"")</f>
        <v>1年以内</v>
      </c>
      <c r="N116" s="19" t="inlineStr"/>
    </row>
    <row r="117">
      <c r="A117" s="13">
        <f>ROW()-2</f>
        <v>115</v>
      </c>
      <c r="B117" s="14" t="str">
        <f>IFERROR(INDEX(原始数据!$B$3:$B$1002,MATCH(1,INDEX((原始数据!$D$3:$D$1002="HT20250610")*(原始数据!$B$3:$B$1002&lt;&gt;""),0),0)),"")</f>
        <v>东北-黑龙江</v>
      </c>
      <c r="C117" s="14" t="str">
        <f>IFERROR(INDEX(原始数据!$C$3:$C$1002,MATCH(1,INDEX((原始数据!$D$3:$D$1002="HT20250610")*(原始数据!$C$3:$C$1002&lt;&gt;""),0),0)),"")</f>
        <v>群团组织</v>
      </c>
      <c r="D117" s="15" t="inlineStr">
        <is>
          <t>HT20250610</t>
        </is>
      </c>
      <c r="E117" s="16">
        <f>IFERROR(INDEX(原始数据!$E$3:$E$1002,MATCH(1,INDEX((原始数据!$D$3:$D$1002="HT20250610")*(原始数据!$E$3:$E$1002&lt;&gt;""),0),0)),"")</f>
        <v>20260616</v>
      </c>
      <c r="F117" s="17">
        <f>SUMIFS(原始数据!$F$3:$F$1002,原始数据!$D$3:$D$1002,"HT20250610")</f>
        <v>974.659</v>
      </c>
      <c r="G117" s="17">
        <f>SUMIFS(原始数据!$H$3:$H$1002,原始数据!$D$3:$D$1002,"HT20250610")</f>
        <v>427.027</v>
      </c>
      <c r="H117" s="17">
        <f>SUMIFS(原始数据!$I$3:$I$1002,原始数据!$D$3:$D$1002,"HT20250610")</f>
        <v>547.6320000000001</v>
      </c>
      <c r="I117" s="17">
        <f>SUMIFS(原始数据!$J$3:$J$1002,原始数据!$D$3:$D$1002,"HT20250610")</f>
        <v>121.339</v>
      </c>
      <c r="J117" s="17">
        <f>SUMIFS(原始数据!$K$3:$K$1002,原始数据!$D$3:$D$1002,"HT20250610")</f>
        <v>426.293</v>
      </c>
      <c r="K117" s="14" t="str">
        <f>IFERROR(INDEX(原始数据!$L$3:$L$1002,MATCH(1,INDEX((原始数据!$D$3:$D$1002="HT20250610")*(原始数据!$L$3:$L$1002&lt;&gt;""),0),0)),"")</f>
        <v>十部</v>
      </c>
      <c r="L117" s="15" t="str">
        <f>IFERROR(INDEX(原始数据!$M$3:$M$1002,MATCH(1,INDEX((原始数据!$D$3:$D$1002="HT20250610")*(原始数据!$M$3:$M$1002&lt;&gt;""),0),0)),"")</f>
        <v>雷声</v>
      </c>
      <c r="M117" s="14" t="str">
        <f>IFERROR(INDEX(原始数据!$N$3:$N$1002,MATCH(1,INDEX((原始数据!$D$3:$D$1002="HT20250610")*(原始数据!$N$3:$N$1002&lt;&gt;""),0),0)),"")</f>
        <v>1年以内</v>
      </c>
      <c r="N117" s="14" t="inlineStr"/>
    </row>
    <row r="118">
      <c r="A118" s="18">
        <f>ROW()-2</f>
        <v>116</v>
      </c>
      <c r="B118" s="19" t="str">
        <f>IFERROR(INDEX(原始数据!$B$3:$B$1002,MATCH(1,INDEX((原始数据!$D$3:$D$1002="HT20250612")*(原始数据!$B$3:$B$1002&lt;&gt;""),0),0)),"")</f>
        <v>华北-山西</v>
      </c>
      <c r="C118" s="19" t="str">
        <f>IFERROR(INDEX(原始数据!$C$3:$C$1002,MATCH(1,INDEX((原始数据!$D$3:$D$1002="HT20250612")*(原始数据!$C$3:$C$1002&lt;&gt;""),0),0)),"")</f>
        <v>党委机关</v>
      </c>
      <c r="D118" s="20" t="inlineStr">
        <is>
          <t>HT20250612</t>
        </is>
      </c>
      <c r="E118" s="21">
        <f>IFERROR(INDEX(原始数据!$E$3:$E$1002,MATCH(1,INDEX((原始数据!$D$3:$D$1002="HT20250612")*(原始数据!$E$3:$E$1002&lt;&gt;""),0),0)),"")</f>
        <v>20260109</v>
      </c>
      <c r="F118" s="22">
        <f>SUMIFS(原始数据!$F$3:$F$1002,原始数据!$D$3:$D$1002,"HT20250612")</f>
        <v>798.84</v>
      </c>
      <c r="G118" s="22">
        <f>SUMIFS(原始数据!$H$3:$H$1002,原始数据!$D$3:$D$1002,"HT20250612")</f>
        <v>20.163</v>
      </c>
      <c r="H118" s="22">
        <f>SUMIFS(原始数据!$I$3:$I$1002,原始数据!$D$3:$D$1002,"HT20250612")</f>
        <v>778.677</v>
      </c>
      <c r="I118" s="22">
        <f>SUMIFS(原始数据!$J$3:$J$1002,原始数据!$D$3:$D$1002,"HT20250612")</f>
        <v>264.269</v>
      </c>
      <c r="J118" s="22">
        <f>SUMIFS(原始数据!$K$3:$K$1002,原始数据!$D$3:$D$1002,"HT20250612")</f>
        <v>514.408</v>
      </c>
      <c r="K118" s="19" t="str">
        <f>IFERROR(INDEX(原始数据!$L$3:$L$1002,MATCH(1,INDEX((原始数据!$D$3:$D$1002="HT20250612")*(原始数据!$L$3:$L$1002&lt;&gt;""),0),0)),"")</f>
        <v>七部</v>
      </c>
      <c r="L118" s="20" t="str">
        <f>IFERROR(INDEX(原始数据!$M$3:$M$1002,MATCH(1,INDEX((原始数据!$D$3:$D$1002="HT20250612")*(原始数据!$M$3:$M$1002&lt;&gt;""),0),0)),"")</f>
        <v>许涛</v>
      </c>
      <c r="M118" s="19" t="str">
        <f>IFERROR(INDEX(原始数据!$N$3:$N$1002,MATCH(1,INDEX((原始数据!$D$3:$D$1002="HT20250612")*(原始数据!$N$3:$N$1002&lt;&gt;""),0),0)),"")</f>
        <v>1-2年</v>
      </c>
      <c r="N118" s="19" t="inlineStr"/>
    </row>
    <row r="119">
      <c r="A119" s="13">
        <f>ROW()-2</f>
        <v>117</v>
      </c>
      <c r="B119" s="14" t="str">
        <f>IFERROR(INDEX(原始数据!$B$3:$B$1002,MATCH(1,INDEX((原始数据!$D$3:$D$1002="HT20250613")*(原始数据!$B$3:$B$1002&lt;&gt;""),0),0)),"")</f>
        <v>华南-广西</v>
      </c>
      <c r="C119" s="14" t="str">
        <f>IFERROR(INDEX(原始数据!$C$3:$C$1002,MATCH(1,INDEX((原始数据!$D$3:$D$1002="HT20250613")*(原始数据!$C$3:$C$1002&lt;&gt;""),0),0)),"")</f>
        <v>事业单位</v>
      </c>
      <c r="D119" s="15" t="inlineStr">
        <is>
          <t>HT20250613</t>
        </is>
      </c>
      <c r="E119" s="16">
        <f>IFERROR(INDEX(原始数据!$E$3:$E$1002,MATCH(1,INDEX((原始数据!$D$3:$D$1002="HT20250613")*(原始数据!$E$3:$E$1002&lt;&gt;""),0),0)),"")</f>
        <v>20260715</v>
      </c>
      <c r="F119" s="17">
        <f>SUMIFS(原始数据!$F$3:$F$1002,原始数据!$D$3:$D$1002,"HT20250613")</f>
        <v>469.291</v>
      </c>
      <c r="G119" s="17">
        <f>SUMIFS(原始数据!$H$3:$H$1002,原始数据!$D$3:$D$1002,"HT20250613")</f>
        <v>165.988</v>
      </c>
      <c r="H119" s="17">
        <f>SUMIFS(原始数据!$I$3:$I$1002,原始数据!$D$3:$D$1002,"HT20250613")</f>
        <v>303.303</v>
      </c>
      <c r="I119" s="17">
        <f>SUMIFS(原始数据!$J$3:$J$1002,原始数据!$D$3:$D$1002,"HT20250613")</f>
        <v>58.057</v>
      </c>
      <c r="J119" s="17">
        <f>SUMIFS(原始数据!$K$3:$K$1002,原始数据!$D$3:$D$1002,"HT20250613")</f>
        <v>245.246</v>
      </c>
      <c r="K119" s="14" t="str">
        <f>IFERROR(INDEX(原始数据!$L$3:$L$1002,MATCH(1,INDEX((原始数据!$D$3:$D$1002="HT20250613")*(原始数据!$L$3:$L$1002&lt;&gt;""),0),0)),"")</f>
        <v>四部</v>
      </c>
      <c r="L119" s="15" t="str">
        <f>IFERROR(INDEX(原始数据!$M$3:$M$1002,MATCH(1,INDEX((原始数据!$D$3:$D$1002="HT20250613")*(原始数据!$M$3:$M$1002&lt;&gt;""),0),0)),"")</f>
        <v>郭鹏</v>
      </c>
      <c r="M119" s="14" t="str">
        <f>IFERROR(INDEX(原始数据!$N$3:$N$1002,MATCH(1,INDEX((原始数据!$D$3:$D$1002="HT20250613")*(原始数据!$N$3:$N$1002&lt;&gt;""),0),0)),"")</f>
        <v>2-3年</v>
      </c>
      <c r="N119" s="14" t="inlineStr"/>
    </row>
    <row r="120">
      <c r="A120" s="18">
        <f>ROW()-2</f>
        <v>118</v>
      </c>
      <c r="B120" s="19" t="str">
        <f>IFERROR(INDEX(原始数据!$B$3:$B$1002,MATCH(1,INDEX((原始数据!$D$3:$D$1002="HT20250614")*(原始数据!$B$3:$B$1002&lt;&gt;""),0),0)),"")</f>
        <v>东北-黑龙江</v>
      </c>
      <c r="C120" s="19" t="str">
        <f>IFERROR(INDEX(原始数据!$C$3:$C$1002,MATCH(1,INDEX((原始数据!$D$3:$D$1002="HT20250614")*(原始数据!$C$3:$C$1002&lt;&gt;""),0),0)),"")</f>
        <v>群团组织</v>
      </c>
      <c r="D120" s="20" t="inlineStr">
        <is>
          <t>HT20250614</t>
        </is>
      </c>
      <c r="E120" s="21">
        <f>IFERROR(INDEX(原始数据!$E$3:$E$1002,MATCH(1,INDEX((原始数据!$D$3:$D$1002="HT20250614")*(原始数据!$E$3:$E$1002&lt;&gt;""),0),0)),"")</f>
        <v>20260507</v>
      </c>
      <c r="F120" s="22">
        <f>SUMIFS(原始数据!$F$3:$F$1002,原始数据!$D$3:$D$1002,"HT20250614")</f>
        <v>1991.838</v>
      </c>
      <c r="G120" s="22">
        <f>SUMIFS(原始数据!$H$3:$H$1002,原始数据!$D$3:$D$1002,"HT20250614")</f>
        <v>1224.0929999999998</v>
      </c>
      <c r="H120" s="22">
        <f>SUMIFS(原始数据!$I$3:$I$1002,原始数据!$D$3:$D$1002,"HT20250614")</f>
        <v>767.7450000000001</v>
      </c>
      <c r="I120" s="22">
        <f>SUMIFS(原始数据!$J$3:$J$1002,原始数据!$D$3:$D$1002,"HT20250614")</f>
        <v>467.80699999999996</v>
      </c>
      <c r="J120" s="22">
        <f>SUMIFS(原始数据!$K$3:$K$1002,原始数据!$D$3:$D$1002,"HT20250614")</f>
        <v>299.938</v>
      </c>
      <c r="K120" s="19" t="str">
        <f>IFERROR(INDEX(原始数据!$L$3:$L$1002,MATCH(1,INDEX((原始数据!$D$3:$D$1002="HT20250614")*(原始数据!$L$3:$L$1002&lt;&gt;""),0),0)),"")</f>
        <v>十部</v>
      </c>
      <c r="L120" s="20" t="str">
        <f>IFERROR(INDEX(原始数据!$M$3:$M$1002,MATCH(1,INDEX((原始数据!$D$3:$D$1002="HT20250614")*(原始数据!$M$3:$M$1002&lt;&gt;""),0),0)),"")</f>
        <v>段勇</v>
      </c>
      <c r="M120" s="19" t="str">
        <f>IFERROR(INDEX(原始数据!$N$3:$N$1002,MATCH(1,INDEX((原始数据!$D$3:$D$1002="HT20250614")*(原始数据!$N$3:$N$1002&lt;&gt;""),0),0)),"")</f>
        <v>1-2年</v>
      </c>
      <c r="N120" s="19" t="inlineStr"/>
    </row>
    <row r="121">
      <c r="A121" s="13">
        <f>ROW()-2</f>
        <v>119</v>
      </c>
      <c r="B121" s="14" t="str">
        <f>IFERROR(INDEX(原始数据!$B$3:$B$1002,MATCH(1,INDEX((原始数据!$D$3:$D$1002="HT20250617")*(原始数据!$B$3:$B$1002&lt;&gt;""),0),0)),"")</f>
        <v>西南-四川</v>
      </c>
      <c r="C121" s="14" t="str">
        <f>IFERROR(INDEX(原始数据!$C$3:$C$1002,MATCH(1,INDEX((原始数据!$D$3:$D$1002="HT20250617")*(原始数据!$C$3:$C$1002&lt;&gt;""),0),0)),"")</f>
        <v>基层自治组织</v>
      </c>
      <c r="D121" s="15" t="inlineStr">
        <is>
          <t>HT20250617</t>
        </is>
      </c>
      <c r="E121" s="16">
        <f>IFERROR(INDEX(原始数据!$E$3:$E$1002,MATCH(1,INDEX((原始数据!$D$3:$D$1002="HT20250617")*(原始数据!$E$3:$E$1002&lt;&gt;""),0),0)),"")</f>
        <v>20251007</v>
      </c>
      <c r="F121" s="17">
        <f>SUMIFS(原始数据!$F$3:$F$1002,原始数据!$D$3:$D$1002,"HT20250617")</f>
        <v>714.851</v>
      </c>
      <c r="G121" s="17">
        <f>SUMIFS(原始数据!$H$3:$H$1002,原始数据!$D$3:$D$1002,"HT20250617")</f>
        <v>288.491</v>
      </c>
      <c r="H121" s="17">
        <f>SUMIFS(原始数据!$I$3:$I$1002,原始数据!$D$3:$D$1002,"HT20250617")</f>
        <v>426.36</v>
      </c>
      <c r="I121" s="17">
        <f>SUMIFS(原始数据!$J$3:$J$1002,原始数据!$D$3:$D$1002,"HT20250617")</f>
        <v>83.067</v>
      </c>
      <c r="J121" s="17">
        <f>SUMIFS(原始数据!$K$3:$K$1002,原始数据!$D$3:$D$1002,"HT20250617")</f>
        <v>343.293</v>
      </c>
      <c r="K121" s="14" t="str">
        <f>IFERROR(INDEX(原始数据!$L$3:$L$1002,MATCH(1,INDEX((原始数据!$D$3:$D$1002="HT20250617")*(原始数据!$L$3:$L$1002&lt;&gt;""),0),0)),"")</f>
        <v>二部</v>
      </c>
      <c r="L121" s="15" t="str">
        <f>IFERROR(INDEX(原始数据!$M$3:$M$1002,MATCH(1,INDEX((原始数据!$D$3:$D$1002="HT20250617")*(原始数据!$M$3:$M$1002&lt;&gt;""),0),0)),"")</f>
        <v>赵敏</v>
      </c>
      <c r="M121" s="14" t="str">
        <f>IFERROR(INDEX(原始数据!$N$3:$N$1002,MATCH(1,INDEX((原始数据!$D$3:$D$1002="HT20250617")*(原始数据!$N$3:$N$1002&lt;&gt;""),0),0)),"")</f>
        <v>1年以内</v>
      </c>
      <c r="N121" s="14" t="inlineStr"/>
    </row>
    <row r="122">
      <c r="A122" s="18">
        <f>ROW()-2</f>
        <v>120</v>
      </c>
      <c r="B122" s="19" t="str">
        <f>IFERROR(INDEX(原始数据!$B$3:$B$1002,MATCH(1,INDEX((原始数据!$D$3:$D$1002="HT20250619")*(原始数据!$B$3:$B$1002&lt;&gt;""),0),0)),"")</f>
        <v>华北-河北</v>
      </c>
      <c r="C122" s="19" t="str">
        <f>IFERROR(INDEX(原始数据!$C$3:$C$1002,MATCH(1,INDEX((原始数据!$D$3:$D$1002="HT20250619")*(原始数据!$C$3:$C$1002&lt;&gt;""),0),0)),"")</f>
        <v>政府机关</v>
      </c>
      <c r="D122" s="20" t="inlineStr">
        <is>
          <t>HT20250619</t>
        </is>
      </c>
      <c r="E122" s="21">
        <f>IFERROR(INDEX(原始数据!$E$3:$E$1002,MATCH(1,INDEX((原始数据!$D$3:$D$1002="HT20250619")*(原始数据!$E$3:$E$1002&lt;&gt;""),0),0)),"")</f>
        <v>20260326</v>
      </c>
      <c r="F122" s="22">
        <f>SUMIFS(原始数据!$F$3:$F$1002,原始数据!$D$3:$D$1002,"HT20250619")</f>
        <v>1286.3339999999998</v>
      </c>
      <c r="G122" s="22">
        <f>SUMIFS(原始数据!$H$3:$H$1002,原始数据!$D$3:$D$1002,"HT20250619")</f>
        <v>878.4369999999999</v>
      </c>
      <c r="H122" s="22">
        <f>SUMIFS(原始数据!$I$3:$I$1002,原始数据!$D$3:$D$1002,"HT20250619")</f>
        <v>407.897</v>
      </c>
      <c r="I122" s="22">
        <f>SUMIFS(原始数据!$J$3:$J$1002,原始数据!$D$3:$D$1002,"HT20250619")</f>
        <v>19.874</v>
      </c>
      <c r="J122" s="22">
        <f>SUMIFS(原始数据!$K$3:$K$1002,原始数据!$D$3:$D$1002,"HT20250619")</f>
        <v>388.02299999999997</v>
      </c>
      <c r="K122" s="19" t="str">
        <f>IFERROR(INDEX(原始数据!$L$3:$L$1002,MATCH(1,INDEX((原始数据!$D$3:$D$1002="HT20250619")*(原始数据!$L$3:$L$1002&lt;&gt;""),0),0)),"")</f>
        <v>八部</v>
      </c>
      <c r="L122" s="20" t="str">
        <f>IFERROR(INDEX(原始数据!$M$3:$M$1002,MATCH(1,INDEX((原始数据!$D$3:$D$1002="HT20250619")*(原始数据!$M$3:$M$1002&lt;&gt;""),0),0)),"")</f>
        <v>卢俊</v>
      </c>
      <c r="M122" s="19" t="str">
        <f>IFERROR(INDEX(原始数据!$N$3:$N$1002,MATCH(1,INDEX((原始数据!$D$3:$D$1002="HT20250619")*(原始数据!$N$3:$N$1002&lt;&gt;""),0),0)),"")</f>
        <v>1年以内</v>
      </c>
      <c r="N122" s="19" t="inlineStr"/>
    </row>
    <row r="123">
      <c r="A123" s="13">
        <f>ROW()-2</f>
        <v>121</v>
      </c>
      <c r="B123" s="14" t="str">
        <f>IFERROR(INDEX(原始数据!$B$3:$B$1002,MATCH(1,INDEX((原始数据!$D$3:$D$1002="HT20250620")*(原始数据!$B$3:$B$1002&lt;&gt;""),0),0)),"")</f>
        <v>西南-云南</v>
      </c>
      <c r="C123" s="14" t="str">
        <f>IFERROR(INDEX(原始数据!$C$3:$C$1002,MATCH(1,INDEX((原始数据!$D$3:$D$1002="HT20250620")*(原始数据!$C$3:$C$1002&lt;&gt;""),0),0)),"")</f>
        <v>国有企业</v>
      </c>
      <c r="D123" s="15" t="inlineStr">
        <is>
          <t>HT20250620</t>
        </is>
      </c>
      <c r="E123" s="16">
        <f>IFERROR(INDEX(原始数据!$E$3:$E$1002,MATCH(1,INDEX((原始数据!$D$3:$D$1002="HT20250620")*(原始数据!$E$3:$E$1002&lt;&gt;""),0),0)),"")</f>
        <v>20260723</v>
      </c>
      <c r="F123" s="17">
        <f>SUMIFS(原始数据!$F$3:$F$1002,原始数据!$D$3:$D$1002,"HT20250620")</f>
        <v>611.278</v>
      </c>
      <c r="G123" s="17">
        <f>SUMIFS(原始数据!$H$3:$H$1002,原始数据!$D$3:$D$1002,"HT20250620")</f>
        <v>210.992</v>
      </c>
      <c r="H123" s="17">
        <f>SUMIFS(原始数据!$I$3:$I$1002,原始数据!$D$3:$D$1002,"HT20250620")</f>
        <v>400.286</v>
      </c>
      <c r="I123" s="17">
        <f>SUMIFS(原始数据!$J$3:$J$1002,原始数据!$D$3:$D$1002,"HT20250620")</f>
        <v>193.248</v>
      </c>
      <c r="J123" s="17">
        <f>SUMIFS(原始数据!$K$3:$K$1002,原始数据!$D$3:$D$1002,"HT20250620")</f>
        <v>207.038</v>
      </c>
      <c r="K123" s="14" t="str">
        <f>IFERROR(INDEX(原始数据!$L$3:$L$1002,MATCH(1,INDEX((原始数据!$D$3:$D$1002="HT20250620")*(原始数据!$L$3:$L$1002&lt;&gt;""),0),0)),"")</f>
        <v>八部</v>
      </c>
      <c r="L123" s="15" t="str">
        <f>IFERROR(INDEX(原始数据!$M$3:$M$1002,MATCH(1,INDEX((原始数据!$D$3:$D$1002="HT20250620")*(原始数据!$M$3:$M$1002&lt;&gt;""),0),0)),"")</f>
        <v>彭燕</v>
      </c>
      <c r="M123" s="14" t="str">
        <f>IFERROR(INDEX(原始数据!$N$3:$N$1002,MATCH(1,INDEX((原始数据!$D$3:$D$1002="HT20250620")*(原始数据!$N$3:$N$1002&lt;&gt;""),0),0)),"")</f>
        <v>1年以内</v>
      </c>
      <c r="N123" s="14" t="inlineStr"/>
    </row>
    <row r="124">
      <c r="A124" s="18">
        <f>ROW()-2</f>
        <v>122</v>
      </c>
      <c r="B124" s="19" t="str">
        <f>IFERROR(INDEX(原始数据!$B$3:$B$1002,MATCH(1,INDEX((原始数据!$D$3:$D$1002="HT20250622")*(原始数据!$B$3:$B$1002&lt;&gt;""),0),0)),"")</f>
        <v>西南-云南</v>
      </c>
      <c r="C124" s="19" t="str">
        <f>IFERROR(INDEX(原始数据!$C$3:$C$1002,MATCH(1,INDEX((原始数据!$D$3:$D$1002="HT20250622")*(原始数据!$C$3:$C$1002&lt;&gt;""),0),0)),"")</f>
        <v>国有企业</v>
      </c>
      <c r="D124" s="20" t="inlineStr">
        <is>
          <t>HT20250622</t>
        </is>
      </c>
      <c r="E124" s="21">
        <f>IFERROR(INDEX(原始数据!$E$3:$E$1002,MATCH(1,INDEX((原始数据!$D$3:$D$1002="HT20250622")*(原始数据!$E$3:$E$1002&lt;&gt;""),0),0)),"")</f>
        <v>20260811</v>
      </c>
      <c r="F124" s="22">
        <f>SUMIFS(原始数据!$F$3:$F$1002,原始数据!$D$3:$D$1002,"HT20250622")</f>
        <v>920.217</v>
      </c>
      <c r="G124" s="22">
        <f>SUMIFS(原始数据!$H$3:$H$1002,原始数据!$D$3:$D$1002,"HT20250622")</f>
        <v>183.538</v>
      </c>
      <c r="H124" s="22">
        <f>SUMIFS(原始数据!$I$3:$I$1002,原始数据!$D$3:$D$1002,"HT20250622")</f>
        <v>736.679</v>
      </c>
      <c r="I124" s="22">
        <f>SUMIFS(原始数据!$J$3:$J$1002,原始数据!$D$3:$D$1002,"HT20250622")</f>
        <v>217.373</v>
      </c>
      <c r="J124" s="22">
        <f>SUMIFS(原始数据!$K$3:$K$1002,原始数据!$D$3:$D$1002,"HT20250622")</f>
        <v>519.306</v>
      </c>
      <c r="K124" s="19" t="str">
        <f>IFERROR(INDEX(原始数据!$L$3:$L$1002,MATCH(1,INDEX((原始数据!$D$3:$D$1002="HT20250622")*(原始数据!$L$3:$L$1002&lt;&gt;""),0),0)),"")</f>
        <v>一部</v>
      </c>
      <c r="L124" s="20" t="str">
        <f>IFERROR(INDEX(原始数据!$M$3:$M$1002,MATCH(1,INDEX((原始数据!$D$3:$D$1002="HT20250622")*(原始数据!$M$3:$M$1002&lt;&gt;""),0),0)),"")</f>
        <v>刘洋</v>
      </c>
      <c r="M124" s="19" t="str">
        <f>IFERROR(INDEX(原始数据!$N$3:$N$1002,MATCH(1,INDEX((原始数据!$D$3:$D$1002="HT20250622")*(原始数据!$N$3:$N$1002&lt;&gt;""),0),0)),"")</f>
        <v>2-3年</v>
      </c>
      <c r="N124" s="19" t="inlineStr"/>
    </row>
    <row r="125">
      <c r="A125" s="13">
        <f>ROW()-2</f>
        <v>123</v>
      </c>
      <c r="B125" s="14" t="str">
        <f>IFERROR(INDEX(原始数据!$B$3:$B$1002,MATCH(1,INDEX((原始数据!$D$3:$D$1002="HT20250623")*(原始数据!$B$3:$B$1002&lt;&gt;""),0),0)),"")</f>
        <v>华南-香港</v>
      </c>
      <c r="C125" s="14" t="str">
        <f>IFERROR(INDEX(原始数据!$C$3:$C$1002,MATCH(1,INDEX((原始数据!$D$3:$D$1002="HT20250623")*(原始数据!$C$3:$C$1002&lt;&gt;""),0),0)),"")</f>
        <v>基层自治组织</v>
      </c>
      <c r="D125" s="15" t="inlineStr">
        <is>
          <t>HT20250623</t>
        </is>
      </c>
      <c r="E125" s="16">
        <f>IFERROR(INDEX(原始数据!$E$3:$E$1002,MATCH(1,INDEX((原始数据!$D$3:$D$1002="HT20250623")*(原始数据!$E$3:$E$1002&lt;&gt;""),0),0)),"")</f>
        <v>20260706</v>
      </c>
      <c r="F125" s="17">
        <f>SUMIFS(原始数据!$F$3:$F$1002,原始数据!$D$3:$D$1002,"HT20250623")</f>
        <v>444.646</v>
      </c>
      <c r="G125" s="17">
        <f>SUMIFS(原始数据!$H$3:$H$1002,原始数据!$D$3:$D$1002,"HT20250623")</f>
        <v>383.452</v>
      </c>
      <c r="H125" s="17">
        <f>SUMIFS(原始数据!$I$3:$I$1002,原始数据!$D$3:$D$1002,"HT20250623")</f>
        <v>61.194</v>
      </c>
      <c r="I125" s="17">
        <f>SUMIFS(原始数据!$J$3:$J$1002,原始数据!$D$3:$D$1002,"HT20250623")</f>
        <v>56.871</v>
      </c>
      <c r="J125" s="17">
        <f>SUMIFS(原始数据!$K$3:$K$1002,原始数据!$D$3:$D$1002,"HT20250623")</f>
        <v>4.323</v>
      </c>
      <c r="K125" s="14" t="str">
        <f>IFERROR(INDEX(原始数据!$L$3:$L$1002,MATCH(1,INDEX((原始数据!$D$3:$D$1002="HT20250623")*(原始数据!$L$3:$L$1002&lt;&gt;""),0),0)),"")</f>
        <v>九部</v>
      </c>
      <c r="L125" s="15" t="str">
        <f>IFERROR(INDEX(原始数据!$M$3:$M$1002,MATCH(1,INDEX((原始数据!$D$3:$D$1002="HT20250623")*(原始数据!$M$3:$M$1002&lt;&gt;""),0),0)),"")</f>
        <v>蒋涛</v>
      </c>
      <c r="M125" s="14" t="str">
        <f>IFERROR(INDEX(原始数据!$N$3:$N$1002,MATCH(1,INDEX((原始数据!$D$3:$D$1002="HT20250623")*(原始数据!$N$3:$N$1002&lt;&gt;""),0),0)),"")</f>
        <v>1-2年</v>
      </c>
      <c r="N125" s="14" t="inlineStr"/>
    </row>
    <row r="126">
      <c r="A126" s="18">
        <f>ROW()-2</f>
        <v>124</v>
      </c>
      <c r="B126" s="19" t="str">
        <f>IFERROR(INDEX(原始数据!$B$3:$B$1002,MATCH(1,INDEX((原始数据!$D$3:$D$1002="HT20250624")*(原始数据!$B$3:$B$1002&lt;&gt;""),0),0)),"")</f>
        <v>东北-辽宁</v>
      </c>
      <c r="C126" s="19" t="str">
        <f>IFERROR(INDEX(原始数据!$C$3:$C$1002,MATCH(1,INDEX((原始数据!$D$3:$D$1002="HT20250624")*(原始数据!$C$3:$C$1002&lt;&gt;""),0),0)),"")</f>
        <v>人大政协</v>
      </c>
      <c r="D126" s="20" t="inlineStr">
        <is>
          <t>HT20250624</t>
        </is>
      </c>
      <c r="E126" s="21">
        <f>IFERROR(INDEX(原始数据!$E$3:$E$1002,MATCH(1,INDEX((原始数据!$D$3:$D$1002="HT20250624")*(原始数据!$E$3:$E$1002&lt;&gt;""),0),0)),"")</f>
        <v>20260424</v>
      </c>
      <c r="F126" s="22">
        <f>SUMIFS(原始数据!$F$3:$F$1002,原始数据!$D$3:$D$1002,"HT20250624")</f>
        <v>356.372</v>
      </c>
      <c r="G126" s="22">
        <f>SUMIFS(原始数据!$H$3:$H$1002,原始数据!$D$3:$D$1002,"HT20250624")</f>
        <v>244.761</v>
      </c>
      <c r="H126" s="22">
        <f>SUMIFS(原始数据!$I$3:$I$1002,原始数据!$D$3:$D$1002,"HT20250624")</f>
        <v>111.611</v>
      </c>
      <c r="I126" s="22">
        <f>SUMIFS(原始数据!$J$3:$J$1002,原始数据!$D$3:$D$1002,"HT20250624")</f>
        <v>83.055</v>
      </c>
      <c r="J126" s="22">
        <f>SUMIFS(原始数据!$K$3:$K$1002,原始数据!$D$3:$D$1002,"HT20250624")</f>
        <v>28.556</v>
      </c>
      <c r="K126" s="19" t="str">
        <f>IFERROR(INDEX(原始数据!$L$3:$L$1002,MATCH(1,INDEX((原始数据!$D$3:$D$1002="HT20250624")*(原始数据!$L$3:$L$1002&lt;&gt;""),0),0)),"")</f>
        <v>三部</v>
      </c>
      <c r="L126" s="20" t="str">
        <f>IFERROR(INDEX(原始数据!$M$3:$M$1002,MATCH(1,INDEX((原始数据!$D$3:$D$1002="HT20250624")*(原始数据!$M$3:$M$1002&lt;&gt;""),0),0)),"")</f>
        <v>徐涛</v>
      </c>
      <c r="M126" s="19" t="str">
        <f>IFERROR(INDEX(原始数据!$N$3:$N$1002,MATCH(1,INDEX((原始数据!$D$3:$D$1002="HT20250624")*(原始数据!$N$3:$N$1002&lt;&gt;""),0),0)),"")</f>
        <v>1年以内</v>
      </c>
      <c r="N126" s="19" t="inlineStr"/>
    </row>
    <row r="127">
      <c r="A127" s="13">
        <f>ROW()-2</f>
        <v>125</v>
      </c>
      <c r="B127" s="14" t="str">
        <f>IFERROR(INDEX(原始数据!$B$3:$B$1002,MATCH(1,INDEX((原始数据!$D$3:$D$1002="HT20250625")*(原始数据!$B$3:$B$1002&lt;&gt;""),0),0)),"")</f>
        <v>西北-陕西</v>
      </c>
      <c r="C127" s="14" t="str">
        <f>IFERROR(INDEX(原始数据!$C$3:$C$1002,MATCH(1,INDEX((原始数据!$D$3:$D$1002="HT20250625")*(原始数据!$C$3:$C$1002&lt;&gt;""),0),0)),"")</f>
        <v>党委机关</v>
      </c>
      <c r="D127" s="15" t="inlineStr">
        <is>
          <t>HT20250625</t>
        </is>
      </c>
      <c r="E127" s="16">
        <f>IFERROR(INDEX(原始数据!$E$3:$E$1002,MATCH(1,INDEX((原始数据!$D$3:$D$1002="HT20250625")*(原始数据!$E$3:$E$1002&lt;&gt;""),0),0)),"")</f>
        <v>20251105</v>
      </c>
      <c r="F127" s="17">
        <f>SUMIFS(原始数据!$F$3:$F$1002,原始数据!$D$3:$D$1002,"HT20250625")</f>
        <v>774.7520000000001</v>
      </c>
      <c r="G127" s="17">
        <f>SUMIFS(原始数据!$H$3:$H$1002,原始数据!$D$3:$D$1002,"HT20250625")</f>
        <v>204.203</v>
      </c>
      <c r="H127" s="17">
        <f>SUMIFS(原始数据!$I$3:$I$1002,原始数据!$D$3:$D$1002,"HT20250625")</f>
        <v>570.549</v>
      </c>
      <c r="I127" s="17">
        <f>SUMIFS(原始数据!$J$3:$J$1002,原始数据!$D$3:$D$1002,"HT20250625")</f>
        <v>244.724</v>
      </c>
      <c r="J127" s="17">
        <f>SUMIFS(原始数据!$K$3:$K$1002,原始数据!$D$3:$D$1002,"HT20250625")</f>
        <v>325.825</v>
      </c>
      <c r="K127" s="14" t="str">
        <f>IFERROR(INDEX(原始数据!$L$3:$L$1002,MATCH(1,INDEX((原始数据!$D$3:$D$1002="HT20250625")*(原始数据!$L$3:$L$1002&lt;&gt;""),0),0)),"")</f>
        <v>七部</v>
      </c>
      <c r="L127" s="15" t="str">
        <f>IFERROR(INDEX(原始数据!$M$3:$M$1002,MATCH(1,INDEX((原始数据!$D$3:$D$1002="HT20250625")*(原始数据!$M$3:$M$1002&lt;&gt;""),0),0)),"")</f>
        <v>邓丽</v>
      </c>
      <c r="M127" s="14" t="str">
        <f>IFERROR(INDEX(原始数据!$N$3:$N$1002,MATCH(1,INDEX((原始数据!$D$3:$D$1002="HT20250625")*(原始数据!$N$3:$N$1002&lt;&gt;""),0),0)),"")</f>
        <v>1-2年</v>
      </c>
      <c r="N127" s="14" t="inlineStr"/>
    </row>
    <row r="128">
      <c r="A128" s="18">
        <f>ROW()-2</f>
        <v>126</v>
      </c>
      <c r="B128" s="19" t="str">
        <f>IFERROR(INDEX(原始数据!$B$3:$B$1002,MATCH(1,INDEX((原始数据!$D$3:$D$1002="HT20250626")*(原始数据!$B$3:$B$1002&lt;&gt;""),0),0)),"")</f>
        <v>西北-青海</v>
      </c>
      <c r="C128" s="19" t="str">
        <f>IFERROR(INDEX(原始数据!$C$3:$C$1002,MATCH(1,INDEX((原始数据!$D$3:$D$1002="HT20250626")*(原始数据!$C$3:$C$1002&lt;&gt;""),0),0)),"")</f>
        <v>事业单位</v>
      </c>
      <c r="D128" s="20" t="inlineStr">
        <is>
          <t>HT20250626</t>
        </is>
      </c>
      <c r="E128" s="21">
        <f>IFERROR(INDEX(原始数据!$E$3:$E$1002,MATCH(1,INDEX((原始数据!$D$3:$D$1002="HT20250626")*(原始数据!$E$3:$E$1002&lt;&gt;""),0),0)),"")</f>
        <v>20260216</v>
      </c>
      <c r="F128" s="22">
        <f>SUMIFS(原始数据!$F$3:$F$1002,原始数据!$D$3:$D$1002,"HT20250626")</f>
        <v>1217.469</v>
      </c>
      <c r="G128" s="22">
        <f>SUMIFS(原始数据!$H$3:$H$1002,原始数据!$D$3:$D$1002,"HT20250626")</f>
        <v>418.299</v>
      </c>
      <c r="H128" s="22">
        <f>SUMIFS(原始数据!$I$3:$I$1002,原始数据!$D$3:$D$1002,"HT20250626")</f>
        <v>799.1700000000001</v>
      </c>
      <c r="I128" s="22">
        <f>SUMIFS(原始数据!$J$3:$J$1002,原始数据!$D$3:$D$1002,"HT20250626")</f>
        <v>329.625</v>
      </c>
      <c r="J128" s="22">
        <f>SUMIFS(原始数据!$K$3:$K$1002,原始数据!$D$3:$D$1002,"HT20250626")</f>
        <v>469.54499999999996</v>
      </c>
      <c r="K128" s="19" t="str">
        <f>IFERROR(INDEX(原始数据!$L$3:$L$1002,MATCH(1,INDEX((原始数据!$D$3:$D$1002="HT20250626")*(原始数据!$L$3:$L$1002&lt;&gt;""),0),0)),"")</f>
        <v>八部</v>
      </c>
      <c r="L128" s="20" t="str">
        <f>IFERROR(INDEX(原始数据!$M$3:$M$1002,MATCH(1,INDEX((原始数据!$D$3:$D$1002="HT20250626")*(原始数据!$M$3:$M$1002&lt;&gt;""),0),0)),"")</f>
        <v>卢俊</v>
      </c>
      <c r="M128" s="19" t="str">
        <f>IFERROR(INDEX(原始数据!$N$3:$N$1002,MATCH(1,INDEX((原始数据!$D$3:$D$1002="HT20250626")*(原始数据!$N$3:$N$1002&lt;&gt;""),0),0)),"")</f>
        <v>1-2年</v>
      </c>
      <c r="N128" s="19" t="inlineStr"/>
    </row>
    <row r="129">
      <c r="A129" s="13">
        <f>ROW()-2</f>
        <v>127</v>
      </c>
      <c r="B129" s="14" t="str">
        <f>IFERROR(INDEX(原始数据!$B$3:$B$1002,MATCH(1,INDEX((原始数据!$D$3:$D$1002="HT20250628")*(原始数据!$B$3:$B$1002&lt;&gt;""),0),0)),"")</f>
        <v>华东-浙江</v>
      </c>
      <c r="C129" s="14" t="str">
        <f>IFERROR(INDEX(原始数据!$C$3:$C$1002,MATCH(1,INDEX((原始数据!$D$3:$D$1002="HT20250628")*(原始数据!$C$3:$C$1002&lt;&gt;""),0),0)),"")</f>
        <v>事业单位</v>
      </c>
      <c r="D129" s="15" t="inlineStr">
        <is>
          <t>HT20250628</t>
        </is>
      </c>
      <c r="E129" s="16">
        <f>IFERROR(INDEX(原始数据!$E$3:$E$1002,MATCH(1,INDEX((原始数据!$D$3:$D$1002="HT20250628")*(原始数据!$E$3:$E$1002&lt;&gt;""),0),0)),"")</f>
        <v>20260820</v>
      </c>
      <c r="F129" s="17">
        <f>SUMIFS(原始数据!$F$3:$F$1002,原始数据!$D$3:$D$1002,"HT20250628")</f>
        <v>122.581</v>
      </c>
      <c r="G129" s="17">
        <f>SUMIFS(原始数据!$H$3:$H$1002,原始数据!$D$3:$D$1002,"HT20250628")</f>
        <v>103.48</v>
      </c>
      <c r="H129" s="17">
        <f>SUMIFS(原始数据!$I$3:$I$1002,原始数据!$D$3:$D$1002,"HT20250628")</f>
        <v>19.101</v>
      </c>
      <c r="I129" s="17">
        <f>SUMIFS(原始数据!$J$3:$J$1002,原始数据!$D$3:$D$1002,"HT20250628")</f>
        <v>16.057</v>
      </c>
      <c r="J129" s="17">
        <f>SUMIFS(原始数据!$K$3:$K$1002,原始数据!$D$3:$D$1002,"HT20250628")</f>
        <v>3.044</v>
      </c>
      <c r="K129" s="14" t="str">
        <f>IFERROR(INDEX(原始数据!$L$3:$L$1002,MATCH(1,INDEX((原始数据!$D$3:$D$1002="HT20250628")*(原始数据!$L$3:$L$1002&lt;&gt;""),0),0)),"")</f>
        <v>二部</v>
      </c>
      <c r="L129" s="15" t="str">
        <f>IFERROR(INDEX(原始数据!$M$3:$M$1002,MATCH(1,INDEX((原始数据!$D$3:$D$1002="HT20250628")*(原始数据!$M$3:$M$1002&lt;&gt;""),0),0)),"")</f>
        <v>周杰</v>
      </c>
      <c r="M129" s="14" t="str">
        <f>IFERROR(INDEX(原始数据!$N$3:$N$1002,MATCH(1,INDEX((原始数据!$D$3:$D$1002="HT20250628")*(原始数据!$N$3:$N$1002&lt;&gt;""),0),0)),"")</f>
        <v>2-3年</v>
      </c>
      <c r="N129" s="14" t="inlineStr"/>
    </row>
    <row r="130">
      <c r="A130" s="18">
        <f>ROW()-2</f>
        <v>128</v>
      </c>
      <c r="B130" s="19" t="str">
        <f>IFERROR(INDEX(原始数据!$B$3:$B$1002,MATCH(1,INDEX((原始数据!$D$3:$D$1002="HT20250629")*(原始数据!$B$3:$B$1002&lt;&gt;""),0),0)),"")</f>
        <v>西南-四川</v>
      </c>
      <c r="C130" s="19" t="str">
        <f>IFERROR(INDEX(原始数据!$C$3:$C$1002,MATCH(1,INDEX((原始数据!$D$3:$D$1002="HT20250629")*(原始数据!$C$3:$C$1002&lt;&gt;""),0),0)),"")</f>
        <v>群团组织</v>
      </c>
      <c r="D130" s="20" t="inlineStr">
        <is>
          <t>HT20250629</t>
        </is>
      </c>
      <c r="E130" s="21">
        <f>IFERROR(INDEX(原始数据!$E$3:$E$1002,MATCH(1,INDEX((原始数据!$D$3:$D$1002="HT20250629")*(原始数据!$E$3:$E$1002&lt;&gt;""),0),0)),"")</f>
        <v>20260202</v>
      </c>
      <c r="F130" s="22">
        <f>SUMIFS(原始数据!$F$3:$F$1002,原始数据!$D$3:$D$1002,"HT20250629")</f>
        <v>5439.996</v>
      </c>
      <c r="G130" s="22">
        <f>SUMIFS(原始数据!$H$3:$H$1002,原始数据!$D$3:$D$1002,"HT20250629")</f>
        <v>1722.629</v>
      </c>
      <c r="H130" s="22">
        <f>SUMIFS(原始数据!$I$3:$I$1002,原始数据!$D$3:$D$1002,"HT20250629")</f>
        <v>3717.3669999999997</v>
      </c>
      <c r="I130" s="22">
        <f>SUMIFS(原始数据!$J$3:$J$1002,原始数据!$D$3:$D$1002,"HT20250629")</f>
        <v>1842.951</v>
      </c>
      <c r="J130" s="22">
        <f>SUMIFS(原始数据!$K$3:$K$1002,原始数据!$D$3:$D$1002,"HT20250629")</f>
        <v>1874.416</v>
      </c>
      <c r="K130" s="19" t="str">
        <f>IFERROR(INDEX(原始数据!$L$3:$L$1002,MATCH(1,INDEX((原始数据!$D$3:$D$1002="HT20250629")*(原始数据!$L$3:$L$1002&lt;&gt;""),0),0)),"")</f>
        <v>五部</v>
      </c>
      <c r="L130" s="20" t="str">
        <f>IFERROR(INDEX(原始数据!$M$3:$M$1002,MATCH(1,INDEX((原始数据!$D$3:$D$1002="HT20250629")*(原始数据!$M$3:$M$1002&lt;&gt;""),0),0)),"")</f>
        <v>谢峰</v>
      </c>
      <c r="M130" s="19" t="str">
        <f>IFERROR(INDEX(原始数据!$N$3:$N$1002,MATCH(1,INDEX((原始数据!$D$3:$D$1002="HT20250629")*(原始数据!$N$3:$N$1002&lt;&gt;""),0),0)),"")</f>
        <v>1-2年</v>
      </c>
      <c r="N130" s="19" t="inlineStr"/>
    </row>
    <row r="131">
      <c r="A131" s="13">
        <f>ROW()-2</f>
        <v>129</v>
      </c>
      <c r="B131" s="14" t="str">
        <f>IFERROR(INDEX(原始数据!$B$3:$B$1002,MATCH(1,INDEX((原始数据!$D$3:$D$1002="HT20250630")*(原始数据!$B$3:$B$1002&lt;&gt;""),0),0)),"")</f>
        <v>西南-重庆</v>
      </c>
      <c r="C131" s="14" t="str">
        <f>IFERROR(INDEX(原始数据!$C$3:$C$1002,MATCH(1,INDEX((原始数据!$D$3:$D$1002="HT20250630")*(原始数据!$C$3:$C$1002&lt;&gt;""),0),0)),"")</f>
        <v>群团组织</v>
      </c>
      <c r="D131" s="15" t="inlineStr">
        <is>
          <t>HT20250630</t>
        </is>
      </c>
      <c r="E131" s="16">
        <f>IFERROR(INDEX(原始数据!$E$3:$E$1002,MATCH(1,INDEX((原始数据!$D$3:$D$1002="HT20250630")*(原始数据!$E$3:$E$1002&lt;&gt;""),0),0)),"")</f>
        <v>20260806</v>
      </c>
      <c r="F131" s="17">
        <f>SUMIFS(原始数据!$F$3:$F$1002,原始数据!$D$3:$D$1002,"HT20250630")</f>
        <v>934.029</v>
      </c>
      <c r="G131" s="17">
        <f>SUMIFS(原始数据!$H$3:$H$1002,原始数据!$D$3:$D$1002,"HT20250630")</f>
        <v>8.722</v>
      </c>
      <c r="H131" s="17">
        <f>SUMIFS(原始数据!$I$3:$I$1002,原始数据!$D$3:$D$1002,"HT20250630")</f>
        <v>925.307</v>
      </c>
      <c r="I131" s="17">
        <f>SUMIFS(原始数据!$J$3:$J$1002,原始数据!$D$3:$D$1002,"HT20250630")</f>
        <v>523.046</v>
      </c>
      <c r="J131" s="17">
        <f>SUMIFS(原始数据!$K$3:$K$1002,原始数据!$D$3:$D$1002,"HT20250630")</f>
        <v>402.261</v>
      </c>
      <c r="K131" s="14" t="str">
        <f>IFERROR(INDEX(原始数据!$L$3:$L$1002,MATCH(1,INDEX((原始数据!$D$3:$D$1002="HT20250630")*(原始数据!$L$3:$L$1002&lt;&gt;""),0),0)),"")</f>
        <v>五部</v>
      </c>
      <c r="L131" s="15" t="str">
        <f>IFERROR(INDEX(原始数据!$M$3:$M$1002,MATCH(1,INDEX((原始数据!$D$3:$D$1002="HT20250630")*(原始数据!$M$3:$M$1002&lt;&gt;""),0),0)),"")</f>
        <v>郑浩</v>
      </c>
      <c r="M131" s="14" t="str">
        <f>IFERROR(INDEX(原始数据!$N$3:$N$1002,MATCH(1,INDEX((原始数据!$D$3:$D$1002="HT20250630")*(原始数据!$N$3:$N$1002&lt;&gt;""),0),0)),"")</f>
        <v>1-2年</v>
      </c>
      <c r="N131" s="14" t="inlineStr"/>
    </row>
    <row r="132">
      <c r="A132" s="18">
        <f>ROW()-2</f>
        <v>130</v>
      </c>
      <c r="B132" s="19" t="str">
        <f>IFERROR(INDEX(原始数据!$B$3:$B$1002,MATCH(1,INDEX((原始数据!$D$3:$D$1002="HT20250702")*(原始数据!$B$3:$B$1002&lt;&gt;""),0),0)),"")</f>
        <v>华北-天津</v>
      </c>
      <c r="C132" s="19" t="str">
        <f>IFERROR(INDEX(原始数据!$C$3:$C$1002,MATCH(1,INDEX((原始数据!$D$3:$D$1002="HT20250702")*(原始数据!$C$3:$C$1002&lt;&gt;""),0),0)),"")</f>
        <v>政府机关</v>
      </c>
      <c r="D132" s="20" t="inlineStr">
        <is>
          <t>HT20250702</t>
        </is>
      </c>
      <c r="E132" s="21">
        <f>IFERROR(INDEX(原始数据!$E$3:$E$1002,MATCH(1,INDEX((原始数据!$D$3:$D$1002="HT20250702")*(原始数据!$E$3:$E$1002&lt;&gt;""),0),0)),"")</f>
        <v>20260829</v>
      </c>
      <c r="F132" s="22">
        <f>SUMIFS(原始数据!$F$3:$F$1002,原始数据!$D$3:$D$1002,"HT20250702")</f>
        <v>2186.076</v>
      </c>
      <c r="G132" s="22">
        <f>SUMIFS(原始数据!$H$3:$H$1002,原始数据!$D$3:$D$1002,"HT20250702")</f>
        <v>333.901</v>
      </c>
      <c r="H132" s="22">
        <f>SUMIFS(原始数据!$I$3:$I$1002,原始数据!$D$3:$D$1002,"HT20250702")</f>
        <v>1852.1750000000002</v>
      </c>
      <c r="I132" s="22">
        <f>SUMIFS(原始数据!$J$3:$J$1002,原始数据!$D$3:$D$1002,"HT20250702")</f>
        <v>973.789</v>
      </c>
      <c r="J132" s="22">
        <f>SUMIFS(原始数据!$K$3:$K$1002,原始数据!$D$3:$D$1002,"HT20250702")</f>
        <v>878.386</v>
      </c>
      <c r="K132" s="19" t="str">
        <f>IFERROR(INDEX(原始数据!$L$3:$L$1002,MATCH(1,INDEX((原始数据!$D$3:$D$1002="HT20250702")*(原始数据!$L$3:$L$1002&lt;&gt;""),0),0)),"")</f>
        <v>一部</v>
      </c>
      <c r="L132" s="20" t="str">
        <f>IFERROR(INDEX(原始数据!$M$3:$M$1002,MATCH(1,INDEX((原始数据!$D$3:$D$1002="HT20250702")*(原始数据!$M$3:$M$1002&lt;&gt;""),0),0)),"")</f>
        <v>刘洋</v>
      </c>
      <c r="M132" s="19" t="str">
        <f>IFERROR(INDEX(原始数据!$N$3:$N$1002,MATCH(1,INDEX((原始数据!$D$3:$D$1002="HT20250702")*(原始数据!$N$3:$N$1002&lt;&gt;""),0),0)),"")</f>
        <v>1年以内</v>
      </c>
      <c r="N132" s="19" t="inlineStr"/>
    </row>
    <row r="133">
      <c r="A133" s="13">
        <f>ROW()-2</f>
        <v>131</v>
      </c>
      <c r="B133" s="14" t="str">
        <f>IFERROR(INDEX(原始数据!$B$3:$B$1002,MATCH(1,INDEX((原始数据!$D$3:$D$1002="HT20250704")*(原始数据!$B$3:$B$1002&lt;&gt;""),0),0)),"")</f>
        <v>华东-上海</v>
      </c>
      <c r="C133" s="14" t="str">
        <f>IFERROR(INDEX(原始数据!$C$3:$C$1002,MATCH(1,INDEX((原始数据!$D$3:$D$1002="HT20250704")*(原始数据!$C$3:$C$1002&lt;&gt;""),0),0)),"")</f>
        <v>基层自治组织</v>
      </c>
      <c r="D133" s="15" t="inlineStr">
        <is>
          <t>HT20250704</t>
        </is>
      </c>
      <c r="E133" s="16">
        <f>IFERROR(INDEX(原始数据!$E$3:$E$1002,MATCH(1,INDEX((原始数据!$D$3:$D$1002="HT20250704")*(原始数据!$E$3:$E$1002&lt;&gt;""),0),0)),"")</f>
        <v>20260620</v>
      </c>
      <c r="F133" s="17">
        <f>SUMIFS(原始数据!$F$3:$F$1002,原始数据!$D$3:$D$1002,"HT20250704")</f>
        <v>6074.809</v>
      </c>
      <c r="G133" s="17">
        <f>SUMIFS(原始数据!$H$3:$H$1002,原始数据!$D$3:$D$1002,"HT20250704")</f>
        <v>3366.277</v>
      </c>
      <c r="H133" s="17">
        <f>SUMIFS(原始数据!$I$3:$I$1002,原始数据!$D$3:$D$1002,"HT20250704")</f>
        <v>2708.532</v>
      </c>
      <c r="I133" s="17">
        <f>SUMIFS(原始数据!$J$3:$J$1002,原始数据!$D$3:$D$1002,"HT20250704")</f>
        <v>1185.977</v>
      </c>
      <c r="J133" s="17">
        <f>SUMIFS(原始数据!$K$3:$K$1002,原始数据!$D$3:$D$1002,"HT20250704")</f>
        <v>1522.555</v>
      </c>
      <c r="K133" s="14" t="str">
        <f>IFERROR(INDEX(原始数据!$L$3:$L$1002,MATCH(1,INDEX((原始数据!$D$3:$D$1002="HT20250704")*(原始数据!$L$3:$L$1002&lt;&gt;""),0),0)),"")</f>
        <v>一部</v>
      </c>
      <c r="L133" s="15" t="str">
        <f>IFERROR(INDEX(原始数据!$M$3:$M$1002,MATCH(1,INDEX((原始数据!$D$3:$D$1002="HT20250704")*(原始数据!$M$3:$M$1002&lt;&gt;""),0),0)),"")</f>
        <v>陈静</v>
      </c>
      <c r="M133" s="14" t="str">
        <f>IFERROR(INDEX(原始数据!$N$3:$N$1002,MATCH(1,INDEX((原始数据!$D$3:$D$1002="HT20250704")*(原始数据!$N$3:$N$1002&lt;&gt;""),0),0)),"")</f>
        <v>1年以内</v>
      </c>
      <c r="N133" s="14" t="inlineStr"/>
    </row>
    <row r="134">
      <c r="A134" s="18">
        <f>ROW()-2</f>
        <v>132</v>
      </c>
      <c r="B134" s="19" t="str">
        <f>IFERROR(INDEX(原始数据!$B$3:$B$1002,MATCH(1,INDEX((原始数据!$D$3:$D$1002="HT20250705")*(原始数据!$B$3:$B$1002&lt;&gt;""),0),0)),"")</f>
        <v>西南-贵州</v>
      </c>
      <c r="C134" s="19" t="str">
        <f>IFERROR(INDEX(原始数据!$C$3:$C$1002,MATCH(1,INDEX((原始数据!$D$3:$D$1002="HT20250705")*(原始数据!$C$3:$C$1002&lt;&gt;""),0),0)),"")</f>
        <v>人大政协</v>
      </c>
      <c r="D134" s="20" t="inlineStr">
        <is>
          <t>HT20250705</t>
        </is>
      </c>
      <c r="E134" s="21">
        <f>IFERROR(INDEX(原始数据!$E$3:$E$1002,MATCH(1,INDEX((原始数据!$D$3:$D$1002="HT20250705")*(原始数据!$E$3:$E$1002&lt;&gt;""),0),0)),"")</f>
        <v>20260515</v>
      </c>
      <c r="F134" s="22">
        <f>SUMIFS(原始数据!$F$3:$F$1002,原始数据!$D$3:$D$1002,"HT20250705")</f>
        <v>2472.685</v>
      </c>
      <c r="G134" s="22">
        <f>SUMIFS(原始数据!$H$3:$H$1002,原始数据!$D$3:$D$1002,"HT20250705")</f>
        <v>493.808</v>
      </c>
      <c r="H134" s="22">
        <f>SUMIFS(原始数据!$I$3:$I$1002,原始数据!$D$3:$D$1002,"HT20250705")</f>
        <v>1978.877</v>
      </c>
      <c r="I134" s="22">
        <f>SUMIFS(原始数据!$J$3:$J$1002,原始数据!$D$3:$D$1002,"HT20250705")</f>
        <v>1249.952</v>
      </c>
      <c r="J134" s="22">
        <f>SUMIFS(原始数据!$K$3:$K$1002,原始数据!$D$3:$D$1002,"HT20250705")</f>
        <v>728.925</v>
      </c>
      <c r="K134" s="19" t="str">
        <f>IFERROR(INDEX(原始数据!$L$3:$L$1002,MATCH(1,INDEX((原始数据!$D$3:$D$1002="HT20250705")*(原始数据!$L$3:$L$1002&lt;&gt;""),0),0)),"")</f>
        <v>九部</v>
      </c>
      <c r="L134" s="20" t="str">
        <f>IFERROR(INDEX(原始数据!$M$3:$M$1002,MATCH(1,INDEX((原始数据!$D$3:$D$1002="HT20250705")*(原始数据!$M$3:$M$1002&lt;&gt;""),0),0)),"")</f>
        <v>魏红</v>
      </c>
      <c r="M134" s="19" t="str">
        <f>IFERROR(INDEX(原始数据!$N$3:$N$1002,MATCH(1,INDEX((原始数据!$D$3:$D$1002="HT20250705")*(原始数据!$N$3:$N$1002&lt;&gt;""),0),0)),"")</f>
        <v>2-3年</v>
      </c>
      <c r="N134" s="19" t="inlineStr"/>
    </row>
    <row r="135">
      <c r="A135" s="13">
        <f>ROW()-2</f>
        <v>133</v>
      </c>
      <c r="B135" s="14" t="str">
        <f>IFERROR(INDEX(原始数据!$B$3:$B$1002,MATCH(1,INDEX((原始数据!$D$3:$D$1002="HT20250706")*(原始数据!$B$3:$B$1002&lt;&gt;""),0),0)),"")</f>
        <v>华北-河北</v>
      </c>
      <c r="C135" s="14" t="str">
        <f>IFERROR(INDEX(原始数据!$C$3:$C$1002,MATCH(1,INDEX((原始数据!$D$3:$D$1002="HT20250706")*(原始数据!$C$3:$C$1002&lt;&gt;""),0),0)),"")</f>
        <v>事业单位</v>
      </c>
      <c r="D135" s="15" t="inlineStr">
        <is>
          <t>HT20250706</t>
        </is>
      </c>
      <c r="E135" s="16">
        <f>IFERROR(INDEX(原始数据!$E$3:$E$1002,MATCH(1,INDEX((原始数据!$D$3:$D$1002="HT20250706")*(原始数据!$E$3:$E$1002&lt;&gt;""),0),0)),"")</f>
        <v>20260315</v>
      </c>
      <c r="F135" s="17">
        <f>SUMIFS(原始数据!$F$3:$F$1002,原始数据!$D$3:$D$1002,"HT20250706")</f>
        <v>2805.174</v>
      </c>
      <c r="G135" s="17">
        <f>SUMIFS(原始数据!$H$3:$H$1002,原始数据!$D$3:$D$1002,"HT20250706")</f>
        <v>2277.708</v>
      </c>
      <c r="H135" s="17">
        <f>SUMIFS(原始数据!$I$3:$I$1002,原始数据!$D$3:$D$1002,"HT20250706")</f>
        <v>527.466</v>
      </c>
      <c r="I135" s="17">
        <f>SUMIFS(原始数据!$J$3:$J$1002,原始数据!$D$3:$D$1002,"HT20250706")</f>
        <v>189.904</v>
      </c>
      <c r="J135" s="17">
        <f>SUMIFS(原始数据!$K$3:$K$1002,原始数据!$D$3:$D$1002,"HT20250706")</f>
        <v>337.562</v>
      </c>
      <c r="K135" s="14" t="str">
        <f>IFERROR(INDEX(原始数据!$L$3:$L$1002,MATCH(1,INDEX((原始数据!$D$3:$D$1002="HT20250706")*(原始数据!$L$3:$L$1002&lt;&gt;""),0),0)),"")</f>
        <v>一部</v>
      </c>
      <c r="L135" s="15" t="str">
        <f>IFERROR(INDEX(原始数据!$M$3:$M$1002,MATCH(1,INDEX((原始数据!$D$3:$D$1002="HT20250706")*(原始数据!$M$3:$M$1002&lt;&gt;""),0),0)),"")</f>
        <v>张伟</v>
      </c>
      <c r="M135" s="14" t="str">
        <f>IFERROR(INDEX(原始数据!$N$3:$N$1002,MATCH(1,INDEX((原始数据!$D$3:$D$1002="HT20250706")*(原始数据!$N$3:$N$1002&lt;&gt;""),0),0)),"")</f>
        <v>1年以内</v>
      </c>
      <c r="N135" s="14" t="inlineStr"/>
    </row>
    <row r="136">
      <c r="A136" s="18">
        <f>ROW()-2</f>
        <v>134</v>
      </c>
      <c r="B136" s="19" t="str">
        <f>IFERROR(INDEX(原始数据!$B$3:$B$1002,MATCH(1,INDEX((原始数据!$D$3:$D$1002="HT20250707")*(原始数据!$B$3:$B$1002&lt;&gt;""),0),0)),"")</f>
        <v>华中-湖南</v>
      </c>
      <c r="C136" s="19" t="str">
        <f>IFERROR(INDEX(原始数据!$C$3:$C$1002,MATCH(1,INDEX((原始数据!$D$3:$D$1002="HT20250707")*(原始数据!$C$3:$C$1002&lt;&gt;""),0),0)),"")</f>
        <v>基层自治组织</v>
      </c>
      <c r="D136" s="20" t="inlineStr">
        <is>
          <t>HT20250707</t>
        </is>
      </c>
      <c r="E136" s="21">
        <f>IFERROR(INDEX(原始数据!$E$3:$E$1002,MATCH(1,INDEX((原始数据!$D$3:$D$1002="HT20250707")*(原始数据!$E$3:$E$1002&lt;&gt;""),0),0)),"")</f>
        <v>20260219</v>
      </c>
      <c r="F136" s="22">
        <f>SUMIFS(原始数据!$F$3:$F$1002,原始数据!$D$3:$D$1002,"HT20250707")</f>
        <v>6728.426</v>
      </c>
      <c r="G136" s="22">
        <f>SUMIFS(原始数据!$H$3:$H$1002,原始数据!$D$3:$D$1002,"HT20250707")</f>
        <v>823.4449999999999</v>
      </c>
      <c r="H136" s="22">
        <f>SUMIFS(原始数据!$I$3:$I$1002,原始数据!$D$3:$D$1002,"HT20250707")</f>
        <v>5904.981</v>
      </c>
      <c r="I136" s="22">
        <f>SUMIFS(原始数据!$J$3:$J$1002,原始数据!$D$3:$D$1002,"HT20250707")</f>
        <v>709.247</v>
      </c>
      <c r="J136" s="22">
        <f>SUMIFS(原始数据!$K$3:$K$1002,原始数据!$D$3:$D$1002,"HT20250707")</f>
        <v>5195.7339999999995</v>
      </c>
      <c r="K136" s="19" t="str">
        <f>IFERROR(INDEX(原始数据!$L$3:$L$1002,MATCH(1,INDEX((原始数据!$D$3:$D$1002="HT20250707")*(原始数据!$L$3:$L$1002&lt;&gt;""),0),0)),"")</f>
        <v>五部</v>
      </c>
      <c r="L136" s="20" t="str">
        <f>IFERROR(INDEX(原始数据!$M$3:$M$1002,MATCH(1,INDEX((原始数据!$D$3:$D$1002="HT20250707")*(原始数据!$M$3:$M$1002&lt;&gt;""),0),0)),"")</f>
        <v>韩梅</v>
      </c>
      <c r="M136" s="19" t="str">
        <f>IFERROR(INDEX(原始数据!$N$3:$N$1002,MATCH(1,INDEX((原始数据!$D$3:$D$1002="HT20250707")*(原始数据!$N$3:$N$1002&lt;&gt;""),0),0)),"")</f>
        <v>1年以内</v>
      </c>
      <c r="N136" s="19" t="inlineStr"/>
    </row>
    <row r="137">
      <c r="A137" s="13">
        <f>ROW()-2</f>
        <v>135</v>
      </c>
      <c r="B137" s="14" t="str">
        <f>IFERROR(INDEX(原始数据!$B$3:$B$1002,MATCH(1,INDEX((原始数据!$D$3:$D$1002="HT20250708")*(原始数据!$B$3:$B$1002&lt;&gt;""),0),0)),"")</f>
        <v>华东-安徽</v>
      </c>
      <c r="C137" s="14" t="str">
        <f>IFERROR(INDEX(原始数据!$C$3:$C$1002,MATCH(1,INDEX((原始数据!$D$3:$D$1002="HT20250708")*(原始数据!$C$3:$C$1002&lt;&gt;""),0),0)),"")</f>
        <v>党委机关</v>
      </c>
      <c r="D137" s="15" t="inlineStr">
        <is>
          <t>HT20250708</t>
        </is>
      </c>
      <c r="E137" s="16">
        <f>IFERROR(INDEX(原始数据!$E$3:$E$1002,MATCH(1,INDEX((原始数据!$D$3:$D$1002="HT20250708")*(原始数据!$E$3:$E$1002&lt;&gt;""),0),0)),"")</f>
        <v>20260329</v>
      </c>
      <c r="F137" s="17">
        <f>SUMIFS(原始数据!$F$3:$F$1002,原始数据!$D$3:$D$1002,"HT20250708")</f>
        <v>1971.768</v>
      </c>
      <c r="G137" s="17">
        <f>SUMIFS(原始数据!$H$3:$H$1002,原始数据!$D$3:$D$1002,"HT20250708")</f>
        <v>1289.154</v>
      </c>
      <c r="H137" s="17">
        <f>SUMIFS(原始数据!$I$3:$I$1002,原始数据!$D$3:$D$1002,"HT20250708")</f>
        <v>682.614</v>
      </c>
      <c r="I137" s="17">
        <f>SUMIFS(原始数据!$J$3:$J$1002,原始数据!$D$3:$D$1002,"HT20250708")</f>
        <v>187.25999999999996</v>
      </c>
      <c r="J137" s="17">
        <f>SUMIFS(原始数据!$K$3:$K$1002,原始数据!$D$3:$D$1002,"HT20250708")</f>
        <v>495.35400000000004</v>
      </c>
      <c r="K137" s="14" t="str">
        <f>IFERROR(INDEX(原始数据!$L$3:$L$1002,MATCH(1,INDEX((原始数据!$D$3:$D$1002="HT20250708")*(原始数据!$L$3:$L$1002&lt;&gt;""),0),0)),"")</f>
        <v>十部</v>
      </c>
      <c r="L137" s="15" t="str">
        <f>IFERROR(INDEX(原始数据!$M$3:$M$1002,MATCH(1,INDEX((原始数据!$D$3:$D$1002="HT20250708")*(原始数据!$M$3:$M$1002&lt;&gt;""),0),0)),"")</f>
        <v>雷声</v>
      </c>
      <c r="M137" s="14" t="str">
        <f>IFERROR(INDEX(原始数据!$N$3:$N$1002,MATCH(1,INDEX((原始数据!$D$3:$D$1002="HT20250708")*(原始数据!$N$3:$N$1002&lt;&gt;""),0),0)),"")</f>
        <v>2-3年</v>
      </c>
      <c r="N137" s="14" t="inlineStr"/>
    </row>
    <row r="138">
      <c r="A138" s="18">
        <f>ROW()-2</f>
        <v>136</v>
      </c>
      <c r="B138" s="19" t="str">
        <f>IFERROR(INDEX(原始数据!$B$3:$B$1002,MATCH(1,INDEX((原始数据!$D$3:$D$1002="HT20250709")*(原始数据!$B$3:$B$1002&lt;&gt;""),0),0)),"")</f>
        <v>华东-安徽</v>
      </c>
      <c r="C138" s="19" t="str">
        <f>IFERROR(INDEX(原始数据!$C$3:$C$1002,MATCH(1,INDEX((原始数据!$D$3:$D$1002="HT20250709")*(原始数据!$C$3:$C$1002&lt;&gt;""),0),0)),"")</f>
        <v>国有企业</v>
      </c>
      <c r="D138" s="20" t="inlineStr">
        <is>
          <t>HT20250709</t>
        </is>
      </c>
      <c r="E138" s="21">
        <f>IFERROR(INDEX(原始数据!$E$3:$E$1002,MATCH(1,INDEX((原始数据!$D$3:$D$1002="HT20250709")*(原始数据!$E$3:$E$1002&lt;&gt;""),0),0)),"")</f>
        <v>20260423</v>
      </c>
      <c r="F138" s="22">
        <f>SUMIFS(原始数据!$F$3:$F$1002,原始数据!$D$3:$D$1002,"HT20250709")</f>
        <v>11277.17</v>
      </c>
      <c r="G138" s="22">
        <f>SUMIFS(原始数据!$H$3:$H$1002,原始数据!$D$3:$D$1002,"HT20250709")</f>
        <v>6448.524</v>
      </c>
      <c r="H138" s="22">
        <f>SUMIFS(原始数据!$I$3:$I$1002,原始数据!$D$3:$D$1002,"HT20250709")</f>
        <v>4828.646000000001</v>
      </c>
      <c r="I138" s="22">
        <f>SUMIFS(原始数据!$J$3:$J$1002,原始数据!$D$3:$D$1002,"HT20250709")</f>
        <v>3626.4939999999997</v>
      </c>
      <c r="J138" s="22">
        <f>SUMIFS(原始数据!$K$3:$K$1002,原始数据!$D$3:$D$1002,"HT20250709")</f>
        <v>1202.152</v>
      </c>
      <c r="K138" s="19" t="str">
        <f>IFERROR(INDEX(原始数据!$L$3:$L$1002,MATCH(1,INDEX((原始数据!$D$3:$D$1002="HT20250709")*(原始数据!$L$3:$L$1002&lt;&gt;""),0),0)),"")</f>
        <v>七部</v>
      </c>
      <c r="L138" s="20" t="str">
        <f>IFERROR(INDEX(原始数据!$M$3:$M$1002,MATCH(1,INDEX((原始数据!$D$3:$D$1002="HT20250709")*(原始数据!$M$3:$M$1002&lt;&gt;""),0),0)),"")</f>
        <v>傅蓉</v>
      </c>
      <c r="M138" s="19" t="str">
        <f>IFERROR(INDEX(原始数据!$N$3:$N$1002,MATCH(1,INDEX((原始数据!$D$3:$D$1002="HT20250709")*(原始数据!$N$3:$N$1002&lt;&gt;""),0),0)),"")</f>
        <v>1-2年</v>
      </c>
      <c r="N138" s="19" t="inlineStr"/>
    </row>
    <row r="139">
      <c r="A139" s="13">
        <f>ROW()-2</f>
        <v>137</v>
      </c>
      <c r="B139" s="14" t="str">
        <f>IFERROR(INDEX(原始数据!$B$3:$B$1002,MATCH(1,INDEX((原始数据!$D$3:$D$1002="HT20250710")*(原始数据!$B$3:$B$1002&lt;&gt;""),0),0)),"")</f>
        <v>西南-西藏</v>
      </c>
      <c r="C139" s="14" t="str">
        <f>IFERROR(INDEX(原始数据!$C$3:$C$1002,MATCH(1,INDEX((原始数据!$D$3:$D$1002="HT20250710")*(原始数据!$C$3:$C$1002&lt;&gt;""),0),0)),"")</f>
        <v>基层自治组织</v>
      </c>
      <c r="D139" s="15" t="inlineStr">
        <is>
          <t>HT20250710</t>
        </is>
      </c>
      <c r="E139" s="16">
        <f>IFERROR(INDEX(原始数据!$E$3:$E$1002,MATCH(1,INDEX((原始数据!$D$3:$D$1002="HT20250710")*(原始数据!$E$3:$E$1002&lt;&gt;""),0),0)),"")</f>
        <v>20260812</v>
      </c>
      <c r="F139" s="17">
        <f>SUMIFS(原始数据!$F$3:$F$1002,原始数据!$D$3:$D$1002,"HT20250710")</f>
        <v>1860.2820000000002</v>
      </c>
      <c r="G139" s="17">
        <f>SUMIFS(原始数据!$H$3:$H$1002,原始数据!$D$3:$D$1002,"HT20250710")</f>
        <v>929.597</v>
      </c>
      <c r="H139" s="17">
        <f>SUMIFS(原始数据!$I$3:$I$1002,原始数据!$D$3:$D$1002,"HT20250710")</f>
        <v>930.6850000000001</v>
      </c>
      <c r="I139" s="17">
        <f>SUMIFS(原始数据!$J$3:$J$1002,原始数据!$D$3:$D$1002,"HT20250710")</f>
        <v>332.576</v>
      </c>
      <c r="J139" s="17">
        <f>SUMIFS(原始数据!$K$3:$K$1002,原始数据!$D$3:$D$1002,"HT20250710")</f>
        <v>598.109</v>
      </c>
      <c r="K139" s="14" t="str">
        <f>IFERROR(INDEX(原始数据!$L$3:$L$1002,MATCH(1,INDEX((原始数据!$D$3:$D$1002="HT20250710")*(原始数据!$L$3:$L$1002&lt;&gt;""),0),0)),"")</f>
        <v>十部</v>
      </c>
      <c r="L139" s="15" t="str">
        <f>IFERROR(INDEX(原始数据!$M$3:$M$1002,MATCH(1,INDEX((原始数据!$D$3:$D$1002="HT20250710")*(原始数据!$M$3:$M$1002&lt;&gt;""),0),0)),"")</f>
        <v>侯敏</v>
      </c>
      <c r="M139" s="14" t="str">
        <f>IFERROR(INDEX(原始数据!$N$3:$N$1002,MATCH(1,INDEX((原始数据!$D$3:$D$1002="HT20250710")*(原始数据!$N$3:$N$1002&lt;&gt;""),0),0)),"")</f>
        <v>2-3年</v>
      </c>
      <c r="N139" s="14" t="inlineStr"/>
    </row>
    <row r="140">
      <c r="A140" s="18">
        <f>ROW()-2</f>
        <v>138</v>
      </c>
      <c r="B140" s="19" t="str">
        <f>IFERROR(INDEX(原始数据!$B$3:$B$1002,MATCH(1,INDEX((原始数据!$D$3:$D$1002="HT20250712")*(原始数据!$B$3:$B$1002&lt;&gt;""),0),0)),"")</f>
        <v>华北-内蒙古</v>
      </c>
      <c r="C140" s="19" t="str">
        <f>IFERROR(INDEX(原始数据!$C$3:$C$1002,MATCH(1,INDEX((原始数据!$D$3:$D$1002="HT20250712")*(原始数据!$C$3:$C$1002&lt;&gt;""),0),0)),"")</f>
        <v>事业单位</v>
      </c>
      <c r="D140" s="20" t="inlineStr">
        <is>
          <t>HT20250712</t>
        </is>
      </c>
      <c r="E140" s="21">
        <f>IFERROR(INDEX(原始数据!$E$3:$E$1002,MATCH(1,INDEX((原始数据!$D$3:$D$1002="HT20250712")*(原始数据!$E$3:$E$1002&lt;&gt;""),0),0)),"")</f>
        <v>20260515</v>
      </c>
      <c r="F140" s="22">
        <f>SUMIFS(原始数据!$F$3:$F$1002,原始数据!$D$3:$D$1002,"HT20250712")</f>
        <v>443.11</v>
      </c>
      <c r="G140" s="22">
        <f>SUMIFS(原始数据!$H$3:$H$1002,原始数据!$D$3:$D$1002,"HT20250712")</f>
        <v>322.919</v>
      </c>
      <c r="H140" s="22">
        <f>SUMIFS(原始数据!$I$3:$I$1002,原始数据!$D$3:$D$1002,"HT20250712")</f>
        <v>120.191</v>
      </c>
      <c r="I140" s="22">
        <f>SUMIFS(原始数据!$J$3:$J$1002,原始数据!$D$3:$D$1002,"HT20250712")</f>
        <v>37.832</v>
      </c>
      <c r="J140" s="22">
        <f>SUMIFS(原始数据!$K$3:$K$1002,原始数据!$D$3:$D$1002,"HT20250712")</f>
        <v>82.359</v>
      </c>
      <c r="K140" s="19" t="str">
        <f>IFERROR(INDEX(原始数据!$L$3:$L$1002,MATCH(1,INDEX((原始数据!$D$3:$D$1002="HT20250712")*(原始数据!$L$3:$L$1002&lt;&gt;""),0),0)),"")</f>
        <v>九部</v>
      </c>
      <c r="L140" s="20" t="str">
        <f>IFERROR(INDEX(原始数据!$M$3:$M$1002,MATCH(1,INDEX((原始数据!$D$3:$D$1002="HT20250712")*(原始数据!$M$3:$M$1002&lt;&gt;""),0),0)),"")</f>
        <v>魏红</v>
      </c>
      <c r="M140" s="19" t="str">
        <f>IFERROR(INDEX(原始数据!$N$3:$N$1002,MATCH(1,INDEX((原始数据!$D$3:$D$1002="HT20250712")*(原始数据!$N$3:$N$1002&lt;&gt;""),0),0)),"")</f>
        <v>2-3年</v>
      </c>
      <c r="N140" s="19" t="inlineStr"/>
    </row>
    <row r="141">
      <c r="A141" s="13">
        <f>ROW()-2</f>
        <v>139</v>
      </c>
      <c r="B141" s="14" t="str">
        <f>IFERROR(INDEX(原始数据!$B$3:$B$1002,MATCH(1,INDEX((原始数据!$D$3:$D$1002="HT20250713")*(原始数据!$B$3:$B$1002&lt;&gt;""),0),0)),"")</f>
        <v>西南-重庆</v>
      </c>
      <c r="C141" s="14" t="str">
        <f>IFERROR(INDEX(原始数据!$C$3:$C$1002,MATCH(1,INDEX((原始数据!$D$3:$D$1002="HT20250713")*(原始数据!$C$3:$C$1002&lt;&gt;""),0),0)),"")</f>
        <v>人大政协</v>
      </c>
      <c r="D141" s="15" t="inlineStr">
        <is>
          <t>HT20250713</t>
        </is>
      </c>
      <c r="E141" s="16">
        <f>IFERROR(INDEX(原始数据!$E$3:$E$1002,MATCH(1,INDEX((原始数据!$D$3:$D$1002="HT20250713")*(原始数据!$E$3:$E$1002&lt;&gt;""),0),0)),"")</f>
        <v>20260402</v>
      </c>
      <c r="F141" s="17">
        <f>SUMIFS(原始数据!$F$3:$F$1002,原始数据!$D$3:$D$1002,"HT20250713")</f>
        <v>2701.499</v>
      </c>
      <c r="G141" s="17">
        <f>SUMIFS(原始数据!$H$3:$H$1002,原始数据!$D$3:$D$1002,"HT20250713")</f>
        <v>1672.024</v>
      </c>
      <c r="H141" s="17">
        <f>SUMIFS(原始数据!$I$3:$I$1002,原始数据!$D$3:$D$1002,"HT20250713")</f>
        <v>1029.475</v>
      </c>
      <c r="I141" s="17">
        <f>SUMIFS(原始数据!$J$3:$J$1002,原始数据!$D$3:$D$1002,"HT20250713")</f>
        <v>903.755</v>
      </c>
      <c r="J141" s="17">
        <f>SUMIFS(原始数据!$K$3:$K$1002,原始数据!$D$3:$D$1002,"HT20250713")</f>
        <v>125.72</v>
      </c>
      <c r="K141" s="14" t="str">
        <f>IFERROR(INDEX(原始数据!$L$3:$L$1002,MATCH(1,INDEX((原始数据!$D$3:$D$1002="HT20250713")*(原始数据!$L$3:$L$1002&lt;&gt;""),0),0)),"")</f>
        <v>六部</v>
      </c>
      <c r="L141" s="15" t="str">
        <f>IFERROR(INDEX(原始数据!$M$3:$M$1002,MATCH(1,INDEX((原始数据!$D$3:$D$1002="HT20250713")*(原始数据!$M$3:$M$1002&lt;&gt;""),0),0)),"")</f>
        <v>唐亮</v>
      </c>
      <c r="M141" s="14" t="str">
        <f>IFERROR(INDEX(原始数据!$N$3:$N$1002,MATCH(1,INDEX((原始数据!$D$3:$D$1002="HT20250713")*(原始数据!$N$3:$N$1002&lt;&gt;""),0),0)),"")</f>
        <v>1-2年</v>
      </c>
      <c r="N141" s="14" t="inlineStr"/>
    </row>
    <row r="142">
      <c r="A142" s="18">
        <f>ROW()-2</f>
        <v>140</v>
      </c>
      <c r="B142" s="19" t="str">
        <f>IFERROR(INDEX(原始数据!$B$3:$B$1002,MATCH(1,INDEX((原始数据!$D$3:$D$1002="HT20250715")*(原始数据!$B$3:$B$1002&lt;&gt;""),0),0)),"")</f>
        <v>华东-安徽</v>
      </c>
      <c r="C142" s="19" t="str">
        <f>IFERROR(INDEX(原始数据!$C$3:$C$1002,MATCH(1,INDEX((原始数据!$D$3:$D$1002="HT20250715")*(原始数据!$C$3:$C$1002&lt;&gt;""),0),0)),"")</f>
        <v>政府机关</v>
      </c>
      <c r="D142" s="20" t="inlineStr">
        <is>
          <t>HT20250715</t>
        </is>
      </c>
      <c r="E142" s="21">
        <f>IFERROR(INDEX(原始数据!$E$3:$E$1002,MATCH(1,INDEX((原始数据!$D$3:$D$1002="HT20250715")*(原始数据!$E$3:$E$1002&lt;&gt;""),0),0)),"")</f>
        <v>20260716</v>
      </c>
      <c r="F142" s="22">
        <f>SUMIFS(原始数据!$F$3:$F$1002,原始数据!$D$3:$D$1002,"HT20250715")</f>
        <v>104.287</v>
      </c>
      <c r="G142" s="22">
        <f>SUMIFS(原始数据!$H$3:$H$1002,原始数据!$D$3:$D$1002,"HT20250715")</f>
        <v>77.395</v>
      </c>
      <c r="H142" s="22">
        <f>SUMIFS(原始数据!$I$3:$I$1002,原始数据!$D$3:$D$1002,"HT20250715")</f>
        <v>26.892</v>
      </c>
      <c r="I142" s="22">
        <f>SUMIFS(原始数据!$J$3:$J$1002,原始数据!$D$3:$D$1002,"HT20250715")</f>
        <v>14.771</v>
      </c>
      <c r="J142" s="22">
        <f>SUMIFS(原始数据!$K$3:$K$1002,原始数据!$D$3:$D$1002,"HT20250715")</f>
        <v>12.121</v>
      </c>
      <c r="K142" s="19" t="str">
        <f>IFERROR(INDEX(原始数据!$L$3:$L$1002,MATCH(1,INDEX((原始数据!$D$3:$D$1002="HT20250715")*(原始数据!$L$3:$L$1002&lt;&gt;""),0),0)),"")</f>
        <v>十部</v>
      </c>
      <c r="L142" s="20" t="str">
        <f>IFERROR(INDEX(原始数据!$M$3:$M$1002,MATCH(1,INDEX((原始数据!$D$3:$D$1002="HT20250715")*(原始数据!$M$3:$M$1002&lt;&gt;""),0),0)),"")</f>
        <v>侯敏</v>
      </c>
      <c r="M142" s="19" t="str">
        <f>IFERROR(INDEX(原始数据!$N$3:$N$1002,MATCH(1,INDEX((原始数据!$D$3:$D$1002="HT20250715")*(原始数据!$N$3:$N$1002&lt;&gt;""),0),0)),"")</f>
        <v>1年以内</v>
      </c>
      <c r="N142" s="19" t="inlineStr"/>
    </row>
    <row r="143">
      <c r="A143" s="13">
        <f>ROW()-2</f>
        <v>141</v>
      </c>
      <c r="B143" s="14" t="str">
        <f>IFERROR(INDEX(原始数据!$B$3:$B$1002,MATCH(1,INDEX((原始数据!$D$3:$D$1002="HT20250716")*(原始数据!$B$3:$B$1002&lt;&gt;""),0),0)),"")</f>
        <v>华北-天津</v>
      </c>
      <c r="C143" s="14" t="str">
        <f>IFERROR(INDEX(原始数据!$C$3:$C$1002,MATCH(1,INDEX((原始数据!$D$3:$D$1002="HT20250716")*(原始数据!$C$3:$C$1002&lt;&gt;""),0),0)),"")</f>
        <v>群团组织</v>
      </c>
      <c r="D143" s="15" t="inlineStr">
        <is>
          <t>HT20250716</t>
        </is>
      </c>
      <c r="E143" s="16">
        <f>IFERROR(INDEX(原始数据!$E$3:$E$1002,MATCH(1,INDEX((原始数据!$D$3:$D$1002="HT20250716")*(原始数据!$E$3:$E$1002&lt;&gt;""),0),0)),"")</f>
        <v>20260414</v>
      </c>
      <c r="F143" s="17">
        <f>SUMIFS(原始数据!$F$3:$F$1002,原始数据!$D$3:$D$1002,"HT20250716")</f>
        <v>8494.992999999999</v>
      </c>
      <c r="G143" s="17">
        <f>SUMIFS(原始数据!$H$3:$H$1002,原始数据!$D$3:$D$1002,"HT20250716")</f>
        <v>5187.395000000001</v>
      </c>
      <c r="H143" s="17">
        <f>SUMIFS(原始数据!$I$3:$I$1002,原始数据!$D$3:$D$1002,"HT20250716")</f>
        <v>3307.598</v>
      </c>
      <c r="I143" s="17">
        <f>SUMIFS(原始数据!$J$3:$J$1002,原始数据!$D$3:$D$1002,"HT20250716")</f>
        <v>469.3349999999999</v>
      </c>
      <c r="J143" s="17">
        <f>SUMIFS(原始数据!$K$3:$K$1002,原始数据!$D$3:$D$1002,"HT20250716")</f>
        <v>2838.2630000000004</v>
      </c>
      <c r="K143" s="14" t="str">
        <f>IFERROR(INDEX(原始数据!$L$3:$L$1002,MATCH(1,INDEX((原始数据!$D$3:$D$1002="HT20250716")*(原始数据!$L$3:$L$1002&lt;&gt;""),0),0)),"")</f>
        <v>十部</v>
      </c>
      <c r="L143" s="15" t="str">
        <f>IFERROR(INDEX(原始数据!$M$3:$M$1002,MATCH(1,INDEX((原始数据!$D$3:$D$1002="HT20250716")*(原始数据!$M$3:$M$1002&lt;&gt;""),0),0)),"")</f>
        <v>侯敏</v>
      </c>
      <c r="M143" s="14" t="str">
        <f>IFERROR(INDEX(原始数据!$N$3:$N$1002,MATCH(1,INDEX((原始数据!$D$3:$D$1002="HT20250716")*(原始数据!$N$3:$N$1002&lt;&gt;""),0),0)),"")</f>
        <v>2-3年</v>
      </c>
      <c r="N143" s="14" t="inlineStr"/>
    </row>
    <row r="144">
      <c r="A144" s="18">
        <f>ROW()-2</f>
        <v>142</v>
      </c>
      <c r="B144" s="19" t="str">
        <f>IFERROR(INDEX(原始数据!$B$3:$B$1002,MATCH(1,INDEX((原始数据!$D$3:$D$1002="HT20250717")*(原始数据!$B$3:$B$1002&lt;&gt;""),0),0)),"")</f>
        <v>西南-西藏</v>
      </c>
      <c r="C144" s="19" t="str">
        <f>IFERROR(INDEX(原始数据!$C$3:$C$1002,MATCH(1,INDEX((原始数据!$D$3:$D$1002="HT20250717")*(原始数据!$C$3:$C$1002&lt;&gt;""),0),0)),"")</f>
        <v>党委机关</v>
      </c>
      <c r="D144" s="20" t="inlineStr">
        <is>
          <t>HT20250717</t>
        </is>
      </c>
      <c r="E144" s="21">
        <f>IFERROR(INDEX(原始数据!$E$3:$E$1002,MATCH(1,INDEX((原始数据!$D$3:$D$1002="HT20250717")*(原始数据!$E$3:$E$1002&lt;&gt;""),0),0)),"")</f>
        <v>20260830</v>
      </c>
      <c r="F144" s="22">
        <f>SUMIFS(原始数据!$F$3:$F$1002,原始数据!$D$3:$D$1002,"HT20250717")</f>
        <v>1208.688</v>
      </c>
      <c r="G144" s="22">
        <f>SUMIFS(原始数据!$H$3:$H$1002,原始数据!$D$3:$D$1002,"HT20250717")</f>
        <v>472.529</v>
      </c>
      <c r="H144" s="22">
        <f>SUMIFS(原始数据!$I$3:$I$1002,原始数据!$D$3:$D$1002,"HT20250717")</f>
        <v>736.159</v>
      </c>
      <c r="I144" s="22">
        <f>SUMIFS(原始数据!$J$3:$J$1002,原始数据!$D$3:$D$1002,"HT20250717")</f>
        <v>657.7760000000001</v>
      </c>
      <c r="J144" s="22">
        <f>SUMIFS(原始数据!$K$3:$K$1002,原始数据!$D$3:$D$1002,"HT20250717")</f>
        <v>78.383</v>
      </c>
      <c r="K144" s="19" t="str">
        <f>IFERROR(INDEX(原始数据!$L$3:$L$1002,MATCH(1,INDEX((原始数据!$D$3:$D$1002="HT20250717")*(原始数据!$L$3:$L$1002&lt;&gt;""),0),0)),"")</f>
        <v>四部</v>
      </c>
      <c r="L144" s="20" t="str">
        <f>IFERROR(INDEX(原始数据!$M$3:$M$1002,MATCH(1,INDEX((原始数据!$D$3:$D$1002="HT20250717")*(原始数据!$M$3:$M$1002&lt;&gt;""),0),0)),"")</f>
        <v>郭鹏</v>
      </c>
      <c r="M144" s="19" t="str">
        <f>IFERROR(INDEX(原始数据!$N$3:$N$1002,MATCH(1,INDEX((原始数据!$D$3:$D$1002="HT20250717")*(原始数据!$N$3:$N$1002&lt;&gt;""),0),0)),"")</f>
        <v>2-3年</v>
      </c>
      <c r="N144" s="19" t="inlineStr"/>
    </row>
    <row r="145">
      <c r="A145" s="13">
        <f>ROW()-2</f>
        <v>143</v>
      </c>
      <c r="B145" s="14" t="str">
        <f>IFERROR(INDEX(原始数据!$B$3:$B$1002,MATCH(1,INDEX((原始数据!$D$3:$D$1002="HT20250718")*(原始数据!$B$3:$B$1002&lt;&gt;""),0),0)),"")</f>
        <v>西北-甘肃</v>
      </c>
      <c r="C145" s="14" t="str">
        <f>IFERROR(INDEX(原始数据!$C$3:$C$1002,MATCH(1,INDEX((原始数据!$D$3:$D$1002="HT20250718")*(原始数据!$C$3:$C$1002&lt;&gt;""),0),0)),"")</f>
        <v>人大政协</v>
      </c>
      <c r="D145" s="15" t="inlineStr">
        <is>
          <t>HT20250718</t>
        </is>
      </c>
      <c r="E145" s="16">
        <f>IFERROR(INDEX(原始数据!$E$3:$E$1002,MATCH(1,INDEX((原始数据!$D$3:$D$1002="HT20250718")*(原始数据!$E$3:$E$1002&lt;&gt;""),0),0)),"")</f>
        <v>20260702</v>
      </c>
      <c r="F145" s="17">
        <f>SUMIFS(原始数据!$F$3:$F$1002,原始数据!$D$3:$D$1002,"HT20250718")</f>
        <v>7580.868</v>
      </c>
      <c r="G145" s="17">
        <f>SUMIFS(原始数据!$H$3:$H$1002,原始数据!$D$3:$D$1002,"HT20250718")</f>
        <v>3857.744</v>
      </c>
      <c r="H145" s="17">
        <f>SUMIFS(原始数据!$I$3:$I$1002,原始数据!$D$3:$D$1002,"HT20250718")</f>
        <v>3723.124</v>
      </c>
      <c r="I145" s="17">
        <f>SUMIFS(原始数据!$J$3:$J$1002,原始数据!$D$3:$D$1002,"HT20250718")</f>
        <v>3113.665</v>
      </c>
      <c r="J145" s="17">
        <f>SUMIFS(原始数据!$K$3:$K$1002,原始数据!$D$3:$D$1002,"HT20250718")</f>
        <v>609.4590000000001</v>
      </c>
      <c r="K145" s="14" t="str">
        <f>IFERROR(INDEX(原始数据!$L$3:$L$1002,MATCH(1,INDEX((原始数据!$D$3:$D$1002="HT20250718")*(原始数据!$L$3:$L$1002&lt;&gt;""),0),0)),"")</f>
        <v>七部</v>
      </c>
      <c r="L145" s="15" t="str">
        <f>IFERROR(INDEX(原始数据!$M$3:$M$1002,MATCH(1,INDEX((原始数据!$D$3:$D$1002="HT20250718")*(原始数据!$M$3:$M$1002&lt;&gt;""),0),0)),"")</f>
        <v>许涛</v>
      </c>
      <c r="M145" s="14" t="str">
        <f>IFERROR(INDEX(原始数据!$N$3:$N$1002,MATCH(1,INDEX((原始数据!$D$3:$D$1002="HT20250718")*(原始数据!$N$3:$N$1002&lt;&gt;""),0),0)),"")</f>
        <v>2-3年</v>
      </c>
      <c r="N145" s="14" t="inlineStr"/>
    </row>
    <row r="146">
      <c r="A146" s="18">
        <f>ROW()-2</f>
        <v>144</v>
      </c>
      <c r="B146" s="19" t="str">
        <f>IFERROR(INDEX(原始数据!$B$3:$B$1002,MATCH(1,INDEX((原始数据!$D$3:$D$1002="HT20250721")*(原始数据!$B$3:$B$1002&lt;&gt;""),0),0)),"")</f>
        <v>华东-福建</v>
      </c>
      <c r="C146" s="19" t="str">
        <f>IFERROR(INDEX(原始数据!$C$3:$C$1002,MATCH(1,INDEX((原始数据!$D$3:$D$1002="HT20250721")*(原始数据!$C$3:$C$1002&lt;&gt;""),0),0)),"")</f>
        <v>监察司法机关</v>
      </c>
      <c r="D146" s="20" t="inlineStr">
        <is>
          <t>HT20250721</t>
        </is>
      </c>
      <c r="E146" s="21">
        <f>IFERROR(INDEX(原始数据!$E$3:$E$1002,MATCH(1,INDEX((原始数据!$D$3:$D$1002="HT20250721")*(原始数据!$E$3:$E$1002&lt;&gt;""),0),0)),"")</f>
        <v>20260606</v>
      </c>
      <c r="F146" s="22">
        <f>SUMIFS(原始数据!$F$3:$F$1002,原始数据!$D$3:$D$1002,"HT20250721")</f>
        <v>608.1020000000001</v>
      </c>
      <c r="G146" s="22">
        <f>SUMIFS(原始数据!$H$3:$H$1002,原始数据!$D$3:$D$1002,"HT20250721")</f>
        <v>351.885</v>
      </c>
      <c r="H146" s="22">
        <f>SUMIFS(原始数据!$I$3:$I$1002,原始数据!$D$3:$D$1002,"HT20250721")</f>
        <v>256.217</v>
      </c>
      <c r="I146" s="22">
        <f>SUMIFS(原始数据!$J$3:$J$1002,原始数据!$D$3:$D$1002,"HT20250721")</f>
        <v>81.13900000000001</v>
      </c>
      <c r="J146" s="22">
        <f>SUMIFS(原始数据!$K$3:$K$1002,原始数据!$D$3:$D$1002,"HT20250721")</f>
        <v>175.078</v>
      </c>
      <c r="K146" s="19" t="str">
        <f>IFERROR(INDEX(原始数据!$L$3:$L$1002,MATCH(1,INDEX((原始数据!$D$3:$D$1002="HT20250721")*(原始数据!$L$3:$L$1002&lt;&gt;""),0),0)),"")</f>
        <v>十部</v>
      </c>
      <c r="L146" s="20" t="str">
        <f>IFERROR(INDEX(原始数据!$M$3:$M$1002,MATCH(1,INDEX((原始数据!$D$3:$D$1002="HT20250721")*(原始数据!$M$3:$M$1002&lt;&gt;""),0),0)),"")</f>
        <v>阎莉</v>
      </c>
      <c r="M146" s="19" t="str">
        <f>IFERROR(INDEX(原始数据!$N$3:$N$1002,MATCH(1,INDEX((原始数据!$D$3:$D$1002="HT20250721")*(原始数据!$N$3:$N$1002&lt;&gt;""),0),0)),"")</f>
        <v>1年以内</v>
      </c>
      <c r="N146" s="19" t="inlineStr"/>
    </row>
    <row r="147">
      <c r="A147" s="13">
        <f>ROW()-2</f>
        <v>145</v>
      </c>
      <c r="B147" s="14" t="str">
        <f>IFERROR(INDEX(原始数据!$B$3:$B$1002,MATCH(1,INDEX((原始数据!$D$3:$D$1002="HT20250722")*(原始数据!$B$3:$B$1002&lt;&gt;""),0),0)),"")</f>
        <v>西南-云南</v>
      </c>
      <c r="C147" s="14" t="str">
        <f>IFERROR(INDEX(原始数据!$C$3:$C$1002,MATCH(1,INDEX((原始数据!$D$3:$D$1002="HT20250722")*(原始数据!$C$3:$C$1002&lt;&gt;""),0),0)),"")</f>
        <v>党委机关</v>
      </c>
      <c r="D147" s="15" t="inlineStr">
        <is>
          <t>HT20250722</t>
        </is>
      </c>
      <c r="E147" s="16">
        <f>IFERROR(INDEX(原始数据!$E$3:$E$1002,MATCH(1,INDEX((原始数据!$D$3:$D$1002="HT20250722")*(原始数据!$E$3:$E$1002&lt;&gt;""),0),0)),"")</f>
        <v>20260717</v>
      </c>
      <c r="F147" s="17">
        <f>SUMIFS(原始数据!$F$3:$F$1002,原始数据!$D$3:$D$1002,"HT20250722")</f>
        <v>4254.663</v>
      </c>
      <c r="G147" s="17">
        <f>SUMIFS(原始数据!$H$3:$H$1002,原始数据!$D$3:$D$1002,"HT20250722")</f>
        <v>203.488</v>
      </c>
      <c r="H147" s="17">
        <f>SUMIFS(原始数据!$I$3:$I$1002,原始数据!$D$3:$D$1002,"HT20250722")</f>
        <v>4051.1749999999997</v>
      </c>
      <c r="I147" s="17">
        <f>SUMIFS(原始数据!$J$3:$J$1002,原始数据!$D$3:$D$1002,"HT20250722")</f>
        <v>1744.273</v>
      </c>
      <c r="J147" s="17">
        <f>SUMIFS(原始数据!$K$3:$K$1002,原始数据!$D$3:$D$1002,"HT20250722")</f>
        <v>2306.902</v>
      </c>
      <c r="K147" s="14" t="str">
        <f>IFERROR(INDEX(原始数据!$L$3:$L$1002,MATCH(1,INDEX((原始数据!$D$3:$D$1002="HT20250722")*(原始数据!$L$3:$L$1002&lt;&gt;""),0),0)),"")</f>
        <v>八部</v>
      </c>
      <c r="L147" s="15" t="str">
        <f>IFERROR(INDEX(原始数据!$M$3:$M$1002,MATCH(1,INDEX((原始数据!$D$3:$D$1002="HT20250722")*(原始数据!$M$3:$M$1002&lt;&gt;""),0),0)),"")</f>
        <v>曾辉</v>
      </c>
      <c r="M147" s="14" t="str">
        <f>IFERROR(INDEX(原始数据!$N$3:$N$1002,MATCH(1,INDEX((原始数据!$D$3:$D$1002="HT20250722")*(原始数据!$N$3:$N$1002&lt;&gt;""),0),0)),"")</f>
        <v>1-2年</v>
      </c>
      <c r="N147" s="14" t="inlineStr"/>
    </row>
    <row r="148">
      <c r="A148" s="18">
        <f>ROW()-2</f>
        <v>146</v>
      </c>
      <c r="B148" s="19" t="str">
        <f>IFERROR(INDEX(原始数据!$B$3:$B$1002,MATCH(1,INDEX((原始数据!$D$3:$D$1002="HT20250723")*(原始数据!$B$3:$B$1002&lt;&gt;""),0),0)),"")</f>
        <v>华南-广西</v>
      </c>
      <c r="C148" s="19" t="str">
        <f>IFERROR(INDEX(原始数据!$C$3:$C$1002,MATCH(1,INDEX((原始数据!$D$3:$D$1002="HT20250723")*(原始数据!$C$3:$C$1002&lt;&gt;""),0),0)),"")</f>
        <v>政府机关</v>
      </c>
      <c r="D148" s="20" t="inlineStr">
        <is>
          <t>HT20250723</t>
        </is>
      </c>
      <c r="E148" s="21">
        <f>IFERROR(INDEX(原始数据!$E$3:$E$1002,MATCH(1,INDEX((原始数据!$D$3:$D$1002="HT20250723")*(原始数据!$E$3:$E$1002&lt;&gt;""),0),0)),"")</f>
        <v>20260502</v>
      </c>
      <c r="F148" s="22">
        <f>SUMIFS(原始数据!$F$3:$F$1002,原始数据!$D$3:$D$1002,"HT20250723")</f>
        <v>1341.658</v>
      </c>
      <c r="G148" s="22">
        <f>SUMIFS(原始数据!$H$3:$H$1002,原始数据!$D$3:$D$1002,"HT20250723")</f>
        <v>231.438</v>
      </c>
      <c r="H148" s="22">
        <f>SUMIFS(原始数据!$I$3:$I$1002,原始数据!$D$3:$D$1002,"HT20250723")</f>
        <v>1110.22</v>
      </c>
      <c r="I148" s="22">
        <f>SUMIFS(原始数据!$J$3:$J$1002,原始数据!$D$3:$D$1002,"HT20250723")</f>
        <v>761.029</v>
      </c>
      <c r="J148" s="22">
        <f>SUMIFS(原始数据!$K$3:$K$1002,原始数据!$D$3:$D$1002,"HT20250723")</f>
        <v>349.191</v>
      </c>
      <c r="K148" s="19" t="str">
        <f>IFERROR(INDEX(原始数据!$L$3:$L$1002,MATCH(1,INDEX((原始数据!$D$3:$D$1002="HT20250723")*(原始数据!$L$3:$L$1002&lt;&gt;""),0),0)),"")</f>
        <v>六部</v>
      </c>
      <c r="L148" s="20" t="str">
        <f>IFERROR(INDEX(原始数据!$M$3:$M$1002,MATCH(1,INDEX((原始数据!$D$3:$D$1002="HT20250723")*(原始数据!$M$3:$M$1002&lt;&gt;""),0),0)),"")</f>
        <v>冯倩</v>
      </c>
      <c r="M148" s="19" t="str">
        <f>IFERROR(INDEX(原始数据!$N$3:$N$1002,MATCH(1,INDEX((原始数据!$D$3:$D$1002="HT20250723")*(原始数据!$N$3:$N$1002&lt;&gt;""),0),0)),"")</f>
        <v>1年以内</v>
      </c>
      <c r="N148" s="19" t="inlineStr"/>
    </row>
    <row r="149">
      <c r="A149" s="13">
        <f>ROW()-2</f>
        <v>147</v>
      </c>
      <c r="B149" s="14" t="str">
        <f>IFERROR(INDEX(原始数据!$B$3:$B$1002,MATCH(1,INDEX((原始数据!$D$3:$D$1002="HT20250724")*(原始数据!$B$3:$B$1002&lt;&gt;""),0),0)),"")</f>
        <v>华南-海南</v>
      </c>
      <c r="C149" s="14" t="str">
        <f>IFERROR(INDEX(原始数据!$C$3:$C$1002,MATCH(1,INDEX((原始数据!$D$3:$D$1002="HT20250724")*(原始数据!$C$3:$C$1002&lt;&gt;""),0),0)),"")</f>
        <v>监察司法机关</v>
      </c>
      <c r="D149" s="15" t="inlineStr">
        <is>
          <t>HT20250724</t>
        </is>
      </c>
      <c r="E149" s="16">
        <f>IFERROR(INDEX(原始数据!$E$3:$E$1002,MATCH(1,INDEX((原始数据!$D$3:$D$1002="HT20250724")*(原始数据!$E$3:$E$1002&lt;&gt;""),0),0)),"")</f>
        <v>20260119</v>
      </c>
      <c r="F149" s="17">
        <f>SUMIFS(原始数据!$F$3:$F$1002,原始数据!$D$3:$D$1002,"HT20250724")</f>
        <v>913.17</v>
      </c>
      <c r="G149" s="17">
        <f>SUMIFS(原始数据!$H$3:$H$1002,原始数据!$D$3:$D$1002,"HT20250724")</f>
        <v>513.98</v>
      </c>
      <c r="H149" s="17">
        <f>SUMIFS(原始数据!$I$3:$I$1002,原始数据!$D$3:$D$1002,"HT20250724")</f>
        <v>399.19</v>
      </c>
      <c r="I149" s="17">
        <f>SUMIFS(原始数据!$J$3:$J$1002,原始数据!$D$3:$D$1002,"HT20250724")</f>
        <v>264.932</v>
      </c>
      <c r="J149" s="17">
        <f>SUMIFS(原始数据!$K$3:$K$1002,原始数据!$D$3:$D$1002,"HT20250724")</f>
        <v>134.258</v>
      </c>
      <c r="K149" s="14" t="str">
        <f>IFERROR(INDEX(原始数据!$L$3:$L$1002,MATCH(1,INDEX((原始数据!$D$3:$D$1002="HT20250724")*(原始数据!$L$3:$L$1002&lt;&gt;""),0),0)),"")</f>
        <v>一部</v>
      </c>
      <c r="L149" s="15" t="str">
        <f>IFERROR(INDEX(原始数据!$M$3:$M$1002,MATCH(1,INDEX((原始数据!$D$3:$D$1002="HT20250724")*(原始数据!$M$3:$M$1002&lt;&gt;""),0),0)),"")</f>
        <v>刘洋</v>
      </c>
      <c r="M149" s="14" t="str">
        <f>IFERROR(INDEX(原始数据!$N$3:$N$1002,MATCH(1,INDEX((原始数据!$D$3:$D$1002="HT20250724")*(原始数据!$N$3:$N$1002&lt;&gt;""),0),0)),"")</f>
        <v>2-3年</v>
      </c>
      <c r="N149" s="14" t="inlineStr"/>
    </row>
    <row r="150">
      <c r="A150" s="18">
        <f>ROW()-2</f>
        <v>148</v>
      </c>
      <c r="B150" s="19" t="str">
        <f>IFERROR(INDEX(原始数据!$B$3:$B$1002,MATCH(1,INDEX((原始数据!$D$3:$D$1002="HT20250725")*(原始数据!$B$3:$B$1002&lt;&gt;""),0),0)),"")</f>
        <v>东北-吉林</v>
      </c>
      <c r="C150" s="19" t="str">
        <f>IFERROR(INDEX(原始数据!$C$3:$C$1002,MATCH(1,INDEX((原始数据!$D$3:$D$1002="HT20250725")*(原始数据!$C$3:$C$1002&lt;&gt;""),0),0)),"")</f>
        <v>党委机关</v>
      </c>
      <c r="D150" s="20" t="inlineStr">
        <is>
          <t>HT20250725</t>
        </is>
      </c>
      <c r="E150" s="21">
        <f>IFERROR(INDEX(原始数据!$E$3:$E$1002,MATCH(1,INDEX((原始数据!$D$3:$D$1002="HT20250725")*(原始数据!$E$3:$E$1002&lt;&gt;""),0),0)),"")</f>
        <v>20260403</v>
      </c>
      <c r="F150" s="22">
        <f>SUMIFS(原始数据!$F$3:$F$1002,原始数据!$D$3:$D$1002,"HT20250725")</f>
        <v>6695.236</v>
      </c>
      <c r="G150" s="22">
        <f>SUMIFS(原始数据!$H$3:$H$1002,原始数据!$D$3:$D$1002,"HT20250725")</f>
        <v>5121.525</v>
      </c>
      <c r="H150" s="22">
        <f>SUMIFS(原始数据!$I$3:$I$1002,原始数据!$D$3:$D$1002,"HT20250725")</f>
        <v>1573.711</v>
      </c>
      <c r="I150" s="22">
        <f>SUMIFS(原始数据!$J$3:$J$1002,原始数据!$D$3:$D$1002,"HT20250725")</f>
        <v>522.179</v>
      </c>
      <c r="J150" s="22">
        <f>SUMIFS(原始数据!$K$3:$K$1002,原始数据!$D$3:$D$1002,"HT20250725")</f>
        <v>1051.532</v>
      </c>
      <c r="K150" s="19" t="str">
        <f>IFERROR(INDEX(原始数据!$L$3:$L$1002,MATCH(1,INDEX((原始数据!$D$3:$D$1002="HT20250725")*(原始数据!$L$3:$L$1002&lt;&gt;""),0),0)),"")</f>
        <v>七部</v>
      </c>
      <c r="L150" s="20" t="str">
        <f>IFERROR(INDEX(原始数据!$M$3:$M$1002,MATCH(1,INDEX((原始数据!$D$3:$D$1002="HT20250725")*(原始数据!$M$3:$M$1002&lt;&gt;""),0),0)),"")</f>
        <v>许涛</v>
      </c>
      <c r="M150" s="19" t="str">
        <f>IFERROR(INDEX(原始数据!$N$3:$N$1002,MATCH(1,INDEX((原始数据!$D$3:$D$1002="HT20250725")*(原始数据!$N$3:$N$1002&lt;&gt;""),0),0)),"")</f>
        <v>2-3年</v>
      </c>
      <c r="N150" s="19" t="inlineStr"/>
    </row>
    <row r="151">
      <c r="A151" s="13">
        <f>ROW()-2</f>
        <v>149</v>
      </c>
      <c r="B151" s="14" t="str">
        <f>IFERROR(INDEX(原始数据!$B$3:$B$1002,MATCH(1,INDEX((原始数据!$D$3:$D$1002="HT20250726")*(原始数据!$B$3:$B$1002&lt;&gt;""),0),0)),"")</f>
        <v>华中-河南</v>
      </c>
      <c r="C151" s="14" t="str">
        <f>IFERROR(INDEX(原始数据!$C$3:$C$1002,MATCH(1,INDEX((原始数据!$D$3:$D$1002="HT20250726")*(原始数据!$C$3:$C$1002&lt;&gt;""),0),0)),"")</f>
        <v>人大政协</v>
      </c>
      <c r="D151" s="15" t="inlineStr">
        <is>
          <t>HT20250726</t>
        </is>
      </c>
      <c r="E151" s="16">
        <f>IFERROR(INDEX(原始数据!$E$3:$E$1002,MATCH(1,INDEX((原始数据!$D$3:$D$1002="HT20250726")*(原始数据!$E$3:$E$1002&lt;&gt;""),0),0)),"")</f>
        <v>20260906</v>
      </c>
      <c r="F151" s="17">
        <f>SUMIFS(原始数据!$F$3:$F$1002,原始数据!$D$3:$D$1002,"HT20250726")</f>
        <v>831.176</v>
      </c>
      <c r="G151" s="17">
        <f>SUMIFS(原始数据!$H$3:$H$1002,原始数据!$D$3:$D$1002,"HT20250726")</f>
        <v>492.402</v>
      </c>
      <c r="H151" s="17">
        <f>SUMIFS(原始数据!$I$3:$I$1002,原始数据!$D$3:$D$1002,"HT20250726")</f>
        <v>338.774</v>
      </c>
      <c r="I151" s="17">
        <f>SUMIFS(原始数据!$J$3:$J$1002,原始数据!$D$3:$D$1002,"HT20250726")</f>
        <v>304.591</v>
      </c>
      <c r="J151" s="17">
        <f>SUMIFS(原始数据!$K$3:$K$1002,原始数据!$D$3:$D$1002,"HT20250726")</f>
        <v>34.183</v>
      </c>
      <c r="K151" s="14" t="str">
        <f>IFERROR(INDEX(原始数据!$L$3:$L$1002,MATCH(1,INDEX((原始数据!$D$3:$D$1002="HT20250726")*(原始数据!$L$3:$L$1002&lt;&gt;""),0),0)),"")</f>
        <v>六部</v>
      </c>
      <c r="L151" s="15" t="str">
        <f>IFERROR(INDEX(原始数据!$M$3:$M$1002,MATCH(1,INDEX((原始数据!$D$3:$D$1002="HT20250726")*(原始数据!$M$3:$M$1002&lt;&gt;""),0),0)),"")</f>
        <v>冯倩</v>
      </c>
      <c r="M151" s="14" t="str">
        <f>IFERROR(INDEX(原始数据!$N$3:$N$1002,MATCH(1,INDEX((原始数据!$D$3:$D$1002="HT20250726")*(原始数据!$N$3:$N$1002&lt;&gt;""),0),0)),"")</f>
        <v>1年以内</v>
      </c>
      <c r="N151" s="14" t="inlineStr"/>
    </row>
    <row r="152">
      <c r="A152" s="18">
        <f>ROW()-2</f>
        <v>150</v>
      </c>
      <c r="B152" s="19" t="str">
        <f>IFERROR(INDEX(原始数据!$B$3:$B$1002,MATCH(1,INDEX((原始数据!$D$3:$D$1002="HT20250728")*(原始数据!$B$3:$B$1002&lt;&gt;""),0),0)),"")</f>
        <v>华南-广西</v>
      </c>
      <c r="C152" s="19" t="str">
        <f>IFERROR(INDEX(原始数据!$C$3:$C$1002,MATCH(1,INDEX((原始数据!$D$3:$D$1002="HT20250728")*(原始数据!$C$3:$C$1002&lt;&gt;""),0),0)),"")</f>
        <v>基层自治组织</v>
      </c>
      <c r="D152" s="20" t="inlineStr">
        <is>
          <t>HT20250728</t>
        </is>
      </c>
      <c r="E152" s="21">
        <f>IFERROR(INDEX(原始数据!$E$3:$E$1002,MATCH(1,INDEX((原始数据!$D$3:$D$1002="HT20250728")*(原始数据!$E$3:$E$1002&lt;&gt;""),0),0)),"")</f>
        <v>20260717</v>
      </c>
      <c r="F152" s="22">
        <f>SUMIFS(原始数据!$F$3:$F$1002,原始数据!$D$3:$D$1002,"HT20250728")</f>
        <v>123.788</v>
      </c>
      <c r="G152" s="22">
        <f>SUMIFS(原始数据!$H$3:$H$1002,原始数据!$D$3:$D$1002,"HT20250728")</f>
        <v>23.464</v>
      </c>
      <c r="H152" s="22">
        <f>SUMIFS(原始数据!$I$3:$I$1002,原始数据!$D$3:$D$1002,"HT20250728")</f>
        <v>100.324</v>
      </c>
      <c r="I152" s="22">
        <f>SUMIFS(原始数据!$J$3:$J$1002,原始数据!$D$3:$D$1002,"HT20250728")</f>
        <v>4.993</v>
      </c>
      <c r="J152" s="22">
        <f>SUMIFS(原始数据!$K$3:$K$1002,原始数据!$D$3:$D$1002,"HT20250728")</f>
        <v>95.331</v>
      </c>
      <c r="K152" s="19" t="str">
        <f>IFERROR(INDEX(原始数据!$L$3:$L$1002,MATCH(1,INDEX((原始数据!$D$3:$D$1002="HT20250728")*(原始数据!$L$3:$L$1002&lt;&gt;""),0),0)),"")</f>
        <v>一部</v>
      </c>
      <c r="L152" s="20" t="str">
        <f>IFERROR(INDEX(原始数据!$M$3:$M$1002,MATCH(1,INDEX((原始数据!$D$3:$D$1002="HT20250728")*(原始数据!$M$3:$M$1002&lt;&gt;""),0),0)),"")</f>
        <v>张伟</v>
      </c>
      <c r="M152" s="19" t="str">
        <f>IFERROR(INDEX(原始数据!$N$3:$N$1002,MATCH(1,INDEX((原始数据!$D$3:$D$1002="HT20250728")*(原始数据!$N$3:$N$1002&lt;&gt;""),0),0)),"")</f>
        <v>2-3年</v>
      </c>
      <c r="N152" s="19" t="inlineStr"/>
    </row>
    <row r="153">
      <c r="A153" s="13">
        <f>ROW()-2</f>
        <v>151</v>
      </c>
      <c r="B153" s="14" t="str">
        <f>IFERROR(INDEX(原始数据!$B$3:$B$1002,MATCH(1,INDEX((原始数据!$D$3:$D$1002="HT20250729")*(原始数据!$B$3:$B$1002&lt;&gt;""),0),0)),"")</f>
        <v>华南-广西</v>
      </c>
      <c r="C153" s="14" t="str">
        <f>IFERROR(INDEX(原始数据!$C$3:$C$1002,MATCH(1,INDEX((原始数据!$D$3:$D$1002="HT20250729")*(原始数据!$C$3:$C$1002&lt;&gt;""),0),0)),"")</f>
        <v>事业单位</v>
      </c>
      <c r="D153" s="15" t="inlineStr">
        <is>
          <t>HT20250729</t>
        </is>
      </c>
      <c r="E153" s="16">
        <f>IFERROR(INDEX(原始数据!$E$3:$E$1002,MATCH(1,INDEX((原始数据!$D$3:$D$1002="HT20250729")*(原始数据!$E$3:$E$1002&lt;&gt;""),0),0)),"")</f>
        <v>20260306</v>
      </c>
      <c r="F153" s="17">
        <f>SUMIFS(原始数据!$F$3:$F$1002,原始数据!$D$3:$D$1002,"HT20250729")</f>
        <v>418.214</v>
      </c>
      <c r="G153" s="17">
        <f>SUMIFS(原始数据!$H$3:$H$1002,原始数据!$D$3:$D$1002,"HT20250729")</f>
        <v>182.313</v>
      </c>
      <c r="H153" s="17">
        <f>SUMIFS(原始数据!$I$3:$I$1002,原始数据!$D$3:$D$1002,"HT20250729")</f>
        <v>235.901</v>
      </c>
      <c r="I153" s="17">
        <f>SUMIFS(原始数据!$J$3:$J$1002,原始数据!$D$3:$D$1002,"HT20250729")</f>
        <v>165.163</v>
      </c>
      <c r="J153" s="17">
        <f>SUMIFS(原始数据!$K$3:$K$1002,原始数据!$D$3:$D$1002,"HT20250729")</f>
        <v>70.738</v>
      </c>
      <c r="K153" s="14" t="str">
        <f>IFERROR(INDEX(原始数据!$L$3:$L$1002,MATCH(1,INDEX((原始数据!$D$3:$D$1002="HT20250729")*(原始数据!$L$3:$L$1002&lt;&gt;""),0),0)),"")</f>
        <v>三部</v>
      </c>
      <c r="L153" s="15" t="str">
        <f>IFERROR(INDEX(原始数据!$M$3:$M$1002,MATCH(1,INDEX((原始数据!$D$3:$D$1002="HT20250729")*(原始数据!$M$3:$M$1002&lt;&gt;""),0),0)),"")</f>
        <v>朱军</v>
      </c>
      <c r="M153" s="14" t="str">
        <f>IFERROR(INDEX(原始数据!$N$3:$N$1002,MATCH(1,INDEX((原始数据!$D$3:$D$1002="HT20250729")*(原始数据!$N$3:$N$1002&lt;&gt;""),0),0)),"")</f>
        <v>1年以内</v>
      </c>
      <c r="N153" s="14" t="inlineStr"/>
    </row>
    <row r="154">
      <c r="A154" s="18">
        <f>ROW()-2</f>
        <v>152</v>
      </c>
      <c r="B154" s="19" t="str">
        <f>IFERROR(INDEX(原始数据!$B$3:$B$1002,MATCH(1,INDEX((原始数据!$D$3:$D$1002="HT20250730")*(原始数据!$B$3:$B$1002&lt;&gt;""),0),0)),"")</f>
        <v>华东-台湾</v>
      </c>
      <c r="C154" s="19" t="str">
        <f>IFERROR(INDEX(原始数据!$C$3:$C$1002,MATCH(1,INDEX((原始数据!$D$3:$D$1002="HT20250730")*(原始数据!$C$3:$C$1002&lt;&gt;""),0),0)),"")</f>
        <v>群团组织</v>
      </c>
      <c r="D154" s="20" t="inlineStr">
        <is>
          <t>HT20250730</t>
        </is>
      </c>
      <c r="E154" s="21">
        <f>IFERROR(INDEX(原始数据!$E$3:$E$1002,MATCH(1,INDEX((原始数据!$D$3:$D$1002="HT20250730")*(原始数据!$E$3:$E$1002&lt;&gt;""),0),0)),"")</f>
        <v>20260805</v>
      </c>
      <c r="F154" s="22">
        <f>SUMIFS(原始数据!$F$3:$F$1002,原始数据!$D$3:$D$1002,"HT20250730")</f>
        <v>579.526</v>
      </c>
      <c r="G154" s="22">
        <f>SUMIFS(原始数据!$H$3:$H$1002,原始数据!$D$3:$D$1002,"HT20250730")</f>
        <v>371.712</v>
      </c>
      <c r="H154" s="22">
        <f>SUMIFS(原始数据!$I$3:$I$1002,原始数据!$D$3:$D$1002,"HT20250730")</f>
        <v>207.814</v>
      </c>
      <c r="I154" s="22">
        <f>SUMIFS(原始数据!$J$3:$J$1002,原始数据!$D$3:$D$1002,"HT20250730")</f>
        <v>115.774</v>
      </c>
      <c r="J154" s="22">
        <f>SUMIFS(原始数据!$K$3:$K$1002,原始数据!$D$3:$D$1002,"HT20250730")</f>
        <v>92.04</v>
      </c>
      <c r="K154" s="19" t="str">
        <f>IFERROR(INDEX(原始数据!$L$3:$L$1002,MATCH(1,INDEX((原始数据!$D$3:$D$1002="HT20250730")*(原始数据!$L$3:$L$1002&lt;&gt;""),0),0)),"")</f>
        <v>六部</v>
      </c>
      <c r="L154" s="20" t="str">
        <f>IFERROR(INDEX(原始数据!$M$3:$M$1002,MATCH(1,INDEX((原始数据!$D$3:$D$1002="HT20250730")*(原始数据!$M$3:$M$1002&lt;&gt;""),0),0)),"")</f>
        <v>曹阳</v>
      </c>
      <c r="M154" s="19" t="str">
        <f>IFERROR(INDEX(原始数据!$N$3:$N$1002,MATCH(1,INDEX((原始数据!$D$3:$D$1002="HT20250730")*(原始数据!$N$3:$N$1002&lt;&gt;""),0),0)),"")</f>
        <v>1年以内</v>
      </c>
      <c r="N154" s="19" t="inlineStr"/>
    </row>
    <row r="155">
      <c r="A155" s="13">
        <f>ROW()-2</f>
        <v>153</v>
      </c>
      <c r="B155" s="14" t="str">
        <f>IFERROR(INDEX(原始数据!$B$3:$B$1002,MATCH(1,INDEX((原始数据!$D$3:$D$1002="HT20250731")*(原始数据!$B$3:$B$1002&lt;&gt;""),0),0)),"")</f>
        <v>华东-山东</v>
      </c>
      <c r="C155" s="14" t="str">
        <f>IFERROR(INDEX(原始数据!$C$3:$C$1002,MATCH(1,INDEX((原始数据!$D$3:$D$1002="HT20250731")*(原始数据!$C$3:$C$1002&lt;&gt;""),0),0)),"")</f>
        <v>事业单位</v>
      </c>
      <c r="D155" s="15" t="inlineStr">
        <is>
          <t>HT20250731</t>
        </is>
      </c>
      <c r="E155" s="16">
        <f>IFERROR(INDEX(原始数据!$E$3:$E$1002,MATCH(1,INDEX((原始数据!$D$3:$D$1002="HT20250731")*(原始数据!$E$3:$E$1002&lt;&gt;""),0),0)),"")</f>
        <v>20260402</v>
      </c>
      <c r="F155" s="17">
        <f>SUMIFS(原始数据!$F$3:$F$1002,原始数据!$D$3:$D$1002,"HT20250731")</f>
        <v>198.065</v>
      </c>
      <c r="G155" s="17">
        <f>SUMIFS(原始数据!$H$3:$H$1002,原始数据!$D$3:$D$1002,"HT20250731")</f>
        <v>150.03</v>
      </c>
      <c r="H155" s="17">
        <f>SUMIFS(原始数据!$I$3:$I$1002,原始数据!$D$3:$D$1002,"HT20250731")</f>
        <v>48.035</v>
      </c>
      <c r="I155" s="17">
        <f>SUMIFS(原始数据!$J$3:$J$1002,原始数据!$D$3:$D$1002,"HT20250731")</f>
        <v>24.24</v>
      </c>
      <c r="J155" s="17">
        <f>SUMIFS(原始数据!$K$3:$K$1002,原始数据!$D$3:$D$1002,"HT20250731")</f>
        <v>23.795</v>
      </c>
      <c r="K155" s="14" t="str">
        <f>IFERROR(INDEX(原始数据!$L$3:$L$1002,MATCH(1,INDEX((原始数据!$D$3:$D$1002="HT20250731")*(原始数据!$L$3:$L$1002&lt;&gt;""),0),0)),"")</f>
        <v>九部</v>
      </c>
      <c r="L155" s="15" t="str">
        <f>IFERROR(INDEX(原始数据!$M$3:$M$1002,MATCH(1,INDEX((原始数据!$D$3:$D$1002="HT20250731")*(原始数据!$M$3:$M$1002&lt;&gt;""),0),0)),"")</f>
        <v>贾静</v>
      </c>
      <c r="M155" s="14" t="str">
        <f>IFERROR(INDEX(原始数据!$N$3:$N$1002,MATCH(1,INDEX((原始数据!$D$3:$D$1002="HT20250731")*(原始数据!$N$3:$N$1002&lt;&gt;""),0),0)),"")</f>
        <v>1年以内</v>
      </c>
      <c r="N155" s="14" t="inlineStr"/>
    </row>
    <row r="156">
      <c r="A156" s="18">
        <f>ROW()-2</f>
        <v>154</v>
      </c>
      <c r="B156" s="19" t="str">
        <f>IFERROR(INDEX(原始数据!$B$3:$B$1002,MATCH(1,INDEX((原始数据!$D$3:$D$1002="HT20250801")*(原始数据!$B$3:$B$1002&lt;&gt;""),0),0)),"")</f>
        <v>华北-河北</v>
      </c>
      <c r="C156" s="19" t="str">
        <f>IFERROR(INDEX(原始数据!$C$3:$C$1002,MATCH(1,INDEX((原始数据!$D$3:$D$1002="HT20250801")*(原始数据!$C$3:$C$1002&lt;&gt;""),0),0)),"")</f>
        <v>群团组织</v>
      </c>
      <c r="D156" s="20" t="inlineStr">
        <is>
          <t>HT20250801</t>
        </is>
      </c>
      <c r="E156" s="21">
        <f>IFERROR(INDEX(原始数据!$E$3:$E$1002,MATCH(1,INDEX((原始数据!$D$3:$D$1002="HT20250801")*(原始数据!$E$3:$E$1002&lt;&gt;""),0),0)),"")</f>
        <v>20260914</v>
      </c>
      <c r="F156" s="22">
        <f>SUMIFS(原始数据!$F$3:$F$1002,原始数据!$D$3:$D$1002,"HT20250801")</f>
        <v>9297.536</v>
      </c>
      <c r="G156" s="22">
        <f>SUMIFS(原始数据!$H$3:$H$1002,原始数据!$D$3:$D$1002,"HT20250801")</f>
        <v>4718.321999999999</v>
      </c>
      <c r="H156" s="22">
        <f>SUMIFS(原始数据!$I$3:$I$1002,原始数据!$D$3:$D$1002,"HT20250801")</f>
        <v>4579.214</v>
      </c>
      <c r="I156" s="22">
        <f>SUMIFS(原始数据!$J$3:$J$1002,原始数据!$D$3:$D$1002,"HT20250801")</f>
        <v>2940.352</v>
      </c>
      <c r="J156" s="22">
        <f>SUMIFS(原始数据!$K$3:$K$1002,原始数据!$D$3:$D$1002,"HT20250801")</f>
        <v>1638.862</v>
      </c>
      <c r="K156" s="19" t="str">
        <f>IFERROR(INDEX(原始数据!$L$3:$L$1002,MATCH(1,INDEX((原始数据!$D$3:$D$1002="HT20250801")*(原始数据!$L$3:$L$1002&lt;&gt;""),0),0)),"")</f>
        <v>七部</v>
      </c>
      <c r="L156" s="20" t="str">
        <f>IFERROR(INDEX(原始数据!$M$3:$M$1002,MATCH(1,INDEX((原始数据!$D$3:$D$1002="HT20250801")*(原始数据!$M$3:$M$1002&lt;&gt;""),0),0)),"")</f>
        <v>袁博</v>
      </c>
      <c r="M156" s="19" t="str">
        <f>IFERROR(INDEX(原始数据!$N$3:$N$1002,MATCH(1,INDEX((原始数据!$D$3:$D$1002="HT20250801")*(原始数据!$N$3:$N$1002&lt;&gt;""),0),0)),"")</f>
        <v>2-3年</v>
      </c>
      <c r="N156" s="19" t="inlineStr"/>
    </row>
    <row r="157">
      <c r="A157" s="13">
        <f>ROW()-2</f>
        <v>155</v>
      </c>
      <c r="B157" s="14" t="str">
        <f>IFERROR(INDEX(原始数据!$B$3:$B$1002,MATCH(1,INDEX((原始数据!$D$3:$D$1002="HT20250802")*(原始数据!$B$3:$B$1002&lt;&gt;""),0),0)),"")</f>
        <v>华中-河南</v>
      </c>
      <c r="C157" s="14" t="str">
        <f>IFERROR(INDEX(原始数据!$C$3:$C$1002,MATCH(1,INDEX((原始数据!$D$3:$D$1002="HT20250802")*(原始数据!$C$3:$C$1002&lt;&gt;""),0),0)),"")</f>
        <v>群团组织</v>
      </c>
      <c r="D157" s="15" t="inlineStr">
        <is>
          <t>HT20250802</t>
        </is>
      </c>
      <c r="E157" s="16">
        <f>IFERROR(INDEX(原始数据!$E$3:$E$1002,MATCH(1,INDEX((原始数据!$D$3:$D$1002="HT20250802")*(原始数据!$E$3:$E$1002&lt;&gt;""),0),0)),"")</f>
        <v>20260316</v>
      </c>
      <c r="F157" s="17">
        <f>SUMIFS(原始数据!$F$3:$F$1002,原始数据!$D$3:$D$1002,"HT20250802")</f>
        <v>2049.1899999999996</v>
      </c>
      <c r="G157" s="17">
        <f>SUMIFS(原始数据!$H$3:$H$1002,原始数据!$D$3:$D$1002,"HT20250802")</f>
        <v>952.4869999999999</v>
      </c>
      <c r="H157" s="17">
        <f>SUMIFS(原始数据!$I$3:$I$1002,原始数据!$D$3:$D$1002,"HT20250802")</f>
        <v>1096.703</v>
      </c>
      <c r="I157" s="17">
        <f>SUMIFS(原始数据!$J$3:$J$1002,原始数据!$D$3:$D$1002,"HT20250802")</f>
        <v>242.762</v>
      </c>
      <c r="J157" s="17">
        <f>SUMIFS(原始数据!$K$3:$K$1002,原始数据!$D$3:$D$1002,"HT20250802")</f>
        <v>853.941</v>
      </c>
      <c r="K157" s="14" t="str">
        <f>IFERROR(INDEX(原始数据!$L$3:$L$1002,MATCH(1,INDEX((原始数据!$D$3:$D$1002="HT20250802")*(原始数据!$L$3:$L$1002&lt;&gt;""),0),0)),"")</f>
        <v>七部</v>
      </c>
      <c r="L157" s="15" t="str">
        <f>IFERROR(INDEX(原始数据!$M$3:$M$1002,MATCH(1,INDEX((原始数据!$D$3:$D$1002="HT20250802")*(原始数据!$M$3:$M$1002&lt;&gt;""),0),0)),"")</f>
        <v>沈刚</v>
      </c>
      <c r="M157" s="14" t="str">
        <f>IFERROR(INDEX(原始数据!$N$3:$N$1002,MATCH(1,INDEX((原始数据!$D$3:$D$1002="HT20250802")*(原始数据!$N$3:$N$1002&lt;&gt;""),0),0)),"")</f>
        <v>1-2年</v>
      </c>
      <c r="N157" s="14" t="inlineStr"/>
    </row>
    <row r="158">
      <c r="A158" s="18">
        <f>ROW()-2</f>
        <v>156</v>
      </c>
      <c r="B158" s="19" t="str">
        <f>IFERROR(INDEX(原始数据!$B$3:$B$1002,MATCH(1,INDEX((原始数据!$D$3:$D$1002="HT20250805")*(原始数据!$B$3:$B$1002&lt;&gt;""),0),0)),"")</f>
        <v>西南-贵州</v>
      </c>
      <c r="C158" s="19" t="str">
        <f>IFERROR(INDEX(原始数据!$C$3:$C$1002,MATCH(1,INDEX((原始数据!$D$3:$D$1002="HT20250805")*(原始数据!$C$3:$C$1002&lt;&gt;""),0),0)),"")</f>
        <v>事业单位</v>
      </c>
      <c r="D158" s="20" t="inlineStr">
        <is>
          <t>HT20250805</t>
        </is>
      </c>
      <c r="E158" s="21">
        <f>IFERROR(INDEX(原始数据!$E$3:$E$1002,MATCH(1,INDEX((原始数据!$D$3:$D$1002="HT20250805")*(原始数据!$E$3:$E$1002&lt;&gt;""),0),0)),"")</f>
        <v>20260630</v>
      </c>
      <c r="F158" s="22">
        <f>SUMIFS(原始数据!$F$3:$F$1002,原始数据!$D$3:$D$1002,"HT20250805")</f>
        <v>1010.175</v>
      </c>
      <c r="G158" s="22">
        <f>SUMIFS(原始数据!$H$3:$H$1002,原始数据!$D$3:$D$1002,"HT20250805")</f>
        <v>291.45399999999995</v>
      </c>
      <c r="H158" s="22">
        <f>SUMIFS(原始数据!$I$3:$I$1002,原始数据!$D$3:$D$1002,"HT20250805")</f>
        <v>718.721</v>
      </c>
      <c r="I158" s="22">
        <f>SUMIFS(原始数据!$J$3:$J$1002,原始数据!$D$3:$D$1002,"HT20250805")</f>
        <v>29.645000000000003</v>
      </c>
      <c r="J158" s="22">
        <f>SUMIFS(原始数据!$K$3:$K$1002,原始数据!$D$3:$D$1002,"HT20250805")</f>
        <v>689.076</v>
      </c>
      <c r="K158" s="19" t="str">
        <f>IFERROR(INDEX(原始数据!$L$3:$L$1002,MATCH(1,INDEX((原始数据!$D$3:$D$1002="HT20250805")*(原始数据!$L$3:$L$1002&lt;&gt;""),0),0)),"")</f>
        <v>九部</v>
      </c>
      <c r="L158" s="20" t="str">
        <f>IFERROR(INDEX(原始数据!$M$3:$M$1002,MATCH(1,INDEX((原始数据!$D$3:$D$1002="HT20250805")*(原始数据!$M$3:$M$1002&lt;&gt;""),0),0)),"")</f>
        <v>蔡明</v>
      </c>
      <c r="M158" s="19" t="str">
        <f>IFERROR(INDEX(原始数据!$N$3:$N$1002,MATCH(1,INDEX((原始数据!$D$3:$D$1002="HT20250805")*(原始数据!$N$3:$N$1002&lt;&gt;""),0),0)),"")</f>
        <v>1-2年</v>
      </c>
      <c r="N158" s="19" t="inlineStr"/>
    </row>
    <row r="159">
      <c r="A159" s="13">
        <f>ROW()-2</f>
        <v>157</v>
      </c>
      <c r="B159" s="14" t="str">
        <f>IFERROR(INDEX(原始数据!$B$3:$B$1002,MATCH(1,INDEX((原始数据!$D$3:$D$1002="HT20250807")*(原始数据!$B$3:$B$1002&lt;&gt;""),0),0)),"")</f>
        <v>东北-黑龙江</v>
      </c>
      <c r="C159" s="14" t="str">
        <f>IFERROR(INDEX(原始数据!$C$3:$C$1002,MATCH(1,INDEX((原始数据!$D$3:$D$1002="HT20250807")*(原始数据!$C$3:$C$1002&lt;&gt;""),0),0)),"")</f>
        <v>监察司法机关</v>
      </c>
      <c r="D159" s="15" t="inlineStr">
        <is>
          <t>HT20250807</t>
        </is>
      </c>
      <c r="E159" s="16">
        <f>IFERROR(INDEX(原始数据!$E$3:$E$1002,MATCH(1,INDEX((原始数据!$D$3:$D$1002="HT20250807")*(原始数据!$E$3:$E$1002&lt;&gt;""),0),0)),"")</f>
        <v>20260704</v>
      </c>
      <c r="F159" s="17">
        <f>SUMIFS(原始数据!$F$3:$F$1002,原始数据!$D$3:$D$1002,"HT20250807")</f>
        <v>803.263</v>
      </c>
      <c r="G159" s="17">
        <f>SUMIFS(原始数据!$H$3:$H$1002,原始数据!$D$3:$D$1002,"HT20250807")</f>
        <v>502.56899999999996</v>
      </c>
      <c r="H159" s="17">
        <f>SUMIFS(原始数据!$I$3:$I$1002,原始数据!$D$3:$D$1002,"HT20250807")</f>
        <v>300.69399999999996</v>
      </c>
      <c r="I159" s="17">
        <f>SUMIFS(原始数据!$J$3:$J$1002,原始数据!$D$3:$D$1002,"HT20250807")</f>
        <v>81.931</v>
      </c>
      <c r="J159" s="17">
        <f>SUMIFS(原始数据!$K$3:$K$1002,原始数据!$D$3:$D$1002,"HT20250807")</f>
        <v>218.763</v>
      </c>
      <c r="K159" s="14" t="str">
        <f>IFERROR(INDEX(原始数据!$L$3:$L$1002,MATCH(1,INDEX((原始数据!$D$3:$D$1002="HT20250807")*(原始数据!$L$3:$L$1002&lt;&gt;""),0),0)),"")</f>
        <v>三部</v>
      </c>
      <c r="L159" s="15" t="str">
        <f>IFERROR(INDEX(原始数据!$M$3:$M$1002,MATCH(1,INDEX((原始数据!$D$3:$D$1002="HT20250807")*(原始数据!$M$3:$M$1002&lt;&gt;""),0),0)),"")</f>
        <v>胡蓉</v>
      </c>
      <c r="M159" s="14" t="str">
        <f>IFERROR(INDEX(原始数据!$N$3:$N$1002,MATCH(1,INDEX((原始数据!$D$3:$D$1002="HT20250807")*(原始数据!$N$3:$N$1002&lt;&gt;""),0),0)),"")</f>
        <v>1年以内</v>
      </c>
      <c r="N159" s="14" t="inlineStr"/>
    </row>
    <row r="160">
      <c r="A160" s="18">
        <f>ROW()-2</f>
        <v>158</v>
      </c>
      <c r="B160" s="19" t="str">
        <f>IFERROR(INDEX(原始数据!$B$3:$B$1002,MATCH(1,INDEX((原始数据!$D$3:$D$1002="HT20250809")*(原始数据!$B$3:$B$1002&lt;&gt;""),0),0)),"")</f>
        <v>华南-香港</v>
      </c>
      <c r="C160" s="19" t="str">
        <f>IFERROR(INDEX(原始数据!$C$3:$C$1002,MATCH(1,INDEX((原始数据!$D$3:$D$1002="HT20250809")*(原始数据!$C$3:$C$1002&lt;&gt;""),0),0)),"")</f>
        <v>基层自治组织</v>
      </c>
      <c r="D160" s="20" t="inlineStr">
        <is>
          <t>HT20250809</t>
        </is>
      </c>
      <c r="E160" s="21">
        <f>IFERROR(INDEX(原始数据!$E$3:$E$1002,MATCH(1,INDEX((原始数据!$D$3:$D$1002="HT20250809")*(原始数据!$E$3:$E$1002&lt;&gt;""),0),0)),"")</f>
        <v>20260227</v>
      </c>
      <c r="F160" s="22">
        <f>SUMIFS(原始数据!$F$3:$F$1002,原始数据!$D$3:$D$1002,"HT20250809")</f>
        <v>2292.7019999999998</v>
      </c>
      <c r="G160" s="22">
        <f>SUMIFS(原始数据!$H$3:$H$1002,原始数据!$D$3:$D$1002,"HT20250809")</f>
        <v>1421.3719999999998</v>
      </c>
      <c r="H160" s="22">
        <f>SUMIFS(原始数据!$I$3:$I$1002,原始数据!$D$3:$D$1002,"HT20250809")</f>
        <v>871.3300000000002</v>
      </c>
      <c r="I160" s="22">
        <f>SUMIFS(原始数据!$J$3:$J$1002,原始数据!$D$3:$D$1002,"HT20250809")</f>
        <v>464.86999999999995</v>
      </c>
      <c r="J160" s="22">
        <f>SUMIFS(原始数据!$K$3:$K$1002,原始数据!$D$3:$D$1002,"HT20250809")</f>
        <v>406.46</v>
      </c>
      <c r="K160" s="19" t="str">
        <f>IFERROR(INDEX(原始数据!$L$3:$L$1002,MATCH(1,INDEX((原始数据!$D$3:$D$1002="HT20250809")*(原始数据!$L$3:$L$1002&lt;&gt;""),0),0)),"")</f>
        <v>四部</v>
      </c>
      <c r="L160" s="20" t="str">
        <f>IFERROR(INDEX(原始数据!$M$3:$M$1002,MATCH(1,INDEX((原始数据!$D$3:$D$1002="HT20250809")*(原始数据!$M$3:$M$1002&lt;&gt;""),0),0)),"")</f>
        <v>何萍</v>
      </c>
      <c r="M160" s="19" t="str">
        <f>IFERROR(INDEX(原始数据!$N$3:$N$1002,MATCH(1,INDEX((原始数据!$D$3:$D$1002="HT20250809")*(原始数据!$N$3:$N$1002&lt;&gt;""),0),0)),"")</f>
        <v>2-3年</v>
      </c>
      <c r="N160" s="19" t="inlineStr"/>
    </row>
    <row r="161">
      <c r="A161" s="13">
        <f>ROW()-2</f>
        <v>159</v>
      </c>
      <c r="B161" s="14" t="str">
        <f>IFERROR(INDEX(原始数据!$B$3:$B$1002,MATCH(1,INDEX((原始数据!$D$3:$D$1002="HT20250810")*(原始数据!$B$3:$B$1002&lt;&gt;""),0),0)),"")</f>
        <v>华中-河南</v>
      </c>
      <c r="C161" s="14" t="str">
        <f>IFERROR(INDEX(原始数据!$C$3:$C$1002,MATCH(1,INDEX((原始数据!$D$3:$D$1002="HT20250810")*(原始数据!$C$3:$C$1002&lt;&gt;""),0),0)),"")</f>
        <v>基层自治组织</v>
      </c>
      <c r="D161" s="15" t="inlineStr">
        <is>
          <t>HT20250810</t>
        </is>
      </c>
      <c r="E161" s="16">
        <f>IFERROR(INDEX(原始数据!$E$3:$E$1002,MATCH(1,INDEX((原始数据!$D$3:$D$1002="HT20250810")*(原始数据!$E$3:$E$1002&lt;&gt;""),0),0)),"")</f>
        <v>20260420</v>
      </c>
      <c r="F161" s="17">
        <f>SUMIFS(原始数据!$F$3:$F$1002,原始数据!$D$3:$D$1002,"HT20250810")</f>
        <v>227.677</v>
      </c>
      <c r="G161" s="17">
        <f>SUMIFS(原始数据!$H$3:$H$1002,原始数据!$D$3:$D$1002,"HT20250810")</f>
        <v>187.45</v>
      </c>
      <c r="H161" s="17">
        <f>SUMIFS(原始数据!$I$3:$I$1002,原始数据!$D$3:$D$1002,"HT20250810")</f>
        <v>40.227</v>
      </c>
      <c r="I161" s="17">
        <f>SUMIFS(原始数据!$J$3:$J$1002,原始数据!$D$3:$D$1002,"HT20250810")</f>
        <v>33.899</v>
      </c>
      <c r="J161" s="17">
        <f>SUMIFS(原始数据!$K$3:$K$1002,原始数据!$D$3:$D$1002,"HT20250810")</f>
        <v>6.328</v>
      </c>
      <c r="K161" s="14" t="str">
        <f>IFERROR(INDEX(原始数据!$L$3:$L$1002,MATCH(1,INDEX((原始数据!$D$3:$D$1002="HT20250810")*(原始数据!$L$3:$L$1002&lt;&gt;""),0),0)),"")</f>
        <v>二部</v>
      </c>
      <c r="L161" s="15" t="str">
        <f>IFERROR(INDEX(原始数据!$M$3:$M$1002,MATCH(1,INDEX((原始数据!$D$3:$D$1002="HT20250810")*(原始数据!$M$3:$M$1002&lt;&gt;""),0),0)),"")</f>
        <v>杨磊</v>
      </c>
      <c r="M161" s="14" t="str">
        <f>IFERROR(INDEX(原始数据!$N$3:$N$1002,MATCH(1,INDEX((原始数据!$D$3:$D$1002="HT20250810")*(原始数据!$N$3:$N$1002&lt;&gt;""),0),0)),"")</f>
        <v>1-2年</v>
      </c>
      <c r="N161" s="14" t="inlineStr"/>
    </row>
    <row r="162">
      <c r="A162" s="18">
        <f>ROW()-2</f>
        <v>160</v>
      </c>
      <c r="B162" s="19" t="str">
        <f>IFERROR(INDEX(原始数据!$B$3:$B$1002,MATCH(1,INDEX((原始数据!$D$3:$D$1002="HT20250811")*(原始数据!$B$3:$B$1002&lt;&gt;""),0),0)),"")</f>
        <v>华中-湖北</v>
      </c>
      <c r="C162" s="19" t="str">
        <f>IFERROR(INDEX(原始数据!$C$3:$C$1002,MATCH(1,INDEX((原始数据!$D$3:$D$1002="HT20250811")*(原始数据!$C$3:$C$1002&lt;&gt;""),0),0)),"")</f>
        <v>党委机关</v>
      </c>
      <c r="D162" s="20" t="inlineStr">
        <is>
          <t>HT20250811</t>
        </is>
      </c>
      <c r="E162" s="21">
        <f>IFERROR(INDEX(原始数据!$E$3:$E$1002,MATCH(1,INDEX((原始数据!$D$3:$D$1002="HT20250811")*(原始数据!$E$3:$E$1002&lt;&gt;""),0),0)),"")</f>
        <v>20260818</v>
      </c>
      <c r="F162" s="22">
        <f>SUMIFS(原始数据!$F$3:$F$1002,原始数据!$D$3:$D$1002,"HT20250811")</f>
        <v>927.958</v>
      </c>
      <c r="G162" s="22">
        <f>SUMIFS(原始数据!$H$3:$H$1002,原始数据!$D$3:$D$1002,"HT20250811")</f>
        <v>414.415</v>
      </c>
      <c r="H162" s="22">
        <f>SUMIFS(原始数据!$I$3:$I$1002,原始数据!$D$3:$D$1002,"HT20250811")</f>
        <v>513.543</v>
      </c>
      <c r="I162" s="22">
        <f>SUMIFS(原始数据!$J$3:$J$1002,原始数据!$D$3:$D$1002,"HT20250811")</f>
        <v>33.543</v>
      </c>
      <c r="J162" s="22">
        <f>SUMIFS(原始数据!$K$3:$K$1002,原始数据!$D$3:$D$1002,"HT20250811")</f>
        <v>480.0</v>
      </c>
      <c r="K162" s="19" t="str">
        <f>IFERROR(INDEX(原始数据!$L$3:$L$1002,MATCH(1,INDEX((原始数据!$D$3:$D$1002="HT20250811")*(原始数据!$L$3:$L$1002&lt;&gt;""),0),0)),"")</f>
        <v>三部</v>
      </c>
      <c r="L162" s="20" t="str">
        <f>IFERROR(INDEX(原始数据!$M$3:$M$1002,MATCH(1,INDEX((原始数据!$D$3:$D$1002="HT20250811")*(原始数据!$M$3:$M$1002&lt;&gt;""),0),0)),"")</f>
        <v>朱军</v>
      </c>
      <c r="M162" s="19" t="str">
        <f>IFERROR(INDEX(原始数据!$N$3:$N$1002,MATCH(1,INDEX((原始数据!$D$3:$D$1002="HT20250811")*(原始数据!$N$3:$N$1002&lt;&gt;""),0),0)),"")</f>
        <v>1年以内</v>
      </c>
      <c r="N162" s="19" t="inlineStr"/>
    </row>
    <row r="163">
      <c r="A163" s="13">
        <f>ROW()-2</f>
        <v>161</v>
      </c>
      <c r="B163" s="14" t="str">
        <f>IFERROR(INDEX(原始数据!$B$3:$B$1002,MATCH(1,INDEX((原始数据!$D$3:$D$1002="HT20250812")*(原始数据!$B$3:$B$1002&lt;&gt;""),0),0)),"")</f>
        <v>华北-天津</v>
      </c>
      <c r="C163" s="14" t="str">
        <f>IFERROR(INDEX(原始数据!$C$3:$C$1002,MATCH(1,INDEX((原始数据!$D$3:$D$1002="HT20250812")*(原始数据!$C$3:$C$1002&lt;&gt;""),0),0)),"")</f>
        <v>基层自治组织</v>
      </c>
      <c r="D163" s="15" t="inlineStr">
        <is>
          <t>HT20250812</t>
        </is>
      </c>
      <c r="E163" s="16">
        <f>IFERROR(INDEX(原始数据!$E$3:$E$1002,MATCH(1,INDEX((原始数据!$D$3:$D$1002="HT20250812")*(原始数据!$E$3:$E$1002&lt;&gt;""),0),0)),"")</f>
        <v>20260820</v>
      </c>
      <c r="F163" s="17">
        <f>SUMIFS(原始数据!$F$3:$F$1002,原始数据!$D$3:$D$1002,"HT20250812")</f>
        <v>1457.8760000000002</v>
      </c>
      <c r="G163" s="17">
        <f>SUMIFS(原始数据!$H$3:$H$1002,原始数据!$D$3:$D$1002,"HT20250812")</f>
        <v>535.798</v>
      </c>
      <c r="H163" s="17">
        <f>SUMIFS(原始数据!$I$3:$I$1002,原始数据!$D$3:$D$1002,"HT20250812")</f>
        <v>922.078</v>
      </c>
      <c r="I163" s="17">
        <f>SUMIFS(原始数据!$J$3:$J$1002,原始数据!$D$3:$D$1002,"HT20250812")</f>
        <v>53.284000000000006</v>
      </c>
      <c r="J163" s="17">
        <f>SUMIFS(原始数据!$K$3:$K$1002,原始数据!$D$3:$D$1002,"HT20250812")</f>
        <v>868.794</v>
      </c>
      <c r="K163" s="14" t="str">
        <f>IFERROR(INDEX(原始数据!$L$3:$L$1002,MATCH(1,INDEX((原始数据!$D$3:$D$1002="HT20250812")*(原始数据!$L$3:$L$1002&lt;&gt;""),0),0)),"")</f>
        <v>九部</v>
      </c>
      <c r="L163" s="15" t="str">
        <f>IFERROR(INDEX(原始数据!$M$3:$M$1002,MATCH(1,INDEX((原始数据!$D$3:$D$1002="HT20250812")*(原始数据!$M$3:$M$1002&lt;&gt;""),0),0)),"")</f>
        <v>魏红</v>
      </c>
      <c r="M163" s="14" t="str">
        <f>IFERROR(INDEX(原始数据!$N$3:$N$1002,MATCH(1,INDEX((原始数据!$D$3:$D$1002="HT20250812")*(原始数据!$N$3:$N$1002&lt;&gt;""),0),0)),"")</f>
        <v>1年以内</v>
      </c>
      <c r="N163" s="14" t="inlineStr"/>
    </row>
    <row r="164">
      <c r="A164" s="18">
        <f>ROW()-2</f>
        <v>162</v>
      </c>
      <c r="B164" s="19" t="str">
        <f>IFERROR(INDEX(原始数据!$B$3:$B$1002,MATCH(1,INDEX((原始数据!$D$3:$D$1002="HT20250813")*(原始数据!$B$3:$B$1002&lt;&gt;""),0),0)),"")</f>
        <v>华东-安徽</v>
      </c>
      <c r="C164" s="19" t="str">
        <f>IFERROR(INDEX(原始数据!$C$3:$C$1002,MATCH(1,INDEX((原始数据!$D$3:$D$1002="HT20250813")*(原始数据!$C$3:$C$1002&lt;&gt;""),0),0)),"")</f>
        <v>人大政协</v>
      </c>
      <c r="D164" s="20" t="inlineStr">
        <is>
          <t>HT20250813</t>
        </is>
      </c>
      <c r="E164" s="21">
        <f>IFERROR(INDEX(原始数据!$E$3:$E$1002,MATCH(1,INDEX((原始数据!$D$3:$D$1002="HT20250813")*(原始数据!$E$3:$E$1002&lt;&gt;""),0),0)),"")</f>
        <v>20251217</v>
      </c>
      <c r="F164" s="22">
        <f>SUMIFS(原始数据!$F$3:$F$1002,原始数据!$D$3:$D$1002,"HT20250813")</f>
        <v>2425.442</v>
      </c>
      <c r="G164" s="22">
        <f>SUMIFS(原始数据!$H$3:$H$1002,原始数据!$D$3:$D$1002,"HT20250813")</f>
        <v>821.3599999999999</v>
      </c>
      <c r="H164" s="22">
        <f>SUMIFS(原始数据!$I$3:$I$1002,原始数据!$D$3:$D$1002,"HT20250813")</f>
        <v>1604.0819999999999</v>
      </c>
      <c r="I164" s="22">
        <f>SUMIFS(原始数据!$J$3:$J$1002,原始数据!$D$3:$D$1002,"HT20250813")</f>
        <v>619.9300000000001</v>
      </c>
      <c r="J164" s="22">
        <f>SUMIFS(原始数据!$K$3:$K$1002,原始数据!$D$3:$D$1002,"HT20250813")</f>
        <v>984.152</v>
      </c>
      <c r="K164" s="19" t="str">
        <f>IFERROR(INDEX(原始数据!$L$3:$L$1002,MATCH(1,INDEX((原始数据!$D$3:$D$1002="HT20250813")*(原始数据!$L$3:$L$1002&lt;&gt;""),0),0)),"")</f>
        <v>三部</v>
      </c>
      <c r="L164" s="20" t="str">
        <f>IFERROR(INDEX(原始数据!$M$3:$M$1002,MATCH(1,INDEX((原始数据!$D$3:$D$1002="HT20250813")*(原始数据!$M$3:$M$1002&lt;&gt;""),0),0)),"")</f>
        <v>马超</v>
      </c>
      <c r="M164" s="19" t="str">
        <f>IFERROR(INDEX(原始数据!$N$3:$N$1002,MATCH(1,INDEX((原始数据!$D$3:$D$1002="HT20250813")*(原始数据!$N$3:$N$1002&lt;&gt;""),0),0)),"")</f>
        <v>1年以内</v>
      </c>
      <c r="N164" s="19" t="inlineStr"/>
    </row>
    <row r="165">
      <c r="A165" s="13">
        <f>ROW()-2</f>
        <v>163</v>
      </c>
      <c r="B165" s="14" t="str">
        <f>IFERROR(INDEX(原始数据!$B$3:$B$1002,MATCH(1,INDEX((原始数据!$D$3:$D$1002="HT20250814")*(原始数据!$B$3:$B$1002&lt;&gt;""),0),0)),"")</f>
        <v>华东-台湾</v>
      </c>
      <c r="C165" s="14" t="str">
        <f>IFERROR(INDEX(原始数据!$C$3:$C$1002,MATCH(1,INDEX((原始数据!$D$3:$D$1002="HT20250814")*(原始数据!$C$3:$C$1002&lt;&gt;""),0),0)),"")</f>
        <v>政府机关</v>
      </c>
      <c r="D165" s="15" t="inlineStr">
        <is>
          <t>HT20250814</t>
        </is>
      </c>
      <c r="E165" s="16">
        <f>IFERROR(INDEX(原始数据!$E$3:$E$1002,MATCH(1,INDEX((原始数据!$D$3:$D$1002="HT20250814")*(原始数据!$E$3:$E$1002&lt;&gt;""),0),0)),"")</f>
        <v>20260817</v>
      </c>
      <c r="F165" s="17">
        <f>SUMIFS(原始数据!$F$3:$F$1002,原始数据!$D$3:$D$1002,"HT20250814")</f>
        <v>1379.359</v>
      </c>
      <c r="G165" s="17">
        <f>SUMIFS(原始数据!$H$3:$H$1002,原始数据!$D$3:$D$1002,"HT20250814")</f>
        <v>211.731</v>
      </c>
      <c r="H165" s="17">
        <f>SUMIFS(原始数据!$I$3:$I$1002,原始数据!$D$3:$D$1002,"HT20250814")</f>
        <v>1167.6280000000002</v>
      </c>
      <c r="I165" s="17">
        <f>SUMIFS(原始数据!$J$3:$J$1002,原始数据!$D$3:$D$1002,"HT20250814")</f>
        <v>410.019</v>
      </c>
      <c r="J165" s="17">
        <f>SUMIFS(原始数据!$K$3:$K$1002,原始数据!$D$3:$D$1002,"HT20250814")</f>
        <v>757.6089999999999</v>
      </c>
      <c r="K165" s="14" t="str">
        <f>IFERROR(INDEX(原始数据!$L$3:$L$1002,MATCH(1,INDEX((原始数据!$D$3:$D$1002="HT20250814")*(原始数据!$L$3:$L$1002&lt;&gt;""),0),0)),"")</f>
        <v>六部</v>
      </c>
      <c r="L165" s="15" t="str">
        <f>IFERROR(INDEX(原始数据!$M$3:$M$1002,MATCH(1,INDEX((原始数据!$D$3:$D$1002="HT20250814")*(原始数据!$M$3:$M$1002&lt;&gt;""),0),0)),"")</f>
        <v>程琳</v>
      </c>
      <c r="M165" s="14" t="str">
        <f>IFERROR(INDEX(原始数据!$N$3:$N$1002,MATCH(1,INDEX((原始数据!$D$3:$D$1002="HT20250814")*(原始数据!$N$3:$N$1002&lt;&gt;""),0),0)),"")</f>
        <v>1-2年</v>
      </c>
      <c r="N165" s="14" t="inlineStr"/>
    </row>
    <row r="166">
      <c r="A166" s="18">
        <f>ROW()-2</f>
        <v>164</v>
      </c>
      <c r="B166" s="19" t="str">
        <f>IFERROR(INDEX(原始数据!$B$3:$B$1002,MATCH(1,INDEX((原始数据!$D$3:$D$1002="HT20250815")*(原始数据!$B$3:$B$1002&lt;&gt;""),0),0)),"")</f>
        <v>西南-贵州</v>
      </c>
      <c r="C166" s="19" t="str">
        <f>IFERROR(INDEX(原始数据!$C$3:$C$1002,MATCH(1,INDEX((原始数据!$D$3:$D$1002="HT20250815")*(原始数据!$C$3:$C$1002&lt;&gt;""),0),0)),"")</f>
        <v>人大政协</v>
      </c>
      <c r="D166" s="20" t="inlineStr">
        <is>
          <t>HT20250815</t>
        </is>
      </c>
      <c r="E166" s="21">
        <f>IFERROR(INDEX(原始数据!$E$3:$E$1002,MATCH(1,INDEX((原始数据!$D$3:$D$1002="HT20250815")*(原始数据!$E$3:$E$1002&lt;&gt;""),0),0)),"")</f>
        <v>20260602</v>
      </c>
      <c r="F166" s="22">
        <f>SUMIFS(原始数据!$F$3:$F$1002,原始数据!$D$3:$D$1002,"HT20250815")</f>
        <v>1432.292</v>
      </c>
      <c r="G166" s="22">
        <f>SUMIFS(原始数据!$H$3:$H$1002,原始数据!$D$3:$D$1002,"HT20250815")</f>
        <v>556.758</v>
      </c>
      <c r="H166" s="22">
        <f>SUMIFS(原始数据!$I$3:$I$1002,原始数据!$D$3:$D$1002,"HT20250815")</f>
        <v>875.534</v>
      </c>
      <c r="I166" s="22">
        <f>SUMIFS(原始数据!$J$3:$J$1002,原始数据!$D$3:$D$1002,"HT20250815")</f>
        <v>422.721</v>
      </c>
      <c r="J166" s="22">
        <f>SUMIFS(原始数据!$K$3:$K$1002,原始数据!$D$3:$D$1002,"HT20250815")</f>
        <v>452.813</v>
      </c>
      <c r="K166" s="19" t="str">
        <f>IFERROR(INDEX(原始数据!$L$3:$L$1002,MATCH(1,INDEX((原始数据!$D$3:$D$1002="HT20250815")*(原始数据!$L$3:$L$1002&lt;&gt;""),0),0)),"")</f>
        <v>七部</v>
      </c>
      <c r="L166" s="20" t="str">
        <f>IFERROR(INDEX(原始数据!$M$3:$M$1002,MATCH(1,INDEX((原始数据!$D$3:$D$1002="HT20250815")*(原始数据!$M$3:$M$1002&lt;&gt;""),0),0)),"")</f>
        <v>许涛</v>
      </c>
      <c r="M166" s="19" t="str">
        <f>IFERROR(INDEX(原始数据!$N$3:$N$1002,MATCH(1,INDEX((原始数据!$D$3:$D$1002="HT20250815")*(原始数据!$N$3:$N$1002&lt;&gt;""),0),0)),"")</f>
        <v>1年以内</v>
      </c>
      <c r="N166" s="19" t="inlineStr"/>
    </row>
    <row r="167">
      <c r="A167" s="13">
        <f>ROW()-2</f>
        <v>165</v>
      </c>
      <c r="B167" s="14" t="str">
        <f>IFERROR(INDEX(原始数据!$B$3:$B$1002,MATCH(1,INDEX((原始数据!$D$3:$D$1002="HT20250816")*(原始数据!$B$3:$B$1002&lt;&gt;""),0),0)),"")</f>
        <v>华东-上海</v>
      </c>
      <c r="C167" s="14" t="str">
        <f>IFERROR(INDEX(原始数据!$C$3:$C$1002,MATCH(1,INDEX((原始数据!$D$3:$D$1002="HT20250816")*(原始数据!$C$3:$C$1002&lt;&gt;""),0),0)),"")</f>
        <v>人大政协</v>
      </c>
      <c r="D167" s="15" t="inlineStr">
        <is>
          <t>HT20250816</t>
        </is>
      </c>
      <c r="E167" s="16">
        <f>IFERROR(INDEX(原始数据!$E$3:$E$1002,MATCH(1,INDEX((原始数据!$D$3:$D$1002="HT20250816")*(原始数据!$E$3:$E$1002&lt;&gt;""),0),0)),"")</f>
        <v>20260515</v>
      </c>
      <c r="F167" s="17">
        <f>SUMIFS(原始数据!$F$3:$F$1002,原始数据!$D$3:$D$1002,"HT20250816")</f>
        <v>898.882</v>
      </c>
      <c r="G167" s="17">
        <f>SUMIFS(原始数据!$H$3:$H$1002,原始数据!$D$3:$D$1002,"HT20250816")</f>
        <v>79.695</v>
      </c>
      <c r="H167" s="17">
        <f>SUMIFS(原始数据!$I$3:$I$1002,原始数据!$D$3:$D$1002,"HT20250816")</f>
        <v>819.187</v>
      </c>
      <c r="I167" s="17">
        <f>SUMIFS(原始数据!$J$3:$J$1002,原始数据!$D$3:$D$1002,"HT20250816")</f>
        <v>36.884</v>
      </c>
      <c r="J167" s="17">
        <f>SUMIFS(原始数据!$K$3:$K$1002,原始数据!$D$3:$D$1002,"HT20250816")</f>
        <v>782.303</v>
      </c>
      <c r="K167" s="14" t="str">
        <f>IFERROR(INDEX(原始数据!$L$3:$L$1002,MATCH(1,INDEX((原始数据!$D$3:$D$1002="HT20250816")*(原始数据!$L$3:$L$1002&lt;&gt;""),0),0)),"")</f>
        <v>三部</v>
      </c>
      <c r="L167" s="15" t="str">
        <f>IFERROR(INDEX(原始数据!$M$3:$M$1002,MATCH(1,INDEX((原始数据!$D$3:$D$1002="HT20250816")*(原始数据!$M$3:$M$1002&lt;&gt;""),0),0)),"")</f>
        <v>孙艳</v>
      </c>
      <c r="M167" s="14" t="str">
        <f>IFERROR(INDEX(原始数据!$N$3:$N$1002,MATCH(1,INDEX((原始数据!$D$3:$D$1002="HT20250816")*(原始数据!$N$3:$N$1002&lt;&gt;""),0),0)),"")</f>
        <v>2-3年</v>
      </c>
      <c r="N167" s="14" t="inlineStr"/>
    </row>
    <row r="168">
      <c r="A168" s="18">
        <f>ROW()-2</f>
        <v>166</v>
      </c>
      <c r="B168" s="19" t="str">
        <f>IFERROR(INDEX(原始数据!$B$3:$B$1002,MATCH(1,INDEX((原始数据!$D$3:$D$1002="HT20250819")*(原始数据!$B$3:$B$1002&lt;&gt;""),0),0)),"")</f>
        <v>西南-云南</v>
      </c>
      <c r="C168" s="19" t="str">
        <f>IFERROR(INDEX(原始数据!$C$3:$C$1002,MATCH(1,INDEX((原始数据!$D$3:$D$1002="HT20250819")*(原始数据!$C$3:$C$1002&lt;&gt;""),0),0)),"")</f>
        <v>事业单位</v>
      </c>
      <c r="D168" s="20" t="inlineStr">
        <is>
          <t>HT20250819</t>
        </is>
      </c>
      <c r="E168" s="21">
        <f>IFERROR(INDEX(原始数据!$E$3:$E$1002,MATCH(1,INDEX((原始数据!$D$3:$D$1002="HT20250819")*(原始数据!$E$3:$E$1002&lt;&gt;""),0),0)),"")</f>
        <v>20260909</v>
      </c>
      <c r="F168" s="22">
        <f>SUMIFS(原始数据!$F$3:$F$1002,原始数据!$D$3:$D$1002,"HT20250819")</f>
        <v>510.805</v>
      </c>
      <c r="G168" s="22">
        <f>SUMIFS(原始数据!$H$3:$H$1002,原始数据!$D$3:$D$1002,"HT20250819")</f>
        <v>382.232</v>
      </c>
      <c r="H168" s="22">
        <f>SUMIFS(原始数据!$I$3:$I$1002,原始数据!$D$3:$D$1002,"HT20250819")</f>
        <v>128.573</v>
      </c>
      <c r="I168" s="22">
        <f>SUMIFS(原始数据!$J$3:$J$1002,原始数据!$D$3:$D$1002,"HT20250819")</f>
        <v>44.748</v>
      </c>
      <c r="J168" s="22">
        <f>SUMIFS(原始数据!$K$3:$K$1002,原始数据!$D$3:$D$1002,"HT20250819")</f>
        <v>83.825</v>
      </c>
      <c r="K168" s="19" t="str">
        <f>IFERROR(INDEX(原始数据!$L$3:$L$1002,MATCH(1,INDEX((原始数据!$D$3:$D$1002="HT20250819")*(原始数据!$L$3:$L$1002&lt;&gt;""),0),0)),"")</f>
        <v>七部</v>
      </c>
      <c r="L168" s="20" t="str">
        <f>IFERROR(INDEX(原始数据!$M$3:$M$1002,MATCH(1,INDEX((原始数据!$D$3:$D$1002="HT20250819")*(原始数据!$M$3:$M$1002&lt;&gt;""),0),0)),"")</f>
        <v>许涛</v>
      </c>
      <c r="M168" s="19" t="str">
        <f>IFERROR(INDEX(原始数据!$N$3:$N$1002,MATCH(1,INDEX((原始数据!$D$3:$D$1002="HT20250819")*(原始数据!$N$3:$N$1002&lt;&gt;""),0),0)),"")</f>
        <v>2-3年</v>
      </c>
      <c r="N168" s="19" t="inlineStr"/>
    </row>
    <row r="169">
      <c r="A169" s="13">
        <f>ROW()-2</f>
        <v>167</v>
      </c>
      <c r="B169" s="14" t="str">
        <f>IFERROR(INDEX(原始数据!$B$3:$B$1002,MATCH(1,INDEX((原始数据!$D$3:$D$1002="HT20250820")*(原始数据!$B$3:$B$1002&lt;&gt;""),0),0)),"")</f>
        <v>西南-重庆</v>
      </c>
      <c r="C169" s="14" t="str">
        <f>IFERROR(INDEX(原始数据!$C$3:$C$1002,MATCH(1,INDEX((原始数据!$D$3:$D$1002="HT20250820")*(原始数据!$C$3:$C$1002&lt;&gt;""),0),0)),"")</f>
        <v>监察司法机关</v>
      </c>
      <c r="D169" s="15" t="inlineStr">
        <is>
          <t>HT20250820</t>
        </is>
      </c>
      <c r="E169" s="16">
        <f>IFERROR(INDEX(原始数据!$E$3:$E$1002,MATCH(1,INDEX((原始数据!$D$3:$D$1002="HT20250820")*(原始数据!$E$3:$E$1002&lt;&gt;""),0),0)),"")</f>
        <v>20260703</v>
      </c>
      <c r="F169" s="17">
        <f>SUMIFS(原始数据!$F$3:$F$1002,原始数据!$D$3:$D$1002,"HT20250820")</f>
        <v>1476.594</v>
      </c>
      <c r="G169" s="17">
        <f>SUMIFS(原始数据!$H$3:$H$1002,原始数据!$D$3:$D$1002,"HT20250820")</f>
        <v>600.229</v>
      </c>
      <c r="H169" s="17">
        <f>SUMIFS(原始数据!$I$3:$I$1002,原始数据!$D$3:$D$1002,"HT20250820")</f>
        <v>876.365</v>
      </c>
      <c r="I169" s="17">
        <f>SUMIFS(原始数据!$J$3:$J$1002,原始数据!$D$3:$D$1002,"HT20250820")</f>
        <v>336.375</v>
      </c>
      <c r="J169" s="17">
        <f>SUMIFS(原始数据!$K$3:$K$1002,原始数据!$D$3:$D$1002,"HT20250820")</f>
        <v>539.99</v>
      </c>
      <c r="K169" s="14" t="str">
        <f>IFERROR(INDEX(原始数据!$L$3:$L$1002,MATCH(1,INDEX((原始数据!$D$3:$D$1002="HT20250820")*(原始数据!$L$3:$L$1002&lt;&gt;""),0),0)),"")</f>
        <v>三部</v>
      </c>
      <c r="L169" s="15" t="str">
        <f>IFERROR(INDEX(原始数据!$M$3:$M$1002,MATCH(1,INDEX((原始数据!$D$3:$D$1002="HT20250820")*(原始数据!$M$3:$M$1002&lt;&gt;""),0),0)),"")</f>
        <v>孙艳</v>
      </c>
      <c r="M169" s="14" t="str">
        <f>IFERROR(INDEX(原始数据!$N$3:$N$1002,MATCH(1,INDEX((原始数据!$D$3:$D$1002="HT20250820")*(原始数据!$N$3:$N$1002&lt;&gt;""),0),0)),"")</f>
        <v>1-2年</v>
      </c>
      <c r="N169" s="14" t="inlineStr"/>
    </row>
    <row r="170">
      <c r="A170" s="18">
        <f>ROW()-2</f>
        <v>168</v>
      </c>
      <c r="B170" s="19" t="str">
        <f>IFERROR(INDEX(原始数据!$B$3:$B$1002,MATCH(1,INDEX((原始数据!$D$3:$D$1002="HT20250822")*(原始数据!$B$3:$B$1002&lt;&gt;""),0),0)),"")</f>
        <v>东北-辽宁</v>
      </c>
      <c r="C170" s="19" t="str">
        <f>IFERROR(INDEX(原始数据!$C$3:$C$1002,MATCH(1,INDEX((原始数据!$D$3:$D$1002="HT20250822")*(原始数据!$C$3:$C$1002&lt;&gt;""),0),0)),"")</f>
        <v>政府机关</v>
      </c>
      <c r="D170" s="20" t="inlineStr">
        <is>
          <t>HT20250822</t>
        </is>
      </c>
      <c r="E170" s="21">
        <f>IFERROR(INDEX(原始数据!$E$3:$E$1002,MATCH(1,INDEX((原始数据!$D$3:$D$1002="HT20250822")*(原始数据!$E$3:$E$1002&lt;&gt;""),0),0)),"")</f>
        <v>20260529</v>
      </c>
      <c r="F170" s="22">
        <f>SUMIFS(原始数据!$F$3:$F$1002,原始数据!$D$3:$D$1002,"HT20250822")</f>
        <v>11525.213</v>
      </c>
      <c r="G170" s="22">
        <f>SUMIFS(原始数据!$H$3:$H$1002,原始数据!$D$3:$D$1002,"HT20250822")</f>
        <v>2673.657</v>
      </c>
      <c r="H170" s="22">
        <f>SUMIFS(原始数据!$I$3:$I$1002,原始数据!$D$3:$D$1002,"HT20250822")</f>
        <v>8851.556</v>
      </c>
      <c r="I170" s="22">
        <f>SUMIFS(原始数据!$J$3:$J$1002,原始数据!$D$3:$D$1002,"HT20250822")</f>
        <v>6748.065</v>
      </c>
      <c r="J170" s="22">
        <f>SUMIFS(原始数据!$K$3:$K$1002,原始数据!$D$3:$D$1002,"HT20250822")</f>
        <v>2103.491</v>
      </c>
      <c r="K170" s="19" t="str">
        <f>IFERROR(INDEX(原始数据!$L$3:$L$1002,MATCH(1,INDEX((原始数据!$D$3:$D$1002="HT20250822")*(原始数据!$L$3:$L$1002&lt;&gt;""),0),0)),"")</f>
        <v>二部</v>
      </c>
      <c r="L170" s="20" t="str">
        <f>IFERROR(INDEX(原始数据!$M$3:$M$1002,MATCH(1,INDEX((原始数据!$D$3:$D$1002="HT20250822")*(原始数据!$M$3:$M$1002&lt;&gt;""),0),0)),"")</f>
        <v>杨磊</v>
      </c>
      <c r="M170" s="19" t="str">
        <f>IFERROR(INDEX(原始数据!$N$3:$N$1002,MATCH(1,INDEX((原始数据!$D$3:$D$1002="HT20250822")*(原始数据!$N$3:$N$1002&lt;&gt;""),0),0)),"")</f>
        <v>1年以内</v>
      </c>
      <c r="N170" s="19" t="inlineStr"/>
    </row>
    <row r="171">
      <c r="A171" s="13">
        <f>ROW()-2</f>
        <v>169</v>
      </c>
      <c r="B171" s="14" t="str">
        <f>IFERROR(INDEX(原始数据!$B$3:$B$1002,MATCH(1,INDEX((原始数据!$D$3:$D$1002="HT20250824")*(原始数据!$B$3:$B$1002&lt;&gt;""),0),0)),"")</f>
        <v>华东-台湾</v>
      </c>
      <c r="C171" s="14" t="str">
        <f>IFERROR(INDEX(原始数据!$C$3:$C$1002,MATCH(1,INDEX((原始数据!$D$3:$D$1002="HT20250824")*(原始数据!$C$3:$C$1002&lt;&gt;""),0),0)),"")</f>
        <v>监察司法机关</v>
      </c>
      <c r="D171" s="15" t="inlineStr">
        <is>
          <t>HT20250824</t>
        </is>
      </c>
      <c r="E171" s="16">
        <f>IFERROR(INDEX(原始数据!$E$3:$E$1002,MATCH(1,INDEX((原始数据!$D$3:$D$1002="HT20250824")*(原始数据!$E$3:$E$1002&lt;&gt;""),0),0)),"")</f>
        <v>20260412</v>
      </c>
      <c r="F171" s="17">
        <f>SUMIFS(原始数据!$F$3:$F$1002,原始数据!$D$3:$D$1002,"HT20250824")</f>
        <v>5613.549000000001</v>
      </c>
      <c r="G171" s="17">
        <f>SUMIFS(原始数据!$H$3:$H$1002,原始数据!$D$3:$D$1002,"HT20250824")</f>
        <v>3369.9389999999994</v>
      </c>
      <c r="H171" s="17">
        <f>SUMIFS(原始数据!$I$3:$I$1002,原始数据!$D$3:$D$1002,"HT20250824")</f>
        <v>2243.61</v>
      </c>
      <c r="I171" s="17">
        <f>SUMIFS(原始数据!$J$3:$J$1002,原始数据!$D$3:$D$1002,"HT20250824")</f>
        <v>556.374</v>
      </c>
      <c r="J171" s="17">
        <f>SUMIFS(原始数据!$K$3:$K$1002,原始数据!$D$3:$D$1002,"HT20250824")</f>
        <v>1687.2359999999999</v>
      </c>
      <c r="K171" s="14" t="str">
        <f>IFERROR(INDEX(原始数据!$L$3:$L$1002,MATCH(1,INDEX((原始数据!$D$3:$D$1002="HT20250824")*(原始数据!$L$3:$L$1002&lt;&gt;""),0),0)),"")</f>
        <v>八部</v>
      </c>
      <c r="L171" s="15" t="str">
        <f>IFERROR(INDEX(原始数据!$M$3:$M$1002,MATCH(1,INDEX((原始数据!$D$3:$D$1002="HT20250824")*(原始数据!$M$3:$M$1002&lt;&gt;""),0),0)),"")</f>
        <v>苏珊</v>
      </c>
      <c r="M171" s="14" t="str">
        <f>IFERROR(INDEX(原始数据!$N$3:$N$1002,MATCH(1,INDEX((原始数据!$D$3:$D$1002="HT20250824")*(原始数据!$N$3:$N$1002&lt;&gt;""),0),0)),"")</f>
        <v>1-2年</v>
      </c>
      <c r="N171" s="14" t="inlineStr"/>
    </row>
    <row r="172">
      <c r="A172" s="18">
        <f>ROW()-2</f>
        <v>170</v>
      </c>
      <c r="B172" s="19" t="str">
        <f>IFERROR(INDEX(原始数据!$B$3:$B$1002,MATCH(1,INDEX((原始数据!$D$3:$D$1002="HT20250825")*(原始数据!$B$3:$B$1002&lt;&gt;""),0),0)),"")</f>
        <v>华东-浙江</v>
      </c>
      <c r="C172" s="19" t="str">
        <f>IFERROR(INDEX(原始数据!$C$3:$C$1002,MATCH(1,INDEX((原始数据!$D$3:$D$1002="HT20250825")*(原始数据!$C$3:$C$1002&lt;&gt;""),0),0)),"")</f>
        <v>人大政协</v>
      </c>
      <c r="D172" s="20" t="inlineStr">
        <is>
          <t>HT20250825</t>
        </is>
      </c>
      <c r="E172" s="21">
        <f>IFERROR(INDEX(原始数据!$E$3:$E$1002,MATCH(1,INDEX((原始数据!$D$3:$D$1002="HT20250825")*(原始数据!$E$3:$E$1002&lt;&gt;""),0),0)),"")</f>
        <v>20260328</v>
      </c>
      <c r="F172" s="22">
        <f>SUMIFS(原始数据!$F$3:$F$1002,原始数据!$D$3:$D$1002,"HT20250825")</f>
        <v>1133.308</v>
      </c>
      <c r="G172" s="22">
        <f>SUMIFS(原始数据!$H$3:$H$1002,原始数据!$D$3:$D$1002,"HT20250825")</f>
        <v>459.678</v>
      </c>
      <c r="H172" s="22">
        <f>SUMIFS(原始数据!$I$3:$I$1002,原始数据!$D$3:$D$1002,"HT20250825")</f>
        <v>673.63</v>
      </c>
      <c r="I172" s="22">
        <f>SUMIFS(原始数据!$J$3:$J$1002,原始数据!$D$3:$D$1002,"HT20250825")</f>
        <v>466.70399999999995</v>
      </c>
      <c r="J172" s="22">
        <f>SUMIFS(原始数据!$K$3:$K$1002,原始数据!$D$3:$D$1002,"HT20250825")</f>
        <v>206.926</v>
      </c>
      <c r="K172" s="19" t="str">
        <f>IFERROR(INDEX(原始数据!$L$3:$L$1002,MATCH(1,INDEX((原始数据!$D$3:$D$1002="HT20250825")*(原始数据!$L$3:$L$1002&lt;&gt;""),0),0)),"")</f>
        <v>一部</v>
      </c>
      <c r="L172" s="20" t="str">
        <f>IFERROR(INDEX(原始数据!$M$3:$M$1002,MATCH(1,INDEX((原始数据!$D$3:$D$1002="HT20250825")*(原始数据!$M$3:$M$1002&lt;&gt;""),0),0)),"")</f>
        <v>张伟</v>
      </c>
      <c r="M172" s="19" t="str">
        <f>IFERROR(INDEX(原始数据!$N$3:$N$1002,MATCH(1,INDEX((原始数据!$D$3:$D$1002="HT20250825")*(原始数据!$N$3:$N$1002&lt;&gt;""),0),0)),"")</f>
        <v>1-2年</v>
      </c>
      <c r="N172" s="19" t="inlineStr"/>
    </row>
    <row r="173">
      <c r="A173" s="13">
        <f>ROW()-2</f>
        <v>171</v>
      </c>
      <c r="B173" s="14" t="str">
        <f>IFERROR(INDEX(原始数据!$B$3:$B$1002,MATCH(1,INDEX((原始数据!$D$3:$D$1002="HT20250826")*(原始数据!$B$3:$B$1002&lt;&gt;""),0),0)),"")</f>
        <v>华北-河北</v>
      </c>
      <c r="C173" s="14" t="str">
        <f>IFERROR(INDEX(原始数据!$C$3:$C$1002,MATCH(1,INDEX((原始数据!$D$3:$D$1002="HT20250826")*(原始数据!$C$3:$C$1002&lt;&gt;""),0),0)),"")</f>
        <v>监察司法机关</v>
      </c>
      <c r="D173" s="15" t="inlineStr">
        <is>
          <t>HT20250826</t>
        </is>
      </c>
      <c r="E173" s="16">
        <f>IFERROR(INDEX(原始数据!$E$3:$E$1002,MATCH(1,INDEX((原始数据!$D$3:$D$1002="HT20250826")*(原始数据!$E$3:$E$1002&lt;&gt;""),0),0)),"")</f>
        <v>20260201</v>
      </c>
      <c r="F173" s="17">
        <f>SUMIFS(原始数据!$F$3:$F$1002,原始数据!$D$3:$D$1002,"HT20250826")</f>
        <v>639.738</v>
      </c>
      <c r="G173" s="17">
        <f>SUMIFS(原始数据!$H$3:$H$1002,原始数据!$D$3:$D$1002,"HT20250826")</f>
        <v>201.205</v>
      </c>
      <c r="H173" s="17">
        <f>SUMIFS(原始数据!$I$3:$I$1002,原始数据!$D$3:$D$1002,"HT20250826")</f>
        <v>438.533</v>
      </c>
      <c r="I173" s="17">
        <f>SUMIFS(原始数据!$J$3:$J$1002,原始数据!$D$3:$D$1002,"HT20250826")</f>
        <v>113.789</v>
      </c>
      <c r="J173" s="17">
        <f>SUMIFS(原始数据!$K$3:$K$1002,原始数据!$D$3:$D$1002,"HT20250826")</f>
        <v>324.744</v>
      </c>
      <c r="K173" s="14" t="str">
        <f>IFERROR(INDEX(原始数据!$L$3:$L$1002,MATCH(1,INDEX((原始数据!$D$3:$D$1002="HT20250826")*(原始数据!$L$3:$L$1002&lt;&gt;""),0),0)),"")</f>
        <v>一部</v>
      </c>
      <c r="L173" s="15" t="str">
        <f>IFERROR(INDEX(原始数据!$M$3:$M$1002,MATCH(1,INDEX((原始数据!$D$3:$D$1002="HT20250826")*(原始数据!$M$3:$M$1002&lt;&gt;""),0),0)),"")</f>
        <v>刘洋</v>
      </c>
      <c r="M173" s="14" t="str">
        <f>IFERROR(INDEX(原始数据!$N$3:$N$1002,MATCH(1,INDEX((原始数据!$D$3:$D$1002="HT20250826")*(原始数据!$N$3:$N$1002&lt;&gt;""),0),0)),"")</f>
        <v>1-2年</v>
      </c>
      <c r="N173" s="14" t="inlineStr"/>
    </row>
    <row r="174">
      <c r="A174" s="18">
        <f>ROW()-2</f>
        <v>172</v>
      </c>
      <c r="B174" s="19" t="str">
        <f>IFERROR(INDEX(原始数据!$B$3:$B$1002,MATCH(1,INDEX((原始数据!$D$3:$D$1002="HT20250827")*(原始数据!$B$3:$B$1002&lt;&gt;""),0),0)),"")</f>
        <v>西南-四川</v>
      </c>
      <c r="C174" s="19" t="str">
        <f>IFERROR(INDEX(原始数据!$C$3:$C$1002,MATCH(1,INDEX((原始数据!$D$3:$D$1002="HT20250827")*(原始数据!$C$3:$C$1002&lt;&gt;""),0),0)),"")</f>
        <v>监察司法机关</v>
      </c>
      <c r="D174" s="20" t="inlineStr">
        <is>
          <t>HT20250827</t>
        </is>
      </c>
      <c r="E174" s="21">
        <f>IFERROR(INDEX(原始数据!$E$3:$E$1002,MATCH(1,INDEX((原始数据!$D$3:$D$1002="HT20250827")*(原始数据!$E$3:$E$1002&lt;&gt;""),0),0)),"")</f>
        <v>20260903</v>
      </c>
      <c r="F174" s="22">
        <f>SUMIFS(原始数据!$F$3:$F$1002,原始数据!$D$3:$D$1002,"HT20250827")</f>
        <v>120.616</v>
      </c>
      <c r="G174" s="22">
        <f>SUMIFS(原始数据!$H$3:$H$1002,原始数据!$D$3:$D$1002,"HT20250827")</f>
        <v>57.195</v>
      </c>
      <c r="H174" s="22">
        <f>SUMIFS(原始数据!$I$3:$I$1002,原始数据!$D$3:$D$1002,"HT20250827")</f>
        <v>63.421</v>
      </c>
      <c r="I174" s="22">
        <f>SUMIFS(原始数据!$J$3:$J$1002,原始数据!$D$3:$D$1002,"HT20250827")</f>
        <v>0.482</v>
      </c>
      <c r="J174" s="22">
        <f>SUMIFS(原始数据!$K$3:$K$1002,原始数据!$D$3:$D$1002,"HT20250827")</f>
        <v>62.939</v>
      </c>
      <c r="K174" s="19" t="str">
        <f>IFERROR(INDEX(原始数据!$L$3:$L$1002,MATCH(1,INDEX((原始数据!$D$3:$D$1002="HT20250827")*(原始数据!$L$3:$L$1002&lt;&gt;""),0),0)),"")</f>
        <v>一部</v>
      </c>
      <c r="L174" s="20" t="str">
        <f>IFERROR(INDEX(原始数据!$M$3:$M$1002,MATCH(1,INDEX((原始数据!$D$3:$D$1002="HT20250827")*(原始数据!$M$3:$M$1002&lt;&gt;""),0),0)),"")</f>
        <v>张伟</v>
      </c>
      <c r="M174" s="19" t="str">
        <f>IFERROR(INDEX(原始数据!$N$3:$N$1002,MATCH(1,INDEX((原始数据!$D$3:$D$1002="HT20250827")*(原始数据!$N$3:$N$1002&lt;&gt;""),0),0)),"")</f>
        <v>1-2年</v>
      </c>
      <c r="N174" s="19" t="inlineStr"/>
    </row>
    <row r="175">
      <c r="A175" s="13">
        <f>ROW()-2</f>
        <v>173</v>
      </c>
      <c r="B175" s="14" t="str">
        <f>IFERROR(INDEX(原始数据!$B$3:$B$1002,MATCH(1,INDEX((原始数据!$D$3:$D$1002="HT20250828")*(原始数据!$B$3:$B$1002&lt;&gt;""),0),0)),"")</f>
        <v>华东-台湾</v>
      </c>
      <c r="C175" s="14" t="str">
        <f>IFERROR(INDEX(原始数据!$C$3:$C$1002,MATCH(1,INDEX((原始数据!$D$3:$D$1002="HT20250828")*(原始数据!$C$3:$C$1002&lt;&gt;""),0),0)),"")</f>
        <v>监察司法机关</v>
      </c>
      <c r="D175" s="15" t="inlineStr">
        <is>
          <t>HT20250828</t>
        </is>
      </c>
      <c r="E175" s="16">
        <f>IFERROR(INDEX(原始数据!$E$3:$E$1002,MATCH(1,INDEX((原始数据!$D$3:$D$1002="HT20250828")*(原始数据!$E$3:$E$1002&lt;&gt;""),0),0)),"")</f>
        <v>20260611</v>
      </c>
      <c r="F175" s="17">
        <f>SUMIFS(原始数据!$F$3:$F$1002,原始数据!$D$3:$D$1002,"HT20250828")</f>
        <v>57.079</v>
      </c>
      <c r="G175" s="17">
        <f>SUMIFS(原始数据!$H$3:$H$1002,原始数据!$D$3:$D$1002,"HT20250828")</f>
        <v>18.872</v>
      </c>
      <c r="H175" s="17">
        <f>SUMIFS(原始数据!$I$3:$I$1002,原始数据!$D$3:$D$1002,"HT20250828")</f>
        <v>38.207</v>
      </c>
      <c r="I175" s="17">
        <f>SUMIFS(原始数据!$J$3:$J$1002,原始数据!$D$3:$D$1002,"HT20250828")</f>
        <v>13.607</v>
      </c>
      <c r="J175" s="17">
        <f>SUMIFS(原始数据!$K$3:$K$1002,原始数据!$D$3:$D$1002,"HT20250828")</f>
        <v>24.6</v>
      </c>
      <c r="K175" s="14" t="str">
        <f>IFERROR(INDEX(原始数据!$L$3:$L$1002,MATCH(1,INDEX((原始数据!$D$3:$D$1002="HT20250828")*(原始数据!$L$3:$L$1002&lt;&gt;""),0),0)),"")</f>
        <v>四部</v>
      </c>
      <c r="L175" s="15" t="str">
        <f>IFERROR(INDEX(原始数据!$M$3:$M$1002,MATCH(1,INDEX((原始数据!$D$3:$D$1002="HT20250828")*(原始数据!$M$3:$M$1002&lt;&gt;""),0),0)),"")</f>
        <v>何萍</v>
      </c>
      <c r="M175" s="14" t="str">
        <f>IFERROR(INDEX(原始数据!$N$3:$N$1002,MATCH(1,INDEX((原始数据!$D$3:$D$1002="HT20250828")*(原始数据!$N$3:$N$1002&lt;&gt;""),0),0)),"")</f>
        <v>1-2年</v>
      </c>
      <c r="N175" s="14" t="inlineStr"/>
    </row>
    <row r="176">
      <c r="A176" s="18">
        <f>ROW()-2</f>
        <v>174</v>
      </c>
      <c r="B176" s="19" t="str">
        <f>IFERROR(INDEX(原始数据!$B$3:$B$1002,MATCH(1,INDEX((原始数据!$D$3:$D$1002="HT20250829")*(原始数据!$B$3:$B$1002&lt;&gt;""),0),0)),"")</f>
        <v>西北-陕西</v>
      </c>
      <c r="C176" s="19" t="str">
        <f>IFERROR(INDEX(原始数据!$C$3:$C$1002,MATCH(1,INDEX((原始数据!$D$3:$D$1002="HT20250829")*(原始数据!$C$3:$C$1002&lt;&gt;""),0),0)),"")</f>
        <v>国有企业</v>
      </c>
      <c r="D176" s="20" t="inlineStr">
        <is>
          <t>HT20250829</t>
        </is>
      </c>
      <c r="E176" s="21">
        <f>IFERROR(INDEX(原始数据!$E$3:$E$1002,MATCH(1,INDEX((原始数据!$D$3:$D$1002="HT20250829")*(原始数据!$E$3:$E$1002&lt;&gt;""),0),0)),"")</f>
        <v>20260220</v>
      </c>
      <c r="F176" s="22">
        <f>SUMIFS(原始数据!$F$3:$F$1002,原始数据!$D$3:$D$1002,"HT20250829")</f>
        <v>1297.114</v>
      </c>
      <c r="G176" s="22">
        <f>SUMIFS(原始数据!$H$3:$H$1002,原始数据!$D$3:$D$1002,"HT20250829")</f>
        <v>1087.607</v>
      </c>
      <c r="H176" s="22">
        <f>SUMIFS(原始数据!$I$3:$I$1002,原始数据!$D$3:$D$1002,"HT20250829")</f>
        <v>209.507</v>
      </c>
      <c r="I176" s="22">
        <f>SUMIFS(原始数据!$J$3:$J$1002,原始数据!$D$3:$D$1002,"HT20250829")</f>
        <v>152.78300000000002</v>
      </c>
      <c r="J176" s="22">
        <f>SUMIFS(原始数据!$K$3:$K$1002,原始数据!$D$3:$D$1002,"HT20250829")</f>
        <v>56.724000000000004</v>
      </c>
      <c r="K176" s="19" t="str">
        <f>IFERROR(INDEX(原始数据!$L$3:$L$1002,MATCH(1,INDEX((原始数据!$D$3:$D$1002="HT20250829")*(原始数据!$L$3:$L$1002&lt;&gt;""),0),0)),"")</f>
        <v>十部</v>
      </c>
      <c r="L176" s="20" t="str">
        <f>IFERROR(INDEX(原始数据!$M$3:$M$1002,MATCH(1,INDEX((原始数据!$D$3:$D$1002="HT20250829")*(原始数据!$M$3:$M$1002&lt;&gt;""),0),0)),"")</f>
        <v>段勇</v>
      </c>
      <c r="M176" s="19" t="str">
        <f>IFERROR(INDEX(原始数据!$N$3:$N$1002,MATCH(1,INDEX((原始数据!$D$3:$D$1002="HT20250829")*(原始数据!$N$3:$N$1002&lt;&gt;""),0),0)),"")</f>
        <v>2-3年</v>
      </c>
      <c r="N176" s="19" t="inlineStr"/>
    </row>
    <row r="177">
      <c r="A177" s="13">
        <f>ROW()-2</f>
        <v>175</v>
      </c>
      <c r="B177" s="14" t="str">
        <f>IFERROR(INDEX(原始数据!$B$3:$B$1002,MATCH(1,INDEX((原始数据!$D$3:$D$1002="HT20250830")*(原始数据!$B$3:$B$1002&lt;&gt;""),0),0)),"")</f>
        <v>华北-山西</v>
      </c>
      <c r="C177" s="14" t="str">
        <f>IFERROR(INDEX(原始数据!$C$3:$C$1002,MATCH(1,INDEX((原始数据!$D$3:$D$1002="HT20250830")*(原始数据!$C$3:$C$1002&lt;&gt;""),0),0)),"")</f>
        <v>党委机关</v>
      </c>
      <c r="D177" s="15" t="inlineStr">
        <is>
          <t>HT20250830</t>
        </is>
      </c>
      <c r="E177" s="16">
        <f>IFERROR(INDEX(原始数据!$E$3:$E$1002,MATCH(1,INDEX((原始数据!$D$3:$D$1002="HT20250830")*(原始数据!$E$3:$E$1002&lt;&gt;""),0),0)),"")</f>
        <v>20260110</v>
      </c>
      <c r="F177" s="17">
        <f>SUMIFS(原始数据!$F$3:$F$1002,原始数据!$D$3:$D$1002,"HT20250830")</f>
        <v>4729.006</v>
      </c>
      <c r="G177" s="17">
        <f>SUMIFS(原始数据!$H$3:$H$1002,原始数据!$D$3:$D$1002,"HT20250830")</f>
        <v>682.04</v>
      </c>
      <c r="H177" s="17">
        <f>SUMIFS(原始数据!$I$3:$I$1002,原始数据!$D$3:$D$1002,"HT20250830")</f>
        <v>4046.966</v>
      </c>
      <c r="I177" s="17">
        <f>SUMIFS(原始数据!$J$3:$J$1002,原始数据!$D$3:$D$1002,"HT20250830")</f>
        <v>805.298</v>
      </c>
      <c r="J177" s="17">
        <f>SUMIFS(原始数据!$K$3:$K$1002,原始数据!$D$3:$D$1002,"HT20250830")</f>
        <v>3241.6679999999997</v>
      </c>
      <c r="K177" s="14" t="str">
        <f>IFERROR(INDEX(原始数据!$L$3:$L$1002,MATCH(1,INDEX((原始数据!$D$3:$D$1002="HT20250830")*(原始数据!$L$3:$L$1002&lt;&gt;""),0),0)),"")</f>
        <v>三部</v>
      </c>
      <c r="L177" s="15" t="str">
        <f>IFERROR(INDEX(原始数据!$M$3:$M$1002,MATCH(1,INDEX((原始数据!$D$3:$D$1002="HT20250830")*(原始数据!$M$3:$M$1002&lt;&gt;""),0),0)),"")</f>
        <v>徐涛</v>
      </c>
      <c r="M177" s="14" t="str">
        <f>IFERROR(INDEX(原始数据!$N$3:$N$1002,MATCH(1,INDEX((原始数据!$D$3:$D$1002="HT20250830")*(原始数据!$N$3:$N$1002&lt;&gt;""),0),0)),"")</f>
        <v>1年以内</v>
      </c>
      <c r="N177" s="14" t="inlineStr"/>
    </row>
    <row r="178">
      <c r="A178" s="18">
        <f>ROW()-2</f>
        <v>176</v>
      </c>
      <c r="B178" s="19" t="str">
        <f>IFERROR(INDEX(原始数据!$B$3:$B$1002,MATCH(1,INDEX((原始数据!$D$3:$D$1002="HT20250831")*(原始数据!$B$3:$B$1002&lt;&gt;""),0),0)),"")</f>
        <v>华南-广西</v>
      </c>
      <c r="C178" s="19" t="str">
        <f>IFERROR(INDEX(原始数据!$C$3:$C$1002,MATCH(1,INDEX((原始数据!$D$3:$D$1002="HT20250831")*(原始数据!$C$3:$C$1002&lt;&gt;""),0),0)),"")</f>
        <v>监察司法机关</v>
      </c>
      <c r="D178" s="20" t="inlineStr">
        <is>
          <t>HT20250831</t>
        </is>
      </c>
      <c r="E178" s="21">
        <f>IFERROR(INDEX(原始数据!$E$3:$E$1002,MATCH(1,INDEX((原始数据!$D$3:$D$1002="HT20250831")*(原始数据!$E$3:$E$1002&lt;&gt;""),0),0)),"")</f>
        <v>20260114</v>
      </c>
      <c r="F178" s="22">
        <f>SUMIFS(原始数据!$F$3:$F$1002,原始数据!$D$3:$D$1002,"HT20250831")</f>
        <v>545.538</v>
      </c>
      <c r="G178" s="22">
        <f>SUMIFS(原始数据!$H$3:$H$1002,原始数据!$D$3:$D$1002,"HT20250831")</f>
        <v>258.5</v>
      </c>
      <c r="H178" s="22">
        <f>SUMIFS(原始数据!$I$3:$I$1002,原始数据!$D$3:$D$1002,"HT20250831")</f>
        <v>287.038</v>
      </c>
      <c r="I178" s="22">
        <f>SUMIFS(原始数据!$J$3:$J$1002,原始数据!$D$3:$D$1002,"HT20250831")</f>
        <v>144.902</v>
      </c>
      <c r="J178" s="22">
        <f>SUMIFS(原始数据!$K$3:$K$1002,原始数据!$D$3:$D$1002,"HT20250831")</f>
        <v>142.136</v>
      </c>
      <c r="K178" s="19" t="str">
        <f>IFERROR(INDEX(原始数据!$L$3:$L$1002,MATCH(1,INDEX((原始数据!$D$3:$D$1002="HT20250831")*(原始数据!$L$3:$L$1002&lt;&gt;""),0),0)),"")</f>
        <v>一部</v>
      </c>
      <c r="L178" s="20" t="str">
        <f>IFERROR(INDEX(原始数据!$M$3:$M$1002,MATCH(1,INDEX((原始数据!$D$3:$D$1002="HT20250831")*(原始数据!$M$3:$M$1002&lt;&gt;""),0),0)),"")</f>
        <v>李娜</v>
      </c>
      <c r="M178" s="19" t="str">
        <f>IFERROR(INDEX(原始数据!$N$3:$N$1002,MATCH(1,INDEX((原始数据!$D$3:$D$1002="HT20250831")*(原始数据!$N$3:$N$1002&lt;&gt;""),0),0)),"")</f>
        <v>2-3年</v>
      </c>
      <c r="N178" s="19" t="inlineStr"/>
    </row>
    <row r="179">
      <c r="A179" s="13">
        <f>ROW()-2</f>
        <v>177</v>
      </c>
      <c r="B179" s="14" t="str">
        <f>IFERROR(INDEX(原始数据!$B$3:$B$1002,MATCH(1,INDEX((原始数据!$D$3:$D$1002="HT20250901")*(原始数据!$B$3:$B$1002&lt;&gt;""),0),0)),"")</f>
        <v>华北-天津</v>
      </c>
      <c r="C179" s="14" t="str">
        <f>IFERROR(INDEX(原始数据!$C$3:$C$1002,MATCH(1,INDEX((原始数据!$D$3:$D$1002="HT20250901")*(原始数据!$C$3:$C$1002&lt;&gt;""),0),0)),"")</f>
        <v>基层自治组织</v>
      </c>
      <c r="D179" s="15" t="inlineStr">
        <is>
          <t>HT20250901</t>
        </is>
      </c>
      <c r="E179" s="16">
        <f>IFERROR(INDEX(原始数据!$E$3:$E$1002,MATCH(1,INDEX((原始数据!$D$3:$D$1002="HT20250901")*(原始数据!$E$3:$E$1002&lt;&gt;""),0),0)),"")</f>
        <v>20260120</v>
      </c>
      <c r="F179" s="17">
        <f>SUMIFS(原始数据!$F$3:$F$1002,原始数据!$D$3:$D$1002,"HT20250901")</f>
        <v>6369.87</v>
      </c>
      <c r="G179" s="17">
        <f>SUMIFS(原始数据!$H$3:$H$1002,原始数据!$D$3:$D$1002,"HT20250901")</f>
        <v>3441.062</v>
      </c>
      <c r="H179" s="17">
        <f>SUMIFS(原始数据!$I$3:$I$1002,原始数据!$D$3:$D$1002,"HT20250901")</f>
        <v>2928.808</v>
      </c>
      <c r="I179" s="17">
        <f>SUMIFS(原始数据!$J$3:$J$1002,原始数据!$D$3:$D$1002,"HT20250901")</f>
        <v>1659.721</v>
      </c>
      <c r="J179" s="17">
        <f>SUMIFS(原始数据!$K$3:$K$1002,原始数据!$D$3:$D$1002,"HT20250901")</f>
        <v>1269.087</v>
      </c>
      <c r="K179" s="14" t="str">
        <f>IFERROR(INDEX(原始数据!$L$3:$L$1002,MATCH(1,INDEX((原始数据!$D$3:$D$1002="HT20250901")*(原始数据!$L$3:$L$1002&lt;&gt;""),0),0)),"")</f>
        <v>五部</v>
      </c>
      <c r="L179" s="15" t="str">
        <f>IFERROR(INDEX(原始数据!$M$3:$M$1002,MATCH(1,INDEX((原始数据!$D$3:$D$1002="HT20250901")*(原始数据!$M$3:$M$1002&lt;&gt;""),0),0)),"")</f>
        <v>宋佳</v>
      </c>
      <c r="M179" s="14" t="str">
        <f>IFERROR(INDEX(原始数据!$N$3:$N$1002,MATCH(1,INDEX((原始数据!$D$3:$D$1002="HT20250901")*(原始数据!$N$3:$N$1002&lt;&gt;""),0),0)),"")</f>
        <v>1年以内</v>
      </c>
      <c r="N179" s="14" t="inlineStr"/>
    </row>
    <row r="180">
      <c r="A180" s="18">
        <f>ROW()-2</f>
        <v>178</v>
      </c>
      <c r="B180" s="19" t="str">
        <f>IFERROR(INDEX(原始数据!$B$3:$B$1002,MATCH(1,INDEX((原始数据!$D$3:$D$1002="HT20250903")*(原始数据!$B$3:$B$1002&lt;&gt;""),0),0)),"")</f>
        <v>华东-上海</v>
      </c>
      <c r="C180" s="19" t="str">
        <f>IFERROR(INDEX(原始数据!$C$3:$C$1002,MATCH(1,INDEX((原始数据!$D$3:$D$1002="HT20250903")*(原始数据!$C$3:$C$1002&lt;&gt;""),0),0)),"")</f>
        <v>政府机关</v>
      </c>
      <c r="D180" s="20" t="inlineStr">
        <is>
          <t>HT20250903</t>
        </is>
      </c>
      <c r="E180" s="21">
        <f>IFERROR(INDEX(原始数据!$E$3:$E$1002,MATCH(1,INDEX((原始数据!$D$3:$D$1002="HT20250903")*(原始数据!$E$3:$E$1002&lt;&gt;""),0),0)),"")</f>
        <v>20260423</v>
      </c>
      <c r="F180" s="22">
        <f>SUMIFS(原始数据!$F$3:$F$1002,原始数据!$D$3:$D$1002,"HT20250903")</f>
        <v>2917.7740000000003</v>
      </c>
      <c r="G180" s="22">
        <f>SUMIFS(原始数据!$H$3:$H$1002,原始数据!$D$3:$D$1002,"HT20250903")</f>
        <v>919.4679999999998</v>
      </c>
      <c r="H180" s="22">
        <f>SUMIFS(原始数据!$I$3:$I$1002,原始数据!$D$3:$D$1002,"HT20250903")</f>
        <v>1998.306</v>
      </c>
      <c r="I180" s="22">
        <f>SUMIFS(原始数据!$J$3:$J$1002,原始数据!$D$3:$D$1002,"HT20250903")</f>
        <v>1273.989</v>
      </c>
      <c r="J180" s="22">
        <f>SUMIFS(原始数据!$K$3:$K$1002,原始数据!$D$3:$D$1002,"HT20250903")</f>
        <v>724.317</v>
      </c>
      <c r="K180" s="19" t="str">
        <f>IFERROR(INDEX(原始数据!$L$3:$L$1002,MATCH(1,INDEX((原始数据!$D$3:$D$1002="HT20250903")*(原始数据!$L$3:$L$1002&lt;&gt;""),0),0)),"")</f>
        <v>五部</v>
      </c>
      <c r="L180" s="20" t="str">
        <f>IFERROR(INDEX(原始数据!$M$3:$M$1002,MATCH(1,INDEX((原始数据!$D$3:$D$1002="HT20250903")*(原始数据!$M$3:$M$1002&lt;&gt;""),0),0)),"")</f>
        <v>谢峰</v>
      </c>
      <c r="M180" s="19" t="str">
        <f>IFERROR(INDEX(原始数据!$N$3:$N$1002,MATCH(1,INDEX((原始数据!$D$3:$D$1002="HT20250903")*(原始数据!$N$3:$N$1002&lt;&gt;""),0),0)),"")</f>
        <v>1年以内</v>
      </c>
      <c r="N180" s="19" t="inlineStr"/>
    </row>
    <row r="181">
      <c r="A181" s="13">
        <f>ROW()-2</f>
        <v>179</v>
      </c>
      <c r="B181" s="14" t="str">
        <f>IFERROR(INDEX(原始数据!$B$3:$B$1002,MATCH(1,INDEX((原始数据!$D$3:$D$1002="HT20250904")*(原始数据!$B$3:$B$1002&lt;&gt;""),0),0)),"")</f>
        <v>华中-湖南</v>
      </c>
      <c r="C181" s="14" t="str">
        <f>IFERROR(INDEX(原始数据!$C$3:$C$1002,MATCH(1,INDEX((原始数据!$D$3:$D$1002="HT20250904")*(原始数据!$C$3:$C$1002&lt;&gt;""),0),0)),"")</f>
        <v>人大政协</v>
      </c>
      <c r="D181" s="15" t="inlineStr">
        <is>
          <t>HT20250904</t>
        </is>
      </c>
      <c r="E181" s="16">
        <f>IFERROR(INDEX(原始数据!$E$3:$E$1002,MATCH(1,INDEX((原始数据!$D$3:$D$1002="HT20250904")*(原始数据!$E$3:$E$1002&lt;&gt;""),0),0)),"")</f>
        <v>20260326</v>
      </c>
      <c r="F181" s="17">
        <f>SUMIFS(原始数据!$F$3:$F$1002,原始数据!$D$3:$D$1002,"HT20250904")</f>
        <v>3266.805</v>
      </c>
      <c r="G181" s="17">
        <f>SUMIFS(原始数据!$H$3:$H$1002,原始数据!$D$3:$D$1002,"HT20250904")</f>
        <v>2588.799</v>
      </c>
      <c r="H181" s="17">
        <f>SUMIFS(原始数据!$I$3:$I$1002,原始数据!$D$3:$D$1002,"HT20250904")</f>
        <v>678.006</v>
      </c>
      <c r="I181" s="17">
        <f>SUMIFS(原始数据!$J$3:$J$1002,原始数据!$D$3:$D$1002,"HT20250904")</f>
        <v>567.475</v>
      </c>
      <c r="J181" s="17">
        <f>SUMIFS(原始数据!$K$3:$K$1002,原始数据!$D$3:$D$1002,"HT20250904")</f>
        <v>110.531</v>
      </c>
      <c r="K181" s="14" t="str">
        <f>IFERROR(INDEX(原始数据!$L$3:$L$1002,MATCH(1,INDEX((原始数据!$D$3:$D$1002="HT20250904")*(原始数据!$L$3:$L$1002&lt;&gt;""),0),0)),"")</f>
        <v>五部</v>
      </c>
      <c r="L181" s="15" t="str">
        <f>IFERROR(INDEX(原始数据!$M$3:$M$1002,MATCH(1,INDEX((原始数据!$D$3:$D$1002="HT20250904")*(原始数据!$M$3:$M$1002&lt;&gt;""),0),0)),"")</f>
        <v>韩梅</v>
      </c>
      <c r="M181" s="14" t="str">
        <f>IFERROR(INDEX(原始数据!$N$3:$N$1002,MATCH(1,INDEX((原始数据!$D$3:$D$1002="HT20250904")*(原始数据!$N$3:$N$1002&lt;&gt;""),0),0)),"")</f>
        <v>2-3年</v>
      </c>
      <c r="N181" s="14" t="inlineStr"/>
    </row>
    <row r="182">
      <c r="A182" s="18">
        <f>ROW()-2</f>
        <v>180</v>
      </c>
      <c r="B182" s="19" t="str">
        <f>IFERROR(INDEX(原始数据!$B$3:$B$1002,MATCH(1,INDEX((原始数据!$D$3:$D$1002="HT20250905")*(原始数据!$B$3:$B$1002&lt;&gt;""),0),0)),"")</f>
        <v>东北-黑龙江</v>
      </c>
      <c r="C182" s="19" t="str">
        <f>IFERROR(INDEX(原始数据!$C$3:$C$1002,MATCH(1,INDEX((原始数据!$D$3:$D$1002="HT20250905")*(原始数据!$C$3:$C$1002&lt;&gt;""),0),0)),"")</f>
        <v>党委机关</v>
      </c>
      <c r="D182" s="20" t="inlineStr">
        <is>
          <t>HT20250905</t>
        </is>
      </c>
      <c r="E182" s="21">
        <f>IFERROR(INDEX(原始数据!$E$3:$E$1002,MATCH(1,INDEX((原始数据!$D$3:$D$1002="HT20250905")*(原始数据!$E$3:$E$1002&lt;&gt;""),0),0)),"")</f>
        <v>20260730</v>
      </c>
      <c r="F182" s="22">
        <f>SUMIFS(原始数据!$F$3:$F$1002,原始数据!$D$3:$D$1002,"HT20250905")</f>
        <v>6168.6320000000005</v>
      </c>
      <c r="G182" s="22">
        <f>SUMIFS(原始数据!$H$3:$H$1002,原始数据!$D$3:$D$1002,"HT20250905")</f>
        <v>2964.949</v>
      </c>
      <c r="H182" s="22">
        <f>SUMIFS(原始数据!$I$3:$I$1002,原始数据!$D$3:$D$1002,"HT20250905")</f>
        <v>3203.683</v>
      </c>
      <c r="I182" s="22">
        <f>SUMIFS(原始数据!$J$3:$J$1002,原始数据!$D$3:$D$1002,"HT20250905")</f>
        <v>615.806</v>
      </c>
      <c r="J182" s="22">
        <f>SUMIFS(原始数据!$K$3:$K$1002,原始数据!$D$3:$D$1002,"HT20250905")</f>
        <v>2587.8770000000004</v>
      </c>
      <c r="K182" s="19" t="str">
        <f>IFERROR(INDEX(原始数据!$L$3:$L$1002,MATCH(1,INDEX((原始数据!$D$3:$D$1002="HT20250905")*(原始数据!$L$3:$L$1002&lt;&gt;""),0),0)),"")</f>
        <v>一部</v>
      </c>
      <c r="L182" s="20" t="str">
        <f>IFERROR(INDEX(原始数据!$M$3:$M$1002,MATCH(1,INDEX((原始数据!$D$3:$D$1002="HT20250905")*(原始数据!$M$3:$M$1002&lt;&gt;""),0),0)),"")</f>
        <v>刘洋</v>
      </c>
      <c r="M182" s="19" t="str">
        <f>IFERROR(INDEX(原始数据!$N$3:$N$1002,MATCH(1,INDEX((原始数据!$D$3:$D$1002="HT20250905")*(原始数据!$N$3:$N$1002&lt;&gt;""),0),0)),"")</f>
        <v>1-2年</v>
      </c>
      <c r="N182" s="19" t="inlineStr"/>
    </row>
    <row r="183">
      <c r="A183" s="13">
        <f>ROW()-2</f>
        <v>181</v>
      </c>
      <c r="B183" s="14" t="str">
        <f>IFERROR(INDEX(原始数据!$B$3:$B$1002,MATCH(1,INDEX((原始数据!$D$3:$D$1002="HT20250906")*(原始数据!$B$3:$B$1002&lt;&gt;""),0),0)),"")</f>
        <v>东北-吉林</v>
      </c>
      <c r="C183" s="14" t="str">
        <f>IFERROR(INDEX(原始数据!$C$3:$C$1002,MATCH(1,INDEX((原始数据!$D$3:$D$1002="HT20250906")*(原始数据!$C$3:$C$1002&lt;&gt;""),0),0)),"")</f>
        <v>事业单位</v>
      </c>
      <c r="D183" s="15" t="inlineStr">
        <is>
          <t>HT20250906</t>
        </is>
      </c>
      <c r="E183" s="16">
        <f>IFERROR(INDEX(原始数据!$E$3:$E$1002,MATCH(1,INDEX((原始数据!$D$3:$D$1002="HT20250906")*(原始数据!$E$3:$E$1002&lt;&gt;""),0),0)),"")</f>
        <v>20260304</v>
      </c>
      <c r="F183" s="17">
        <f>SUMIFS(原始数据!$F$3:$F$1002,原始数据!$D$3:$D$1002,"HT20250906")</f>
        <v>65.342</v>
      </c>
      <c r="G183" s="17">
        <f>SUMIFS(原始数据!$H$3:$H$1002,原始数据!$D$3:$D$1002,"HT20250906")</f>
        <v>50.356</v>
      </c>
      <c r="H183" s="17">
        <f>SUMIFS(原始数据!$I$3:$I$1002,原始数据!$D$3:$D$1002,"HT20250906")</f>
        <v>14.986</v>
      </c>
      <c r="I183" s="17">
        <f>SUMIFS(原始数据!$J$3:$J$1002,原始数据!$D$3:$D$1002,"HT20250906")</f>
        <v>11.773</v>
      </c>
      <c r="J183" s="17">
        <f>SUMIFS(原始数据!$K$3:$K$1002,原始数据!$D$3:$D$1002,"HT20250906")</f>
        <v>3.213</v>
      </c>
      <c r="K183" s="14" t="str">
        <f>IFERROR(INDEX(原始数据!$L$3:$L$1002,MATCH(1,INDEX((原始数据!$D$3:$D$1002="HT20250906")*(原始数据!$L$3:$L$1002&lt;&gt;""),0),0)),"")</f>
        <v>五部</v>
      </c>
      <c r="L183" s="15" t="str">
        <f>IFERROR(INDEX(原始数据!$M$3:$M$1002,MATCH(1,INDEX((原始数据!$D$3:$D$1002="HT20250906")*(原始数据!$M$3:$M$1002&lt;&gt;""),0),0)),"")</f>
        <v>宋佳</v>
      </c>
      <c r="M183" s="14" t="str">
        <f>IFERROR(INDEX(原始数据!$N$3:$N$1002,MATCH(1,INDEX((原始数据!$D$3:$D$1002="HT20250906")*(原始数据!$N$3:$N$1002&lt;&gt;""),0),0)),"")</f>
        <v>2-3年</v>
      </c>
      <c r="N183" s="14" t="inlineStr"/>
    </row>
    <row r="184">
      <c r="A184" s="18">
        <f>ROW()-2</f>
        <v>182</v>
      </c>
      <c r="B184" s="19" t="str">
        <f>IFERROR(INDEX(原始数据!$B$3:$B$1002,MATCH(1,INDEX((原始数据!$D$3:$D$1002="HT20250907")*(原始数据!$B$3:$B$1002&lt;&gt;""),0),0)),"")</f>
        <v>西北-新疆</v>
      </c>
      <c r="C184" s="19" t="str">
        <f>IFERROR(INDEX(原始数据!$C$3:$C$1002,MATCH(1,INDEX((原始数据!$D$3:$D$1002="HT20250907")*(原始数据!$C$3:$C$1002&lt;&gt;""),0),0)),"")</f>
        <v>国有企业</v>
      </c>
      <c r="D184" s="20" t="inlineStr">
        <is>
          <t>HT20250907</t>
        </is>
      </c>
      <c r="E184" s="21">
        <f>IFERROR(INDEX(原始数据!$E$3:$E$1002,MATCH(1,INDEX((原始数据!$D$3:$D$1002="HT20250907")*(原始数据!$E$3:$E$1002&lt;&gt;""),0),0)),"")</f>
        <v>20260203</v>
      </c>
      <c r="F184" s="22">
        <f>SUMIFS(原始数据!$F$3:$F$1002,原始数据!$D$3:$D$1002,"HT20250907")</f>
        <v>981.4440000000001</v>
      </c>
      <c r="G184" s="22">
        <f>SUMIFS(原始数据!$H$3:$H$1002,原始数据!$D$3:$D$1002,"HT20250907")</f>
        <v>166.453</v>
      </c>
      <c r="H184" s="22">
        <f>SUMIFS(原始数据!$I$3:$I$1002,原始数据!$D$3:$D$1002,"HT20250907")</f>
        <v>814.991</v>
      </c>
      <c r="I184" s="22">
        <f>SUMIFS(原始数据!$J$3:$J$1002,原始数据!$D$3:$D$1002,"HT20250907")</f>
        <v>51.742</v>
      </c>
      <c r="J184" s="22">
        <f>SUMIFS(原始数据!$K$3:$K$1002,原始数据!$D$3:$D$1002,"HT20250907")</f>
        <v>763.249</v>
      </c>
      <c r="K184" s="19" t="str">
        <f>IFERROR(INDEX(原始数据!$L$3:$L$1002,MATCH(1,INDEX((原始数据!$D$3:$D$1002="HT20250907")*(原始数据!$L$3:$L$1002&lt;&gt;""),0),0)),"")</f>
        <v>六部</v>
      </c>
      <c r="L184" s="20" t="str">
        <f>IFERROR(INDEX(原始数据!$M$3:$M$1002,MATCH(1,INDEX((原始数据!$D$3:$D$1002="HT20250907")*(原始数据!$M$3:$M$1002&lt;&gt;""),0),0)),"")</f>
        <v>董辉</v>
      </c>
      <c r="M184" s="19" t="str">
        <f>IFERROR(INDEX(原始数据!$N$3:$N$1002,MATCH(1,INDEX((原始数据!$D$3:$D$1002="HT20250907")*(原始数据!$N$3:$N$1002&lt;&gt;""),0),0)),"")</f>
        <v>2-3年</v>
      </c>
      <c r="N184" s="19" t="inlineStr"/>
    </row>
    <row r="185">
      <c r="A185" s="13">
        <f>ROW()-2</f>
        <v>183</v>
      </c>
      <c r="B185" s="14" t="str">
        <f>IFERROR(INDEX(原始数据!$B$3:$B$1002,MATCH(1,INDEX((原始数据!$D$3:$D$1002="HT20250908")*(原始数据!$B$3:$B$1002&lt;&gt;""),0),0)),"")</f>
        <v>西北-新疆</v>
      </c>
      <c r="C185" s="14" t="str">
        <f>IFERROR(INDEX(原始数据!$C$3:$C$1002,MATCH(1,INDEX((原始数据!$D$3:$D$1002="HT20250908")*(原始数据!$C$3:$C$1002&lt;&gt;""),0),0)),"")</f>
        <v>人大政协</v>
      </c>
      <c r="D185" s="15" t="inlineStr">
        <is>
          <t>HT20250908</t>
        </is>
      </c>
      <c r="E185" s="16">
        <f>IFERROR(INDEX(原始数据!$E$3:$E$1002,MATCH(1,INDEX((原始数据!$D$3:$D$1002="HT20250908")*(原始数据!$E$3:$E$1002&lt;&gt;""),0),0)),"")</f>
        <v>20260829</v>
      </c>
      <c r="F185" s="17">
        <f>SUMIFS(原始数据!$F$3:$F$1002,原始数据!$D$3:$D$1002,"HT20250908")</f>
        <v>579.481</v>
      </c>
      <c r="G185" s="17">
        <f>SUMIFS(原始数据!$H$3:$H$1002,原始数据!$D$3:$D$1002,"HT20250908")</f>
        <v>167.068</v>
      </c>
      <c r="H185" s="17">
        <f>SUMIFS(原始数据!$I$3:$I$1002,原始数据!$D$3:$D$1002,"HT20250908")</f>
        <v>412.413</v>
      </c>
      <c r="I185" s="17">
        <f>SUMIFS(原始数据!$J$3:$J$1002,原始数据!$D$3:$D$1002,"HT20250908")</f>
        <v>76.278</v>
      </c>
      <c r="J185" s="17">
        <f>SUMIFS(原始数据!$K$3:$K$1002,原始数据!$D$3:$D$1002,"HT20250908")</f>
        <v>336.135</v>
      </c>
      <c r="K185" s="14" t="str">
        <f>IFERROR(INDEX(原始数据!$L$3:$L$1002,MATCH(1,INDEX((原始数据!$D$3:$D$1002="HT20250908")*(原始数据!$L$3:$L$1002&lt;&gt;""),0),0)),"")</f>
        <v>八部</v>
      </c>
      <c r="L185" s="15" t="str">
        <f>IFERROR(INDEX(原始数据!$M$3:$M$1002,MATCH(1,INDEX((原始数据!$D$3:$D$1002="HT20250908")*(原始数据!$M$3:$M$1002&lt;&gt;""),0),0)),"")</f>
        <v>曾辉</v>
      </c>
      <c r="M185" s="14" t="str">
        <f>IFERROR(INDEX(原始数据!$N$3:$N$1002,MATCH(1,INDEX((原始数据!$D$3:$D$1002="HT20250908")*(原始数据!$N$3:$N$1002&lt;&gt;""),0),0)),"")</f>
        <v>1-2年</v>
      </c>
      <c r="N185" s="14" t="inlineStr"/>
    </row>
    <row r="186">
      <c r="A186" s="18">
        <f>ROW()-2</f>
        <v>184</v>
      </c>
      <c r="B186" s="19" t="str">
        <f>IFERROR(INDEX(原始数据!$B$3:$B$1002,MATCH(1,INDEX((原始数据!$D$3:$D$1002="HT20250910")*(原始数据!$B$3:$B$1002&lt;&gt;""),0),0)),"")</f>
        <v>西南-贵州</v>
      </c>
      <c r="C186" s="19" t="str">
        <f>IFERROR(INDEX(原始数据!$C$3:$C$1002,MATCH(1,INDEX((原始数据!$D$3:$D$1002="HT20250910")*(原始数据!$C$3:$C$1002&lt;&gt;""),0),0)),"")</f>
        <v>国有企业</v>
      </c>
      <c r="D186" s="20" t="inlineStr">
        <is>
          <t>HT20250910</t>
        </is>
      </c>
      <c r="E186" s="21">
        <f>IFERROR(INDEX(原始数据!$E$3:$E$1002,MATCH(1,INDEX((原始数据!$D$3:$D$1002="HT20250910")*(原始数据!$E$3:$E$1002&lt;&gt;""),0),0)),"")</f>
        <v>20260424</v>
      </c>
      <c r="F186" s="22">
        <f>SUMIFS(原始数据!$F$3:$F$1002,原始数据!$D$3:$D$1002,"HT20250910")</f>
        <v>443.757</v>
      </c>
      <c r="G186" s="22">
        <f>SUMIFS(原始数据!$H$3:$H$1002,原始数据!$D$3:$D$1002,"HT20250910")</f>
        <v>131.282</v>
      </c>
      <c r="H186" s="22">
        <f>SUMIFS(原始数据!$I$3:$I$1002,原始数据!$D$3:$D$1002,"HT20250910")</f>
        <v>312.475</v>
      </c>
      <c r="I186" s="22">
        <f>SUMIFS(原始数据!$J$3:$J$1002,原始数据!$D$3:$D$1002,"HT20250910")</f>
        <v>230.665</v>
      </c>
      <c r="J186" s="22">
        <f>SUMIFS(原始数据!$K$3:$K$1002,原始数据!$D$3:$D$1002,"HT20250910")</f>
        <v>81.81</v>
      </c>
      <c r="K186" s="19" t="str">
        <f>IFERROR(INDEX(原始数据!$L$3:$L$1002,MATCH(1,INDEX((原始数据!$D$3:$D$1002="HT20250910")*(原始数据!$L$3:$L$1002&lt;&gt;""),0),0)),"")</f>
        <v>十部</v>
      </c>
      <c r="L186" s="20" t="str">
        <f>IFERROR(INDEX(原始数据!$M$3:$M$1002,MATCH(1,INDEX((原始数据!$D$3:$D$1002="HT20250910")*(原始数据!$M$3:$M$1002&lt;&gt;""),0),0)),"")</f>
        <v>阎莉</v>
      </c>
      <c r="M186" s="19" t="str">
        <f>IFERROR(INDEX(原始数据!$N$3:$N$1002,MATCH(1,INDEX((原始数据!$D$3:$D$1002="HT20250910")*(原始数据!$N$3:$N$1002&lt;&gt;""),0),0)),"")</f>
        <v>2-3年</v>
      </c>
      <c r="N186" s="19" t="inlineStr"/>
    </row>
    <row r="187">
      <c r="A187" s="13">
        <f>ROW()-2</f>
        <v>185</v>
      </c>
      <c r="B187" s="14" t="str">
        <f>IFERROR(INDEX(原始数据!$B$3:$B$1002,MATCH(1,INDEX((原始数据!$D$3:$D$1002="HT20250911")*(原始数据!$B$3:$B$1002&lt;&gt;""),0),0)),"")</f>
        <v>华东-台湾</v>
      </c>
      <c r="C187" s="14" t="str">
        <f>IFERROR(INDEX(原始数据!$C$3:$C$1002,MATCH(1,INDEX((原始数据!$D$3:$D$1002="HT20250911")*(原始数据!$C$3:$C$1002&lt;&gt;""),0),0)),"")</f>
        <v>国有企业</v>
      </c>
      <c r="D187" s="15" t="inlineStr">
        <is>
          <t>HT20250911</t>
        </is>
      </c>
      <c r="E187" s="16">
        <f>IFERROR(INDEX(原始数据!$E$3:$E$1002,MATCH(1,INDEX((原始数据!$D$3:$D$1002="HT20250911")*(原始数据!$E$3:$E$1002&lt;&gt;""),0),0)),"")</f>
        <v>20260509</v>
      </c>
      <c r="F187" s="17">
        <f>SUMIFS(原始数据!$F$3:$F$1002,原始数据!$D$3:$D$1002,"HT20250911")</f>
        <v>1165.284</v>
      </c>
      <c r="G187" s="17">
        <f>SUMIFS(原始数据!$H$3:$H$1002,原始数据!$D$3:$D$1002,"HT20250911")</f>
        <v>1003.337</v>
      </c>
      <c r="H187" s="17">
        <f>SUMIFS(原始数据!$I$3:$I$1002,原始数据!$D$3:$D$1002,"HT20250911")</f>
        <v>161.947</v>
      </c>
      <c r="I187" s="17">
        <f>SUMIFS(原始数据!$J$3:$J$1002,原始数据!$D$3:$D$1002,"HT20250911")</f>
        <v>147.893</v>
      </c>
      <c r="J187" s="17">
        <f>SUMIFS(原始数据!$K$3:$K$1002,原始数据!$D$3:$D$1002,"HT20250911")</f>
        <v>14.054</v>
      </c>
      <c r="K187" s="14" t="str">
        <f>IFERROR(INDEX(原始数据!$L$3:$L$1002,MATCH(1,INDEX((原始数据!$D$3:$D$1002="HT20250911")*(原始数据!$L$3:$L$1002&lt;&gt;""),0),0)),"")</f>
        <v>七部</v>
      </c>
      <c r="L187" s="15" t="str">
        <f>IFERROR(INDEX(原始数据!$M$3:$M$1002,MATCH(1,INDEX((原始数据!$D$3:$D$1002="HT20250911")*(原始数据!$M$3:$M$1002&lt;&gt;""),0),0)),"")</f>
        <v>邓丽</v>
      </c>
      <c r="M187" s="14" t="str">
        <f>IFERROR(INDEX(原始数据!$N$3:$N$1002,MATCH(1,INDEX((原始数据!$D$3:$D$1002="HT20250911")*(原始数据!$N$3:$N$1002&lt;&gt;""),0),0)),"")</f>
        <v>1-2年</v>
      </c>
      <c r="N187" s="14" t="inlineStr"/>
    </row>
    <row r="188">
      <c r="A188" s="18">
        <f>ROW()-2</f>
        <v>186</v>
      </c>
      <c r="B188" s="19" t="str">
        <f>IFERROR(INDEX(原始数据!$B$3:$B$1002,MATCH(1,INDEX((原始数据!$D$3:$D$1002="HT20250913")*(原始数据!$B$3:$B$1002&lt;&gt;""),0),0)),"")</f>
        <v>华中-湖南</v>
      </c>
      <c r="C188" s="19" t="str">
        <f>IFERROR(INDEX(原始数据!$C$3:$C$1002,MATCH(1,INDEX((原始数据!$D$3:$D$1002="HT20250913")*(原始数据!$C$3:$C$1002&lt;&gt;""),0),0)),"")</f>
        <v>群团组织</v>
      </c>
      <c r="D188" s="20" t="inlineStr">
        <is>
          <t>HT20250913</t>
        </is>
      </c>
      <c r="E188" s="21">
        <f>IFERROR(INDEX(原始数据!$E$3:$E$1002,MATCH(1,INDEX((原始数据!$D$3:$D$1002="HT20250913")*(原始数据!$E$3:$E$1002&lt;&gt;""),0),0)),"")</f>
        <v>20260820</v>
      </c>
      <c r="F188" s="22">
        <f>SUMIFS(原始数据!$F$3:$F$1002,原始数据!$D$3:$D$1002,"HT20250913")</f>
        <v>199.95</v>
      </c>
      <c r="G188" s="22">
        <f>SUMIFS(原始数据!$H$3:$H$1002,原始数据!$D$3:$D$1002,"HT20250913")</f>
        <v>2.76</v>
      </c>
      <c r="H188" s="22">
        <f>SUMIFS(原始数据!$I$3:$I$1002,原始数据!$D$3:$D$1002,"HT20250913")</f>
        <v>197.19</v>
      </c>
      <c r="I188" s="22">
        <f>SUMIFS(原始数据!$J$3:$J$1002,原始数据!$D$3:$D$1002,"HT20250913")</f>
        <v>43.602</v>
      </c>
      <c r="J188" s="22">
        <f>SUMIFS(原始数据!$K$3:$K$1002,原始数据!$D$3:$D$1002,"HT20250913")</f>
        <v>153.588</v>
      </c>
      <c r="K188" s="19" t="str">
        <f>IFERROR(INDEX(原始数据!$L$3:$L$1002,MATCH(1,INDEX((原始数据!$D$3:$D$1002="HT20250913")*(原始数据!$L$3:$L$1002&lt;&gt;""),0),0)),"")</f>
        <v>四部</v>
      </c>
      <c r="L188" s="20" t="str">
        <f>IFERROR(INDEX(原始数据!$M$3:$M$1002,MATCH(1,INDEX((原始数据!$D$3:$D$1002="HT20250913")*(原始数据!$M$3:$M$1002&lt;&gt;""),0),0)),"")</f>
        <v>林燕</v>
      </c>
      <c r="M188" s="19" t="str">
        <f>IFERROR(INDEX(原始数据!$N$3:$N$1002,MATCH(1,INDEX((原始数据!$D$3:$D$1002="HT20250913")*(原始数据!$N$3:$N$1002&lt;&gt;""),0),0)),"")</f>
        <v>2-3年</v>
      </c>
      <c r="N188" s="19" t="inlineStr"/>
    </row>
    <row r="189">
      <c r="A189" s="13">
        <f>ROW()-2</f>
        <v>187</v>
      </c>
      <c r="B189" s="14" t="str">
        <f>IFERROR(INDEX(原始数据!$B$3:$B$1002,MATCH(1,INDEX((原始数据!$D$3:$D$1002="HT20250915")*(原始数据!$B$3:$B$1002&lt;&gt;""),0),0)),"")</f>
        <v>华北-天津</v>
      </c>
      <c r="C189" s="14" t="str">
        <f>IFERROR(INDEX(原始数据!$C$3:$C$1002,MATCH(1,INDEX((原始数据!$D$3:$D$1002="HT20250915")*(原始数据!$C$3:$C$1002&lt;&gt;""),0),0)),"")</f>
        <v>政府机关</v>
      </c>
      <c r="D189" s="15" t="inlineStr">
        <is>
          <t>HT20250915</t>
        </is>
      </c>
      <c r="E189" s="16">
        <f>IFERROR(INDEX(原始数据!$E$3:$E$1002,MATCH(1,INDEX((原始数据!$D$3:$D$1002="HT20250915")*(原始数据!$E$3:$E$1002&lt;&gt;""),0),0)),"")</f>
        <v>20260402</v>
      </c>
      <c r="F189" s="17">
        <f>SUMIFS(原始数据!$F$3:$F$1002,原始数据!$D$3:$D$1002,"HT20250915")</f>
        <v>1214.999</v>
      </c>
      <c r="G189" s="17">
        <f>SUMIFS(原始数据!$H$3:$H$1002,原始数据!$D$3:$D$1002,"HT20250915")</f>
        <v>81.73</v>
      </c>
      <c r="H189" s="17">
        <f>SUMIFS(原始数据!$I$3:$I$1002,原始数据!$D$3:$D$1002,"HT20250915")</f>
        <v>1133.269</v>
      </c>
      <c r="I189" s="17">
        <f>SUMIFS(原始数据!$J$3:$J$1002,原始数据!$D$3:$D$1002,"HT20250915")</f>
        <v>718.479</v>
      </c>
      <c r="J189" s="17">
        <f>SUMIFS(原始数据!$K$3:$K$1002,原始数据!$D$3:$D$1002,"HT20250915")</f>
        <v>414.79</v>
      </c>
      <c r="K189" s="14" t="str">
        <f>IFERROR(INDEX(原始数据!$L$3:$L$1002,MATCH(1,INDEX((原始数据!$D$3:$D$1002="HT20250915")*(原始数据!$L$3:$L$1002&lt;&gt;""),0),0)),"")</f>
        <v>四部</v>
      </c>
      <c r="L189" s="15" t="str">
        <f>IFERROR(INDEX(原始数据!$M$3:$M$1002,MATCH(1,INDEX((原始数据!$D$3:$D$1002="HT20250915")*(原始数据!$M$3:$M$1002&lt;&gt;""),0),0)),"")</f>
        <v>林燕</v>
      </c>
      <c r="M189" s="14" t="str">
        <f>IFERROR(INDEX(原始数据!$N$3:$N$1002,MATCH(1,INDEX((原始数据!$D$3:$D$1002="HT20250915")*(原始数据!$N$3:$N$1002&lt;&gt;""),0),0)),"")</f>
        <v>2-3年</v>
      </c>
      <c r="N189" s="14" t="inlineStr"/>
    </row>
    <row r="190">
      <c r="A190" s="18">
        <f>ROW()-2</f>
        <v>188</v>
      </c>
      <c r="B190" s="19" t="str">
        <f>IFERROR(INDEX(原始数据!$B$3:$B$1002,MATCH(1,INDEX((原始数据!$D$3:$D$1002="HT20250917")*(原始数据!$B$3:$B$1002&lt;&gt;""),0),0)),"")</f>
        <v>华东-福建</v>
      </c>
      <c r="C190" s="19" t="str">
        <f>IFERROR(INDEX(原始数据!$C$3:$C$1002,MATCH(1,INDEX((原始数据!$D$3:$D$1002="HT20250917")*(原始数据!$C$3:$C$1002&lt;&gt;""),0),0)),"")</f>
        <v>基层自治组织</v>
      </c>
      <c r="D190" s="20" t="inlineStr">
        <is>
          <t>HT20250917</t>
        </is>
      </c>
      <c r="E190" s="21">
        <f>IFERROR(INDEX(原始数据!$E$3:$E$1002,MATCH(1,INDEX((原始数据!$D$3:$D$1002="HT20250917")*(原始数据!$E$3:$E$1002&lt;&gt;""),0),0)),"")</f>
        <v>20260128</v>
      </c>
      <c r="F190" s="22">
        <f>SUMIFS(原始数据!$F$3:$F$1002,原始数据!$D$3:$D$1002,"HT20250917")</f>
        <v>1180.527</v>
      </c>
      <c r="G190" s="22">
        <f>SUMIFS(原始数据!$H$3:$H$1002,原始数据!$D$3:$D$1002,"HT20250917")</f>
        <v>657.134</v>
      </c>
      <c r="H190" s="22">
        <f>SUMIFS(原始数据!$I$3:$I$1002,原始数据!$D$3:$D$1002,"HT20250917")</f>
        <v>523.393</v>
      </c>
      <c r="I190" s="22">
        <f>SUMIFS(原始数据!$J$3:$J$1002,原始数据!$D$3:$D$1002,"HT20250917")</f>
        <v>462.004</v>
      </c>
      <c r="J190" s="22">
        <f>SUMIFS(原始数据!$K$3:$K$1002,原始数据!$D$3:$D$1002,"HT20250917")</f>
        <v>61.389</v>
      </c>
      <c r="K190" s="19" t="str">
        <f>IFERROR(INDEX(原始数据!$L$3:$L$1002,MATCH(1,INDEX((原始数据!$D$3:$D$1002="HT20250917")*(原始数据!$L$3:$L$1002&lt;&gt;""),0),0)),"")</f>
        <v>七部</v>
      </c>
      <c r="L190" s="20" t="str">
        <f>IFERROR(INDEX(原始数据!$M$3:$M$1002,MATCH(1,INDEX((原始数据!$D$3:$D$1002="HT20250917")*(原始数据!$M$3:$M$1002&lt;&gt;""),0),0)),"")</f>
        <v>邓丽</v>
      </c>
      <c r="M190" s="19" t="str">
        <f>IFERROR(INDEX(原始数据!$N$3:$N$1002,MATCH(1,INDEX((原始数据!$D$3:$D$1002="HT20250917")*(原始数据!$N$3:$N$1002&lt;&gt;""),0),0)),"")</f>
        <v>1-2年</v>
      </c>
      <c r="N190" s="19" t="inlineStr"/>
    </row>
    <row r="191">
      <c r="A191" s="13">
        <f>ROW()-2</f>
        <v>189</v>
      </c>
      <c r="B191" s="14" t="str">
        <f>IFERROR(INDEX(原始数据!$B$3:$B$1002,MATCH(1,INDEX((原始数据!$D$3:$D$1002="HT20250918")*(原始数据!$B$3:$B$1002&lt;&gt;""),0),0)),"")</f>
        <v>华北-山西</v>
      </c>
      <c r="C191" s="14" t="str">
        <f>IFERROR(INDEX(原始数据!$C$3:$C$1002,MATCH(1,INDEX((原始数据!$D$3:$D$1002="HT20250918")*(原始数据!$C$3:$C$1002&lt;&gt;""),0),0)),"")</f>
        <v>政府机关</v>
      </c>
      <c r="D191" s="15" t="inlineStr">
        <is>
          <t>HT20250918</t>
        </is>
      </c>
      <c r="E191" s="16">
        <f>IFERROR(INDEX(原始数据!$E$3:$E$1002,MATCH(1,INDEX((原始数据!$D$3:$D$1002="HT20250918")*(原始数据!$E$3:$E$1002&lt;&gt;""),0),0)),"")</f>
        <v>20260309</v>
      </c>
      <c r="F191" s="17">
        <f>SUMIFS(原始数据!$F$3:$F$1002,原始数据!$D$3:$D$1002,"HT20250918")</f>
        <v>8773.59</v>
      </c>
      <c r="G191" s="17">
        <f>SUMIFS(原始数据!$H$3:$H$1002,原始数据!$D$3:$D$1002,"HT20250918")</f>
        <v>4171.867</v>
      </c>
      <c r="H191" s="17">
        <f>SUMIFS(原始数据!$I$3:$I$1002,原始数据!$D$3:$D$1002,"HT20250918")</f>
        <v>4601.723</v>
      </c>
      <c r="I191" s="17">
        <f>SUMIFS(原始数据!$J$3:$J$1002,原始数据!$D$3:$D$1002,"HT20250918")</f>
        <v>2791.3199999999997</v>
      </c>
      <c r="J191" s="17">
        <f>SUMIFS(原始数据!$K$3:$K$1002,原始数据!$D$3:$D$1002,"HT20250918")</f>
        <v>1810.403</v>
      </c>
      <c r="K191" s="14" t="str">
        <f>IFERROR(INDEX(原始数据!$L$3:$L$1002,MATCH(1,INDEX((原始数据!$D$3:$D$1002="HT20250918")*(原始数据!$L$3:$L$1002&lt;&gt;""),0),0)),"")</f>
        <v>六部</v>
      </c>
      <c r="L191" s="15" t="str">
        <f>IFERROR(INDEX(原始数据!$M$3:$M$1002,MATCH(1,INDEX((原始数据!$D$3:$D$1002="HT20250918")*(原始数据!$M$3:$M$1002&lt;&gt;""),0),0)),"")</f>
        <v>曹阳</v>
      </c>
      <c r="M191" s="14" t="str">
        <f>IFERROR(INDEX(原始数据!$N$3:$N$1002,MATCH(1,INDEX((原始数据!$D$3:$D$1002="HT20250918")*(原始数据!$N$3:$N$1002&lt;&gt;""),0),0)),"")</f>
        <v>1-2年</v>
      </c>
      <c r="N191" s="14" t="inlineStr"/>
    </row>
    <row r="192">
      <c r="A192" s="18">
        <f>ROW()-2</f>
        <v>190</v>
      </c>
      <c r="B192" s="19" t="str">
        <f>IFERROR(INDEX(原始数据!$B$3:$B$1002,MATCH(1,INDEX((原始数据!$D$3:$D$1002="HT20250919")*(原始数据!$B$3:$B$1002&lt;&gt;""),0),0)),"")</f>
        <v>华东-安徽</v>
      </c>
      <c r="C192" s="19" t="str">
        <f>IFERROR(INDEX(原始数据!$C$3:$C$1002,MATCH(1,INDEX((原始数据!$D$3:$D$1002="HT20250919")*(原始数据!$C$3:$C$1002&lt;&gt;""),0),0)),"")</f>
        <v>基层自治组织</v>
      </c>
      <c r="D192" s="20" t="inlineStr">
        <is>
          <t>HT20250919</t>
        </is>
      </c>
      <c r="E192" s="21">
        <f>IFERROR(INDEX(原始数据!$E$3:$E$1002,MATCH(1,INDEX((原始数据!$D$3:$D$1002="HT20250919")*(原始数据!$E$3:$E$1002&lt;&gt;""),0),0)),"")</f>
        <v>20260211</v>
      </c>
      <c r="F192" s="22">
        <f>SUMIFS(原始数据!$F$3:$F$1002,原始数据!$D$3:$D$1002,"HT20250919")</f>
        <v>882.422</v>
      </c>
      <c r="G192" s="22">
        <f>SUMIFS(原始数据!$H$3:$H$1002,原始数据!$D$3:$D$1002,"HT20250919")</f>
        <v>651.909</v>
      </c>
      <c r="H192" s="22">
        <f>SUMIFS(原始数据!$I$3:$I$1002,原始数据!$D$3:$D$1002,"HT20250919")</f>
        <v>230.513</v>
      </c>
      <c r="I192" s="22">
        <f>SUMIFS(原始数据!$J$3:$J$1002,原始数据!$D$3:$D$1002,"HT20250919")</f>
        <v>139.91</v>
      </c>
      <c r="J192" s="22">
        <f>SUMIFS(原始数据!$K$3:$K$1002,原始数据!$D$3:$D$1002,"HT20250919")</f>
        <v>90.603</v>
      </c>
      <c r="K192" s="19" t="str">
        <f>IFERROR(INDEX(原始数据!$L$3:$L$1002,MATCH(1,INDEX((原始数据!$D$3:$D$1002="HT20250919")*(原始数据!$L$3:$L$1002&lt;&gt;""),0),0)),"")</f>
        <v>五部</v>
      </c>
      <c r="L192" s="20" t="str">
        <f>IFERROR(INDEX(原始数据!$M$3:$M$1002,MATCH(1,INDEX((原始数据!$D$3:$D$1002="HT20250919")*(原始数据!$M$3:$M$1002&lt;&gt;""),0),0)),"")</f>
        <v>韩梅</v>
      </c>
      <c r="M192" s="19" t="str">
        <f>IFERROR(INDEX(原始数据!$N$3:$N$1002,MATCH(1,INDEX((原始数据!$D$3:$D$1002="HT20250919")*(原始数据!$N$3:$N$1002&lt;&gt;""),0),0)),"")</f>
        <v>2-3年</v>
      </c>
      <c r="N192" s="19" t="inlineStr"/>
    </row>
    <row r="193">
      <c r="A193" s="13">
        <f>ROW()-2</f>
        <v>191</v>
      </c>
      <c r="B193" s="14" t="str">
        <f>IFERROR(INDEX(原始数据!$B$3:$B$1002,MATCH(1,INDEX((原始数据!$D$3:$D$1002="HT20250923")*(原始数据!$B$3:$B$1002&lt;&gt;""),0),0)),"")</f>
        <v>西北-陕西</v>
      </c>
      <c r="C193" s="14" t="str">
        <f>IFERROR(INDEX(原始数据!$C$3:$C$1002,MATCH(1,INDEX((原始数据!$D$3:$D$1002="HT20250923")*(原始数据!$C$3:$C$1002&lt;&gt;""),0),0)),"")</f>
        <v>国有企业</v>
      </c>
      <c r="D193" s="15" t="inlineStr">
        <is>
          <t>HT20250923</t>
        </is>
      </c>
      <c r="E193" s="16">
        <f>IFERROR(INDEX(原始数据!$E$3:$E$1002,MATCH(1,INDEX((原始数据!$D$3:$D$1002="HT20250923")*(原始数据!$E$3:$E$1002&lt;&gt;""),0),0)),"")</f>
        <v>20260703</v>
      </c>
      <c r="F193" s="17">
        <f>SUMIFS(原始数据!$F$3:$F$1002,原始数据!$D$3:$D$1002,"HT20250923")</f>
        <v>920.7349999999999</v>
      </c>
      <c r="G193" s="17">
        <f>SUMIFS(原始数据!$H$3:$H$1002,原始数据!$D$3:$D$1002,"HT20250923")</f>
        <v>491.10799999999995</v>
      </c>
      <c r="H193" s="17">
        <f>SUMIFS(原始数据!$I$3:$I$1002,原始数据!$D$3:$D$1002,"HT20250923")</f>
        <v>429.62699999999995</v>
      </c>
      <c r="I193" s="17">
        <f>SUMIFS(原始数据!$J$3:$J$1002,原始数据!$D$3:$D$1002,"HT20250923")</f>
        <v>117.446</v>
      </c>
      <c r="J193" s="17">
        <f>SUMIFS(原始数据!$K$3:$K$1002,原始数据!$D$3:$D$1002,"HT20250923")</f>
        <v>312.18100000000004</v>
      </c>
      <c r="K193" s="14" t="str">
        <f>IFERROR(INDEX(原始数据!$L$3:$L$1002,MATCH(1,INDEX((原始数据!$D$3:$D$1002="HT20250923")*(原始数据!$L$3:$L$1002&lt;&gt;""),0),0)),"")</f>
        <v>五部</v>
      </c>
      <c r="L193" s="15" t="str">
        <f>IFERROR(INDEX(原始数据!$M$3:$M$1002,MATCH(1,INDEX((原始数据!$D$3:$D$1002="HT20250923")*(原始数据!$M$3:$M$1002&lt;&gt;""),0),0)),"")</f>
        <v>韩梅</v>
      </c>
      <c r="M193" s="14" t="str">
        <f>IFERROR(INDEX(原始数据!$N$3:$N$1002,MATCH(1,INDEX((原始数据!$D$3:$D$1002="HT20250923")*(原始数据!$N$3:$N$1002&lt;&gt;""),0),0)),"")</f>
        <v>1年以内</v>
      </c>
      <c r="N193" s="14" t="inlineStr"/>
    </row>
    <row r="194">
      <c r="A194" s="18">
        <f>ROW()-2</f>
        <v>192</v>
      </c>
      <c r="B194" s="19" t="str">
        <f>IFERROR(INDEX(原始数据!$B$3:$B$1002,MATCH(1,INDEX((原始数据!$D$3:$D$1002="HT20250924")*(原始数据!$B$3:$B$1002&lt;&gt;""),0),0)),"")</f>
        <v>东北-黑龙江</v>
      </c>
      <c r="C194" s="19" t="str">
        <f>IFERROR(INDEX(原始数据!$C$3:$C$1002,MATCH(1,INDEX((原始数据!$D$3:$D$1002="HT20250924")*(原始数据!$C$3:$C$1002&lt;&gt;""),0),0)),"")</f>
        <v>党委机关</v>
      </c>
      <c r="D194" s="20" t="inlineStr">
        <is>
          <t>HT20250924</t>
        </is>
      </c>
      <c r="E194" s="21">
        <f>IFERROR(INDEX(原始数据!$E$3:$E$1002,MATCH(1,INDEX((原始数据!$D$3:$D$1002="HT20250924")*(原始数据!$E$3:$E$1002&lt;&gt;""),0),0)),"")</f>
        <v>20260305</v>
      </c>
      <c r="F194" s="22">
        <f>SUMIFS(原始数据!$F$3:$F$1002,原始数据!$D$3:$D$1002,"HT20250924")</f>
        <v>6477.777</v>
      </c>
      <c r="G194" s="22">
        <f>SUMIFS(原始数据!$H$3:$H$1002,原始数据!$D$3:$D$1002,"HT20250924")</f>
        <v>3269.027</v>
      </c>
      <c r="H194" s="22">
        <f>SUMIFS(原始数据!$I$3:$I$1002,原始数据!$D$3:$D$1002,"HT20250924")</f>
        <v>3208.75</v>
      </c>
      <c r="I194" s="22">
        <f>SUMIFS(原始数据!$J$3:$J$1002,原始数据!$D$3:$D$1002,"HT20250924")</f>
        <v>2933.802</v>
      </c>
      <c r="J194" s="22">
        <f>SUMIFS(原始数据!$K$3:$K$1002,原始数据!$D$3:$D$1002,"HT20250924")</f>
        <v>274.94800000000004</v>
      </c>
      <c r="K194" s="19" t="str">
        <f>IFERROR(INDEX(原始数据!$L$3:$L$1002,MATCH(1,INDEX((原始数据!$D$3:$D$1002="HT20250924")*(原始数据!$L$3:$L$1002&lt;&gt;""),0),0)),"")</f>
        <v>一部</v>
      </c>
      <c r="L194" s="20" t="str">
        <f>IFERROR(INDEX(原始数据!$M$3:$M$1002,MATCH(1,INDEX((原始数据!$D$3:$D$1002="HT20250924")*(原始数据!$M$3:$M$1002&lt;&gt;""),0),0)),"")</f>
        <v>张伟</v>
      </c>
      <c r="M194" s="19" t="str">
        <f>IFERROR(INDEX(原始数据!$N$3:$N$1002,MATCH(1,INDEX((原始数据!$D$3:$D$1002="HT20250924")*(原始数据!$N$3:$N$1002&lt;&gt;""),0),0)),"")</f>
        <v>1年以内</v>
      </c>
      <c r="N194" s="19" t="inlineStr"/>
    </row>
    <row r="195">
      <c r="A195" s="13">
        <f>ROW()-2</f>
        <v>193</v>
      </c>
      <c r="B195" s="14" t="str">
        <f>IFERROR(INDEX(原始数据!$B$3:$B$1002,MATCH(1,INDEX((原始数据!$D$3:$D$1002="HT20250925")*(原始数据!$B$3:$B$1002&lt;&gt;""),0),0)),"")</f>
        <v>华东-安徽</v>
      </c>
      <c r="C195" s="14" t="str">
        <f>IFERROR(INDEX(原始数据!$C$3:$C$1002,MATCH(1,INDEX((原始数据!$D$3:$D$1002="HT20250925")*(原始数据!$C$3:$C$1002&lt;&gt;""),0),0)),"")</f>
        <v>党委机关</v>
      </c>
      <c r="D195" s="15" t="inlineStr">
        <is>
          <t>HT20250925</t>
        </is>
      </c>
      <c r="E195" s="16">
        <f>IFERROR(INDEX(原始数据!$E$3:$E$1002,MATCH(1,INDEX((原始数据!$D$3:$D$1002="HT20250925")*(原始数据!$E$3:$E$1002&lt;&gt;""),0),0)),"")</f>
        <v>20260723</v>
      </c>
      <c r="F195" s="17">
        <f>SUMIFS(原始数据!$F$3:$F$1002,原始数据!$D$3:$D$1002,"HT20250925")</f>
        <v>687.9459999999999</v>
      </c>
      <c r="G195" s="17">
        <f>SUMIFS(原始数据!$H$3:$H$1002,原始数据!$D$3:$D$1002,"HT20250925")</f>
        <v>373.71000000000004</v>
      </c>
      <c r="H195" s="17">
        <f>SUMIFS(原始数据!$I$3:$I$1002,原始数据!$D$3:$D$1002,"HT20250925")</f>
        <v>314.236</v>
      </c>
      <c r="I195" s="17">
        <f>SUMIFS(原始数据!$J$3:$J$1002,原始数据!$D$3:$D$1002,"HT20250925")</f>
        <v>14.619</v>
      </c>
      <c r="J195" s="17">
        <f>SUMIFS(原始数据!$K$3:$K$1002,原始数据!$D$3:$D$1002,"HT20250925")</f>
        <v>299.617</v>
      </c>
      <c r="K195" s="14" t="str">
        <f>IFERROR(INDEX(原始数据!$L$3:$L$1002,MATCH(1,INDEX((原始数据!$D$3:$D$1002="HT20250925")*(原始数据!$L$3:$L$1002&lt;&gt;""),0),0)),"")</f>
        <v>八部</v>
      </c>
      <c r="L195" s="15" t="str">
        <f>IFERROR(INDEX(原始数据!$M$3:$M$1002,MATCH(1,INDEX((原始数据!$D$3:$D$1002="HT20250925")*(原始数据!$M$3:$M$1002&lt;&gt;""),0),0)),"")</f>
        <v>曾辉</v>
      </c>
      <c r="M195" s="14" t="str">
        <f>IFERROR(INDEX(原始数据!$N$3:$N$1002,MATCH(1,INDEX((原始数据!$D$3:$D$1002="HT20250925")*(原始数据!$N$3:$N$1002&lt;&gt;""),0),0)),"")</f>
        <v>1年以内</v>
      </c>
      <c r="N195" s="14" t="inlineStr"/>
    </row>
    <row r="196">
      <c r="A196" s="18">
        <f>ROW()-2</f>
        <v>194</v>
      </c>
      <c r="B196" s="19" t="str">
        <f>IFERROR(INDEX(原始数据!$B$3:$B$1002,MATCH(1,INDEX((原始数据!$D$3:$D$1002="HT20250926")*(原始数据!$B$3:$B$1002&lt;&gt;""),0),0)),"")</f>
        <v>西北-甘肃</v>
      </c>
      <c r="C196" s="19" t="str">
        <f>IFERROR(INDEX(原始数据!$C$3:$C$1002,MATCH(1,INDEX((原始数据!$D$3:$D$1002="HT20250926")*(原始数据!$C$3:$C$1002&lt;&gt;""),0),0)),"")</f>
        <v>监察司法机关</v>
      </c>
      <c r="D196" s="20" t="inlineStr">
        <is>
          <t>HT20250926</t>
        </is>
      </c>
      <c r="E196" s="21">
        <f>IFERROR(INDEX(原始数据!$E$3:$E$1002,MATCH(1,INDEX((原始数据!$D$3:$D$1002="HT20250926")*(原始数据!$E$3:$E$1002&lt;&gt;""),0),0)),"")</f>
        <v>20260305</v>
      </c>
      <c r="F196" s="22">
        <f>SUMIFS(原始数据!$F$3:$F$1002,原始数据!$D$3:$D$1002,"HT20250926")</f>
        <v>3532.019</v>
      </c>
      <c r="G196" s="22">
        <f>SUMIFS(原始数据!$H$3:$H$1002,原始数据!$D$3:$D$1002,"HT20250926")</f>
        <v>1562.267</v>
      </c>
      <c r="H196" s="22">
        <f>SUMIFS(原始数据!$I$3:$I$1002,原始数据!$D$3:$D$1002,"HT20250926")</f>
        <v>1969.752</v>
      </c>
      <c r="I196" s="22">
        <f>SUMIFS(原始数据!$J$3:$J$1002,原始数据!$D$3:$D$1002,"HT20250926")</f>
        <v>1132.543</v>
      </c>
      <c r="J196" s="22">
        <f>SUMIFS(原始数据!$K$3:$K$1002,原始数据!$D$3:$D$1002,"HT20250926")</f>
        <v>837.209</v>
      </c>
      <c r="K196" s="19" t="str">
        <f>IFERROR(INDEX(原始数据!$L$3:$L$1002,MATCH(1,INDEX((原始数据!$D$3:$D$1002="HT20250926")*(原始数据!$L$3:$L$1002&lt;&gt;""),0),0)),"")</f>
        <v>五部</v>
      </c>
      <c r="L196" s="20" t="str">
        <f>IFERROR(INDEX(原始数据!$M$3:$M$1002,MATCH(1,INDEX((原始数据!$D$3:$D$1002="HT20250926")*(原始数据!$M$3:$M$1002&lt;&gt;""),0),0)),"")</f>
        <v>谢峰</v>
      </c>
      <c r="M196" s="19" t="str">
        <f>IFERROR(INDEX(原始数据!$N$3:$N$1002,MATCH(1,INDEX((原始数据!$D$3:$D$1002="HT20250926")*(原始数据!$N$3:$N$1002&lt;&gt;""),0),0)),"")</f>
        <v>1年以内</v>
      </c>
      <c r="N196" s="19" t="inlineStr"/>
    </row>
    <row r="197">
      <c r="A197" s="13">
        <f>ROW()-2</f>
        <v>195</v>
      </c>
      <c r="B197" s="14" t="str">
        <f>IFERROR(INDEX(原始数据!$B$3:$B$1002,MATCH(1,INDEX((原始数据!$D$3:$D$1002="HT20250928")*(原始数据!$B$3:$B$1002&lt;&gt;""),0),0)),"")</f>
        <v>西南-重庆</v>
      </c>
      <c r="C197" s="14" t="str">
        <f>IFERROR(INDEX(原始数据!$C$3:$C$1002,MATCH(1,INDEX((原始数据!$D$3:$D$1002="HT20250928")*(原始数据!$C$3:$C$1002&lt;&gt;""),0),0)),"")</f>
        <v>人大政协</v>
      </c>
      <c r="D197" s="15" t="inlineStr">
        <is>
          <t>HT20250928</t>
        </is>
      </c>
      <c r="E197" s="16">
        <f>IFERROR(INDEX(原始数据!$E$3:$E$1002,MATCH(1,INDEX((原始数据!$D$3:$D$1002="HT20250928")*(原始数据!$E$3:$E$1002&lt;&gt;""),0),0)),"")</f>
        <v>20260217</v>
      </c>
      <c r="F197" s="17">
        <f>SUMIFS(原始数据!$F$3:$F$1002,原始数据!$D$3:$D$1002,"HT20250928")</f>
        <v>800.151</v>
      </c>
      <c r="G197" s="17">
        <f>SUMIFS(原始数据!$H$3:$H$1002,原始数据!$D$3:$D$1002,"HT20250928")</f>
        <v>660.037</v>
      </c>
      <c r="H197" s="17">
        <f>SUMIFS(原始数据!$I$3:$I$1002,原始数据!$D$3:$D$1002,"HT20250928")</f>
        <v>140.114</v>
      </c>
      <c r="I197" s="17">
        <f>SUMIFS(原始数据!$J$3:$J$1002,原始数据!$D$3:$D$1002,"HT20250928")</f>
        <v>19.676</v>
      </c>
      <c r="J197" s="17">
        <f>SUMIFS(原始数据!$K$3:$K$1002,原始数据!$D$3:$D$1002,"HT20250928")</f>
        <v>120.438</v>
      </c>
      <c r="K197" s="14" t="str">
        <f>IFERROR(INDEX(原始数据!$L$3:$L$1002,MATCH(1,INDEX((原始数据!$D$3:$D$1002="HT20250928")*(原始数据!$L$3:$L$1002&lt;&gt;""),0),0)),"")</f>
        <v>六部</v>
      </c>
      <c r="L197" s="15" t="str">
        <f>IFERROR(INDEX(原始数据!$M$3:$M$1002,MATCH(1,INDEX((原始数据!$D$3:$D$1002="HT20250928")*(原始数据!$M$3:$M$1002&lt;&gt;""),0),0)),"")</f>
        <v>程琳</v>
      </c>
      <c r="M197" s="14" t="str">
        <f>IFERROR(INDEX(原始数据!$N$3:$N$1002,MATCH(1,INDEX((原始数据!$D$3:$D$1002="HT20250928")*(原始数据!$N$3:$N$1002&lt;&gt;""),0),0)),"")</f>
        <v>1年以内</v>
      </c>
      <c r="N197" s="14" t="inlineStr"/>
    </row>
    <row r="198">
      <c r="A198" s="18">
        <f>ROW()-2</f>
        <v>196</v>
      </c>
      <c r="B198" s="19" t="str">
        <f>IFERROR(INDEX(原始数据!$B$3:$B$1002,MATCH(1,INDEX((原始数据!$D$3:$D$1002="HT20250929")*(原始数据!$B$3:$B$1002&lt;&gt;""),0),0)),"")</f>
        <v>西北-青海</v>
      </c>
      <c r="C198" s="19" t="str">
        <f>IFERROR(INDEX(原始数据!$C$3:$C$1002,MATCH(1,INDEX((原始数据!$D$3:$D$1002="HT20250929")*(原始数据!$C$3:$C$1002&lt;&gt;""),0),0)),"")</f>
        <v>党委机关</v>
      </c>
      <c r="D198" s="20" t="inlineStr">
        <is>
          <t>HT20250929</t>
        </is>
      </c>
      <c r="E198" s="21">
        <f>IFERROR(INDEX(原始数据!$E$3:$E$1002,MATCH(1,INDEX((原始数据!$D$3:$D$1002="HT20250929")*(原始数据!$E$3:$E$1002&lt;&gt;""),0),0)),"")</f>
        <v>20260712</v>
      </c>
      <c r="F198" s="22">
        <f>SUMIFS(原始数据!$F$3:$F$1002,原始数据!$D$3:$D$1002,"HT20250929")</f>
        <v>131.783</v>
      </c>
      <c r="G198" s="22">
        <f>SUMIFS(原始数据!$H$3:$H$1002,原始数据!$D$3:$D$1002,"HT20250929")</f>
        <v>85.813</v>
      </c>
      <c r="H198" s="22">
        <f>SUMIFS(原始数据!$I$3:$I$1002,原始数据!$D$3:$D$1002,"HT20250929")</f>
        <v>45.97</v>
      </c>
      <c r="I198" s="22">
        <f>SUMIFS(原始数据!$J$3:$J$1002,原始数据!$D$3:$D$1002,"HT20250929")</f>
        <v>30.434</v>
      </c>
      <c r="J198" s="22">
        <f>SUMIFS(原始数据!$K$3:$K$1002,原始数据!$D$3:$D$1002,"HT20250929")</f>
        <v>15.536</v>
      </c>
      <c r="K198" s="19" t="str">
        <f>IFERROR(INDEX(原始数据!$L$3:$L$1002,MATCH(1,INDEX((原始数据!$D$3:$D$1002="HT20250929")*(原始数据!$L$3:$L$1002&lt;&gt;""),0),0)),"")</f>
        <v>四部</v>
      </c>
      <c r="L198" s="20" t="str">
        <f>IFERROR(INDEX(原始数据!$M$3:$M$1002,MATCH(1,INDEX((原始数据!$D$3:$D$1002="HT20250929")*(原始数据!$M$3:$M$1002&lt;&gt;""),0),0)),"")</f>
        <v>林燕</v>
      </c>
      <c r="M198" s="19" t="str">
        <f>IFERROR(INDEX(原始数据!$N$3:$N$1002,MATCH(1,INDEX((原始数据!$D$3:$D$1002="HT20250929")*(原始数据!$N$3:$N$1002&lt;&gt;""),0),0)),"")</f>
        <v>1年以内</v>
      </c>
      <c r="N198" s="19" t="inlineStr"/>
    </row>
    <row r="199">
      <c r="A199" s="13">
        <f>ROW()-2</f>
        <v>197</v>
      </c>
      <c r="B199" s="14" t="str">
        <f>IFERROR(INDEX(原始数据!$B$3:$B$1002,MATCH(1,INDEX((原始数据!$D$3:$D$1002="HT20250930")*(原始数据!$B$3:$B$1002&lt;&gt;""),0),0)),"")</f>
        <v>华东-上海</v>
      </c>
      <c r="C199" s="14" t="str">
        <f>IFERROR(INDEX(原始数据!$C$3:$C$1002,MATCH(1,INDEX((原始数据!$D$3:$D$1002="HT20250930")*(原始数据!$C$3:$C$1002&lt;&gt;""),0),0)),"")</f>
        <v>监察司法机关</v>
      </c>
      <c r="D199" s="15" t="inlineStr">
        <is>
          <t>HT20250930</t>
        </is>
      </c>
      <c r="E199" s="16">
        <f>IFERROR(INDEX(原始数据!$E$3:$E$1002,MATCH(1,INDEX((原始数据!$D$3:$D$1002="HT20250930")*(原始数据!$E$3:$E$1002&lt;&gt;""),0),0)),"")</f>
        <v>20260712</v>
      </c>
      <c r="F199" s="17">
        <f>SUMIFS(原始数据!$F$3:$F$1002,原始数据!$D$3:$D$1002,"HT20250930")</f>
        <v>1963.09</v>
      </c>
      <c r="G199" s="17">
        <f>SUMIFS(原始数据!$H$3:$H$1002,原始数据!$D$3:$D$1002,"HT20250930")</f>
        <v>594.449</v>
      </c>
      <c r="H199" s="17">
        <f>SUMIFS(原始数据!$I$3:$I$1002,原始数据!$D$3:$D$1002,"HT20250930")</f>
        <v>1368.6409999999998</v>
      </c>
      <c r="I199" s="17">
        <f>SUMIFS(原始数据!$J$3:$J$1002,原始数据!$D$3:$D$1002,"HT20250930")</f>
        <v>1033.538</v>
      </c>
      <c r="J199" s="17">
        <f>SUMIFS(原始数据!$K$3:$K$1002,原始数据!$D$3:$D$1002,"HT20250930")</f>
        <v>335.103</v>
      </c>
      <c r="K199" s="14" t="str">
        <f>IFERROR(INDEX(原始数据!$L$3:$L$1002,MATCH(1,INDEX((原始数据!$D$3:$D$1002="HT20250930")*(原始数据!$L$3:$L$1002&lt;&gt;""),0),0)),"")</f>
        <v>五部</v>
      </c>
      <c r="L199" s="15" t="str">
        <f>IFERROR(INDEX(原始数据!$M$3:$M$1002,MATCH(1,INDEX((原始数据!$D$3:$D$1002="HT20250930")*(原始数据!$M$3:$M$1002&lt;&gt;""),0),0)),"")</f>
        <v>宋佳</v>
      </c>
      <c r="M199" s="14" t="str">
        <f>IFERROR(INDEX(原始数据!$N$3:$N$1002,MATCH(1,INDEX((原始数据!$D$3:$D$1002="HT20250930")*(原始数据!$N$3:$N$1002&lt;&gt;""),0),0)),"")</f>
        <v>2-3年</v>
      </c>
      <c r="N199" s="14" t="inlineStr"/>
    </row>
    <row r="200">
      <c r="A200" s="18">
        <f>ROW()-2</f>
        <v>198</v>
      </c>
      <c r="B200" s="19" t="str">
        <f>IFERROR(INDEX(原始数据!$B$3:$B$1002,MATCH(1,INDEX((原始数据!$D$3:$D$1002="HT20251001")*(原始数据!$B$3:$B$1002&lt;&gt;""),0),0)),"")</f>
        <v>西北-甘肃</v>
      </c>
      <c r="C200" s="19" t="str">
        <f>IFERROR(INDEX(原始数据!$C$3:$C$1002,MATCH(1,INDEX((原始数据!$D$3:$D$1002="HT20251001")*(原始数据!$C$3:$C$1002&lt;&gt;""),0),0)),"")</f>
        <v>国有企业</v>
      </c>
      <c r="D200" s="20" t="inlineStr">
        <is>
          <t>HT20251001</t>
        </is>
      </c>
      <c r="E200" s="21">
        <f>IFERROR(INDEX(原始数据!$E$3:$E$1002,MATCH(1,INDEX((原始数据!$D$3:$D$1002="HT20251001")*(原始数据!$E$3:$E$1002&lt;&gt;""),0),0)),"")</f>
        <v>20260811</v>
      </c>
      <c r="F200" s="22">
        <f>SUMIFS(原始数据!$F$3:$F$1002,原始数据!$D$3:$D$1002,"HT20251001")</f>
        <v>6933.298</v>
      </c>
      <c r="G200" s="22">
        <f>SUMIFS(原始数据!$H$3:$H$1002,原始数据!$D$3:$D$1002,"HT20251001")</f>
        <v>5398.621</v>
      </c>
      <c r="H200" s="22">
        <f>SUMIFS(原始数据!$I$3:$I$1002,原始数据!$D$3:$D$1002,"HT20251001")</f>
        <v>1534.677</v>
      </c>
      <c r="I200" s="22">
        <f>SUMIFS(原始数据!$J$3:$J$1002,原始数据!$D$3:$D$1002,"HT20251001")</f>
        <v>800.865</v>
      </c>
      <c r="J200" s="22">
        <f>SUMIFS(原始数据!$K$3:$K$1002,原始数据!$D$3:$D$1002,"HT20251001")</f>
        <v>733.812</v>
      </c>
      <c r="K200" s="19" t="str">
        <f>IFERROR(INDEX(原始数据!$L$3:$L$1002,MATCH(1,INDEX((原始数据!$D$3:$D$1002="HT20251001")*(原始数据!$L$3:$L$1002&lt;&gt;""),0),0)),"")</f>
        <v>五部</v>
      </c>
      <c r="L200" s="20" t="str">
        <f>IFERROR(INDEX(原始数据!$M$3:$M$1002,MATCH(1,INDEX((原始数据!$D$3:$D$1002="HT20251001")*(原始数据!$M$3:$M$1002&lt;&gt;""),0),0)),"")</f>
        <v>韩梅</v>
      </c>
      <c r="M200" s="19" t="str">
        <f>IFERROR(INDEX(原始数据!$N$3:$N$1002,MATCH(1,INDEX((原始数据!$D$3:$D$1002="HT20251001")*(原始数据!$N$3:$N$1002&lt;&gt;""),0),0)),"")</f>
        <v>1-2年</v>
      </c>
      <c r="N200" s="19" t="inlineStr"/>
    </row>
    <row r="201">
      <c r="A201" s="13">
        <f>ROW()-2</f>
        <v>199</v>
      </c>
      <c r="B201" s="14" t="str">
        <f>IFERROR(INDEX(原始数据!$B$3:$B$1002,MATCH(1,INDEX((原始数据!$D$3:$D$1002="HT20251002")*(原始数据!$B$3:$B$1002&lt;&gt;""),0),0)),"")</f>
        <v>华中-河南</v>
      </c>
      <c r="C201" s="14" t="str">
        <f>IFERROR(INDEX(原始数据!$C$3:$C$1002,MATCH(1,INDEX((原始数据!$D$3:$D$1002="HT20251002")*(原始数据!$C$3:$C$1002&lt;&gt;""),0),0)),"")</f>
        <v>监察司法机关</v>
      </c>
      <c r="D201" s="15" t="inlineStr">
        <is>
          <t>HT20251002</t>
        </is>
      </c>
      <c r="E201" s="16">
        <f>IFERROR(INDEX(原始数据!$E$3:$E$1002,MATCH(1,INDEX((原始数据!$D$3:$D$1002="HT20251002")*(原始数据!$E$3:$E$1002&lt;&gt;""),0),0)),"")</f>
        <v>20260228</v>
      </c>
      <c r="F201" s="17">
        <f>SUMIFS(原始数据!$F$3:$F$1002,原始数据!$D$3:$D$1002,"HT20251002")</f>
        <v>7740.777</v>
      </c>
      <c r="G201" s="17">
        <f>SUMIFS(原始数据!$H$3:$H$1002,原始数据!$D$3:$D$1002,"HT20251002")</f>
        <v>7094.526</v>
      </c>
      <c r="H201" s="17">
        <f>SUMIFS(原始数据!$I$3:$I$1002,原始数据!$D$3:$D$1002,"HT20251002")</f>
        <v>646.251</v>
      </c>
      <c r="I201" s="17">
        <f>SUMIFS(原始数据!$J$3:$J$1002,原始数据!$D$3:$D$1002,"HT20251002")</f>
        <v>105.004</v>
      </c>
      <c r="J201" s="17">
        <f>SUMIFS(原始数据!$K$3:$K$1002,原始数据!$D$3:$D$1002,"HT20251002")</f>
        <v>541.247</v>
      </c>
      <c r="K201" s="14" t="str">
        <f>IFERROR(INDEX(原始数据!$L$3:$L$1002,MATCH(1,INDEX((原始数据!$D$3:$D$1002="HT20251002")*(原始数据!$L$3:$L$1002&lt;&gt;""),0),0)),"")</f>
        <v>二部</v>
      </c>
      <c r="L201" s="15" t="str">
        <f>IFERROR(INDEX(原始数据!$M$3:$M$1002,MATCH(1,INDEX((原始数据!$D$3:$D$1002="HT20251002")*(原始数据!$M$3:$M$1002&lt;&gt;""),0),0)),"")</f>
        <v>赵敏</v>
      </c>
      <c r="M201" s="14" t="str">
        <f>IFERROR(INDEX(原始数据!$N$3:$N$1002,MATCH(1,INDEX((原始数据!$D$3:$D$1002="HT20251002")*(原始数据!$N$3:$N$1002&lt;&gt;""),0),0)),"")</f>
        <v>2-3年</v>
      </c>
      <c r="N201" s="14" t="inlineStr"/>
    </row>
    <row r="202">
      <c r="A202" s="18">
        <f>ROW()-2</f>
        <v>200</v>
      </c>
      <c r="B202" s="19" t="str">
        <f>IFERROR(INDEX(原始数据!$B$3:$B$1002,MATCH(1,INDEX((原始数据!$D$3:$D$1002="HT20251003")*(原始数据!$B$3:$B$1002&lt;&gt;""),0),0)),"")</f>
        <v>西南-西藏</v>
      </c>
      <c r="C202" s="19" t="str">
        <f>IFERROR(INDEX(原始数据!$C$3:$C$1002,MATCH(1,INDEX((原始数据!$D$3:$D$1002="HT20251003")*(原始数据!$C$3:$C$1002&lt;&gt;""),0),0)),"")</f>
        <v>政府机关</v>
      </c>
      <c r="D202" s="20" t="inlineStr">
        <is>
          <t>HT20251003</t>
        </is>
      </c>
      <c r="E202" s="21">
        <f>IFERROR(INDEX(原始数据!$E$3:$E$1002,MATCH(1,INDEX((原始数据!$D$3:$D$1002="HT20251003")*(原始数据!$E$3:$E$1002&lt;&gt;""),0),0)),"")</f>
        <v>20260529</v>
      </c>
      <c r="F202" s="22">
        <f>SUMIFS(原始数据!$F$3:$F$1002,原始数据!$D$3:$D$1002,"HT20251003")</f>
        <v>4630.373</v>
      </c>
      <c r="G202" s="22">
        <f>SUMIFS(原始数据!$H$3:$H$1002,原始数据!$D$3:$D$1002,"HT20251003")</f>
        <v>1990.274</v>
      </c>
      <c r="H202" s="22">
        <f>SUMIFS(原始数据!$I$3:$I$1002,原始数据!$D$3:$D$1002,"HT20251003")</f>
        <v>2640.099</v>
      </c>
      <c r="I202" s="22">
        <f>SUMIFS(原始数据!$J$3:$J$1002,原始数据!$D$3:$D$1002,"HT20251003")</f>
        <v>318.671</v>
      </c>
      <c r="J202" s="22">
        <f>SUMIFS(原始数据!$K$3:$K$1002,原始数据!$D$3:$D$1002,"HT20251003")</f>
        <v>2321.428</v>
      </c>
      <c r="K202" s="19" t="str">
        <f>IFERROR(INDEX(原始数据!$L$3:$L$1002,MATCH(1,INDEX((原始数据!$D$3:$D$1002="HT20251003")*(原始数据!$L$3:$L$1002&lt;&gt;""),0),0)),"")</f>
        <v>一部</v>
      </c>
      <c r="L202" s="20" t="str">
        <f>IFERROR(INDEX(原始数据!$M$3:$M$1002,MATCH(1,INDEX((原始数据!$D$3:$D$1002="HT20251003")*(原始数据!$M$3:$M$1002&lt;&gt;""),0),0)),"")</f>
        <v>李娜</v>
      </c>
      <c r="M202" s="19" t="str">
        <f>IFERROR(INDEX(原始数据!$N$3:$N$1002,MATCH(1,INDEX((原始数据!$D$3:$D$1002="HT20251003")*(原始数据!$N$3:$N$1002&lt;&gt;""),0),0)),"")</f>
        <v>1年以内</v>
      </c>
      <c r="N202" s="19" t="inlineStr"/>
    </row>
    <row r="203">
      <c r="A203" s="13">
        <f>ROW()-2</f>
        <v>201</v>
      </c>
      <c r="B203" s="14" t="str">
        <f>IFERROR(INDEX(原始数据!$B$3:$B$1002,MATCH(1,INDEX((原始数据!$D$3:$D$1002="HT20251004")*(原始数据!$B$3:$B$1002&lt;&gt;""),0),0)),"")</f>
        <v>华南-香港</v>
      </c>
      <c r="C203" s="14" t="str">
        <f>IFERROR(INDEX(原始数据!$C$3:$C$1002,MATCH(1,INDEX((原始数据!$D$3:$D$1002="HT20251004")*(原始数据!$C$3:$C$1002&lt;&gt;""),0),0)),"")</f>
        <v>基层自治组织</v>
      </c>
      <c r="D203" s="15" t="inlineStr">
        <is>
          <t>HT20251004</t>
        </is>
      </c>
      <c r="E203" s="16">
        <f>IFERROR(INDEX(原始数据!$E$3:$E$1002,MATCH(1,INDEX((原始数据!$D$3:$D$1002="HT20251004")*(原始数据!$E$3:$E$1002&lt;&gt;""),0),0)),"")</f>
        <v>20260618</v>
      </c>
      <c r="F203" s="17">
        <f>SUMIFS(原始数据!$F$3:$F$1002,原始数据!$D$3:$D$1002,"HT20251004")</f>
        <v>207.572</v>
      </c>
      <c r="G203" s="17">
        <f>SUMIFS(原始数据!$H$3:$H$1002,原始数据!$D$3:$D$1002,"HT20251004")</f>
        <v>51.797</v>
      </c>
      <c r="H203" s="17">
        <f>SUMIFS(原始数据!$I$3:$I$1002,原始数据!$D$3:$D$1002,"HT20251004")</f>
        <v>155.775</v>
      </c>
      <c r="I203" s="17">
        <f>SUMIFS(原始数据!$J$3:$J$1002,原始数据!$D$3:$D$1002,"HT20251004")</f>
        <v>73.152</v>
      </c>
      <c r="J203" s="17">
        <f>SUMIFS(原始数据!$K$3:$K$1002,原始数据!$D$3:$D$1002,"HT20251004")</f>
        <v>82.623</v>
      </c>
      <c r="K203" s="14" t="str">
        <f>IFERROR(INDEX(原始数据!$L$3:$L$1002,MATCH(1,INDEX((原始数据!$D$3:$D$1002="HT20251004")*(原始数据!$L$3:$L$1002&lt;&gt;""),0),0)),"")</f>
        <v>五部</v>
      </c>
      <c r="L203" s="15" t="str">
        <f>IFERROR(INDEX(原始数据!$M$3:$M$1002,MATCH(1,INDEX((原始数据!$D$3:$D$1002="HT20251004")*(原始数据!$M$3:$M$1002&lt;&gt;""),0),0)),"")</f>
        <v>韩梅</v>
      </c>
      <c r="M203" s="14" t="str">
        <f>IFERROR(INDEX(原始数据!$N$3:$N$1002,MATCH(1,INDEX((原始数据!$D$3:$D$1002="HT20251004")*(原始数据!$N$3:$N$1002&lt;&gt;""),0),0)),"")</f>
        <v>1-2年</v>
      </c>
      <c r="N203" s="14" t="inlineStr"/>
    </row>
    <row r="204">
      <c r="A204" s="18">
        <f>ROW()-2</f>
        <v>202</v>
      </c>
      <c r="B204" s="19" t="str">
        <f>IFERROR(INDEX(原始数据!$B$3:$B$1002,MATCH(1,INDEX((原始数据!$D$3:$D$1002="HT20251005")*(原始数据!$B$3:$B$1002&lt;&gt;""),0),0)),"")</f>
        <v>华南-广西</v>
      </c>
      <c r="C204" s="19" t="str">
        <f>IFERROR(INDEX(原始数据!$C$3:$C$1002,MATCH(1,INDEX((原始数据!$D$3:$D$1002="HT20251005")*(原始数据!$C$3:$C$1002&lt;&gt;""),0),0)),"")</f>
        <v>国有企业</v>
      </c>
      <c r="D204" s="20" t="inlineStr">
        <is>
          <t>HT20251005</t>
        </is>
      </c>
      <c r="E204" s="21">
        <f>IFERROR(INDEX(原始数据!$E$3:$E$1002,MATCH(1,INDEX((原始数据!$D$3:$D$1002="HT20251005")*(原始数据!$E$3:$E$1002&lt;&gt;""),0),0)),"")</f>
        <v>20260214</v>
      </c>
      <c r="F204" s="22">
        <f>SUMIFS(原始数据!$F$3:$F$1002,原始数据!$D$3:$D$1002,"HT20251005")</f>
        <v>174.091</v>
      </c>
      <c r="G204" s="22">
        <f>SUMIFS(原始数据!$H$3:$H$1002,原始数据!$D$3:$D$1002,"HT20251005")</f>
        <v>88.989</v>
      </c>
      <c r="H204" s="22">
        <f>SUMIFS(原始数据!$I$3:$I$1002,原始数据!$D$3:$D$1002,"HT20251005")</f>
        <v>85.102</v>
      </c>
      <c r="I204" s="22">
        <f>SUMIFS(原始数据!$J$3:$J$1002,原始数据!$D$3:$D$1002,"HT20251005")</f>
        <v>1.165</v>
      </c>
      <c r="J204" s="22">
        <f>SUMIFS(原始数据!$K$3:$K$1002,原始数据!$D$3:$D$1002,"HT20251005")</f>
        <v>83.937</v>
      </c>
      <c r="K204" s="19" t="str">
        <f>IFERROR(INDEX(原始数据!$L$3:$L$1002,MATCH(1,INDEX((原始数据!$D$3:$D$1002="HT20251005")*(原始数据!$L$3:$L$1002&lt;&gt;""),0),0)),"")</f>
        <v>九部</v>
      </c>
      <c r="L204" s="20" t="str">
        <f>IFERROR(INDEX(原始数据!$M$3:$M$1002,MATCH(1,INDEX((原始数据!$D$3:$D$1002="HT20251005")*(原始数据!$M$3:$M$1002&lt;&gt;""),0),0)),"")</f>
        <v>蒋涛</v>
      </c>
      <c r="M204" s="19" t="str">
        <f>IFERROR(INDEX(原始数据!$N$3:$N$1002,MATCH(1,INDEX((原始数据!$D$3:$D$1002="HT20251005")*(原始数据!$N$3:$N$1002&lt;&gt;""),0),0)),"")</f>
        <v>1-2年</v>
      </c>
      <c r="N204" s="19" t="inlineStr"/>
    </row>
    <row r="205">
      <c r="A205" s="13">
        <f>ROW()-2</f>
        <v>203</v>
      </c>
      <c r="B205" s="14" t="str">
        <f>IFERROR(INDEX(原始数据!$B$3:$B$1002,MATCH(1,INDEX((原始数据!$D$3:$D$1002="HT20251006")*(原始数据!$B$3:$B$1002&lt;&gt;""),0),0)),"")</f>
        <v>西南-贵州</v>
      </c>
      <c r="C205" s="14" t="str">
        <f>IFERROR(INDEX(原始数据!$C$3:$C$1002,MATCH(1,INDEX((原始数据!$D$3:$D$1002="HT20251006")*(原始数据!$C$3:$C$1002&lt;&gt;""),0),0)),"")</f>
        <v>监察司法机关</v>
      </c>
      <c r="D205" s="15" t="inlineStr">
        <is>
          <t>HT20251006</t>
        </is>
      </c>
      <c r="E205" s="16">
        <f>IFERROR(INDEX(原始数据!$E$3:$E$1002,MATCH(1,INDEX((原始数据!$D$3:$D$1002="HT20251006")*(原始数据!$E$3:$E$1002&lt;&gt;""),0),0)),"")</f>
        <v>20260126</v>
      </c>
      <c r="F205" s="17">
        <f>SUMIFS(原始数据!$F$3:$F$1002,原始数据!$D$3:$D$1002,"HT20251006")</f>
        <v>42.335</v>
      </c>
      <c r="G205" s="17">
        <f>SUMIFS(原始数据!$H$3:$H$1002,原始数据!$D$3:$D$1002,"HT20251006")</f>
        <v>35.012</v>
      </c>
      <c r="H205" s="17">
        <f>SUMIFS(原始数据!$I$3:$I$1002,原始数据!$D$3:$D$1002,"HT20251006")</f>
        <v>7.323</v>
      </c>
      <c r="I205" s="17">
        <f>SUMIFS(原始数据!$J$3:$J$1002,原始数据!$D$3:$D$1002,"HT20251006")</f>
        <v>1.902</v>
      </c>
      <c r="J205" s="17">
        <f>SUMIFS(原始数据!$K$3:$K$1002,原始数据!$D$3:$D$1002,"HT20251006")</f>
        <v>5.421</v>
      </c>
      <c r="K205" s="14" t="str">
        <f>IFERROR(INDEX(原始数据!$L$3:$L$1002,MATCH(1,INDEX((原始数据!$D$3:$D$1002="HT20251006")*(原始数据!$L$3:$L$1002&lt;&gt;""),0),0)),"")</f>
        <v>四部</v>
      </c>
      <c r="L205" s="15" t="str">
        <f>IFERROR(INDEX(原始数据!$M$3:$M$1002,MATCH(1,INDEX((原始数据!$D$3:$D$1002="HT20251006")*(原始数据!$M$3:$M$1002&lt;&gt;""),0),0)),"")</f>
        <v>何萍</v>
      </c>
      <c r="M205" s="14" t="str">
        <f>IFERROR(INDEX(原始数据!$N$3:$N$1002,MATCH(1,INDEX((原始数据!$D$3:$D$1002="HT20251006")*(原始数据!$N$3:$N$1002&lt;&gt;""),0),0)),"")</f>
        <v>2-3年</v>
      </c>
      <c r="N205" s="14" t="inlineStr"/>
    </row>
    <row r="206">
      <c r="A206" s="18">
        <f>ROW()-2</f>
        <v>204</v>
      </c>
      <c r="B206" s="19" t="str">
        <f>IFERROR(INDEX(原始数据!$B$3:$B$1002,MATCH(1,INDEX((原始数据!$D$3:$D$1002="HT20251007")*(原始数据!$B$3:$B$1002&lt;&gt;""),0),0)),"")</f>
        <v>华东-江西</v>
      </c>
      <c r="C206" s="19" t="str">
        <f>IFERROR(INDEX(原始数据!$C$3:$C$1002,MATCH(1,INDEX((原始数据!$D$3:$D$1002="HT20251007")*(原始数据!$C$3:$C$1002&lt;&gt;""),0),0)),"")</f>
        <v>群团组织</v>
      </c>
      <c r="D206" s="20" t="inlineStr">
        <is>
          <t>HT20251007</t>
        </is>
      </c>
      <c r="E206" s="21">
        <f>IFERROR(INDEX(原始数据!$E$3:$E$1002,MATCH(1,INDEX((原始数据!$D$3:$D$1002="HT20251007")*(原始数据!$E$3:$E$1002&lt;&gt;""),0),0)),"")</f>
        <v>20260515</v>
      </c>
      <c r="F206" s="22">
        <f>SUMIFS(原始数据!$F$3:$F$1002,原始数据!$D$3:$D$1002,"HT20251007")</f>
        <v>574.406</v>
      </c>
      <c r="G206" s="22">
        <f>SUMIFS(原始数据!$H$3:$H$1002,原始数据!$D$3:$D$1002,"HT20251007")</f>
        <v>44.76</v>
      </c>
      <c r="H206" s="22">
        <f>SUMIFS(原始数据!$I$3:$I$1002,原始数据!$D$3:$D$1002,"HT20251007")</f>
        <v>529.646</v>
      </c>
      <c r="I206" s="22">
        <f>SUMIFS(原始数据!$J$3:$J$1002,原始数据!$D$3:$D$1002,"HT20251007")</f>
        <v>76.295</v>
      </c>
      <c r="J206" s="22">
        <f>SUMIFS(原始数据!$K$3:$K$1002,原始数据!$D$3:$D$1002,"HT20251007")</f>
        <v>453.351</v>
      </c>
      <c r="K206" s="19" t="str">
        <f>IFERROR(INDEX(原始数据!$L$3:$L$1002,MATCH(1,INDEX((原始数据!$D$3:$D$1002="HT20251007")*(原始数据!$L$3:$L$1002&lt;&gt;""),0),0)),"")</f>
        <v>一部</v>
      </c>
      <c r="L206" s="20" t="str">
        <f>IFERROR(INDEX(原始数据!$M$3:$M$1002,MATCH(1,INDEX((原始数据!$D$3:$D$1002="HT20251007")*(原始数据!$M$3:$M$1002&lt;&gt;""),0),0)),"")</f>
        <v>李娜</v>
      </c>
      <c r="M206" s="19" t="str">
        <f>IFERROR(INDEX(原始数据!$N$3:$N$1002,MATCH(1,INDEX((原始数据!$D$3:$D$1002="HT20251007")*(原始数据!$N$3:$N$1002&lt;&gt;""),0),0)),"")</f>
        <v>1-2年</v>
      </c>
      <c r="N206" s="19" t="inlineStr"/>
    </row>
    <row r="207">
      <c r="A207" s="13">
        <f>ROW()-2</f>
        <v>205</v>
      </c>
      <c r="B207" s="14" t="str">
        <f>IFERROR(INDEX(原始数据!$B$3:$B$1002,MATCH(1,INDEX((原始数据!$D$3:$D$1002="HT20251008")*(原始数据!$B$3:$B$1002&lt;&gt;""),0),0)),"")</f>
        <v>西北-陕西</v>
      </c>
      <c r="C207" s="14" t="str">
        <f>IFERROR(INDEX(原始数据!$C$3:$C$1002,MATCH(1,INDEX((原始数据!$D$3:$D$1002="HT20251008")*(原始数据!$C$3:$C$1002&lt;&gt;""),0),0)),"")</f>
        <v>监察司法机关</v>
      </c>
      <c r="D207" s="15" t="inlineStr">
        <is>
          <t>HT20251008</t>
        </is>
      </c>
      <c r="E207" s="16">
        <f>IFERROR(INDEX(原始数据!$E$3:$E$1002,MATCH(1,INDEX((原始数据!$D$3:$D$1002="HT20251008")*(原始数据!$E$3:$E$1002&lt;&gt;""),0),0)),"")</f>
        <v>20260517</v>
      </c>
      <c r="F207" s="17">
        <f>SUMIFS(原始数据!$F$3:$F$1002,原始数据!$D$3:$D$1002,"HT20251008")</f>
        <v>463.53999999999996</v>
      </c>
      <c r="G207" s="17">
        <f>SUMIFS(原始数据!$H$3:$H$1002,原始数据!$D$3:$D$1002,"HT20251008")</f>
        <v>234.28500000000003</v>
      </c>
      <c r="H207" s="17">
        <f>SUMIFS(原始数据!$I$3:$I$1002,原始数据!$D$3:$D$1002,"HT20251008")</f>
        <v>229.255</v>
      </c>
      <c r="I207" s="17">
        <f>SUMIFS(原始数据!$J$3:$J$1002,原始数据!$D$3:$D$1002,"HT20251008")</f>
        <v>136.028</v>
      </c>
      <c r="J207" s="17">
        <f>SUMIFS(原始数据!$K$3:$K$1002,原始数据!$D$3:$D$1002,"HT20251008")</f>
        <v>93.227</v>
      </c>
      <c r="K207" s="14" t="str">
        <f>IFERROR(INDEX(原始数据!$L$3:$L$1002,MATCH(1,INDEX((原始数据!$D$3:$D$1002="HT20251008")*(原始数据!$L$3:$L$1002&lt;&gt;""),0),0)),"")</f>
        <v>十部</v>
      </c>
      <c r="L207" s="15" t="str">
        <f>IFERROR(INDEX(原始数据!$M$3:$M$1002,MATCH(1,INDEX((原始数据!$D$3:$D$1002="HT20251008")*(原始数据!$M$3:$M$1002&lt;&gt;""),0),0)),"")</f>
        <v>薛峰</v>
      </c>
      <c r="M207" s="14" t="str">
        <f>IFERROR(INDEX(原始数据!$N$3:$N$1002,MATCH(1,INDEX((原始数据!$D$3:$D$1002="HT20251008")*(原始数据!$N$3:$N$1002&lt;&gt;""),0),0)),"")</f>
        <v>2-3年</v>
      </c>
      <c r="N207" s="14" t="inlineStr"/>
    </row>
    <row r="208">
      <c r="A208" s="18">
        <f>ROW()-2</f>
        <v>206</v>
      </c>
      <c r="B208" s="19" t="str">
        <f>IFERROR(INDEX(原始数据!$B$3:$B$1002,MATCH(1,INDEX((原始数据!$D$3:$D$1002="HT20251009")*(原始数据!$B$3:$B$1002&lt;&gt;""),0),0)),"")</f>
        <v>西北-宁夏</v>
      </c>
      <c r="C208" s="19" t="str">
        <f>IFERROR(INDEX(原始数据!$C$3:$C$1002,MATCH(1,INDEX((原始数据!$D$3:$D$1002="HT20251009")*(原始数据!$C$3:$C$1002&lt;&gt;""),0),0)),"")</f>
        <v>政府机关</v>
      </c>
      <c r="D208" s="20" t="inlineStr">
        <is>
          <t>HT20251009</t>
        </is>
      </c>
      <c r="E208" s="21">
        <f>IFERROR(INDEX(原始数据!$E$3:$E$1002,MATCH(1,INDEX((原始数据!$D$3:$D$1002="HT20251009")*(原始数据!$E$3:$E$1002&lt;&gt;""),0),0)),"")</f>
        <v>20260610</v>
      </c>
      <c r="F208" s="22">
        <f>SUMIFS(原始数据!$F$3:$F$1002,原始数据!$D$3:$D$1002,"HT20251009")</f>
        <v>430.977</v>
      </c>
      <c r="G208" s="22">
        <f>SUMIFS(原始数据!$H$3:$H$1002,原始数据!$D$3:$D$1002,"HT20251009")</f>
        <v>74.949</v>
      </c>
      <c r="H208" s="22">
        <f>SUMIFS(原始数据!$I$3:$I$1002,原始数据!$D$3:$D$1002,"HT20251009")</f>
        <v>356.028</v>
      </c>
      <c r="I208" s="22">
        <f>SUMIFS(原始数据!$J$3:$J$1002,原始数据!$D$3:$D$1002,"HT20251009")</f>
        <v>254.827</v>
      </c>
      <c r="J208" s="22">
        <f>SUMIFS(原始数据!$K$3:$K$1002,原始数据!$D$3:$D$1002,"HT20251009")</f>
        <v>101.201</v>
      </c>
      <c r="K208" s="19" t="str">
        <f>IFERROR(INDEX(原始数据!$L$3:$L$1002,MATCH(1,INDEX((原始数据!$D$3:$D$1002="HT20251009")*(原始数据!$L$3:$L$1002&lt;&gt;""),0),0)),"")</f>
        <v>四部</v>
      </c>
      <c r="L208" s="20" t="str">
        <f>IFERROR(INDEX(原始数据!$M$3:$M$1002,MATCH(1,INDEX((原始数据!$D$3:$D$1002="HT20251009")*(原始数据!$M$3:$M$1002&lt;&gt;""),0),0)),"")</f>
        <v>何萍</v>
      </c>
      <c r="M208" s="19" t="str">
        <f>IFERROR(INDEX(原始数据!$N$3:$N$1002,MATCH(1,INDEX((原始数据!$D$3:$D$1002="HT20251009")*(原始数据!$N$3:$N$1002&lt;&gt;""),0),0)),"")</f>
        <v>1年以内</v>
      </c>
      <c r="N208" s="19" t="inlineStr"/>
    </row>
    <row r="209">
      <c r="A209" s="13">
        <f>ROW()-2</f>
        <v>207</v>
      </c>
      <c r="B209" s="14" t="str">
        <f>IFERROR(INDEX(原始数据!$B$3:$B$1002,MATCH(1,INDEX((原始数据!$D$3:$D$1002="HT20251010")*(原始数据!$B$3:$B$1002&lt;&gt;""),0),0)),"")</f>
        <v>西南-四川</v>
      </c>
      <c r="C209" s="14" t="str">
        <f>IFERROR(INDEX(原始数据!$C$3:$C$1002,MATCH(1,INDEX((原始数据!$D$3:$D$1002="HT20251010")*(原始数据!$C$3:$C$1002&lt;&gt;""),0),0)),"")</f>
        <v>监察司法机关</v>
      </c>
      <c r="D209" s="15" t="inlineStr">
        <is>
          <t>HT20251010</t>
        </is>
      </c>
      <c r="E209" s="16">
        <f>IFERROR(INDEX(原始数据!$E$3:$E$1002,MATCH(1,INDEX((原始数据!$D$3:$D$1002="HT20251010")*(原始数据!$E$3:$E$1002&lt;&gt;""),0),0)),"")</f>
        <v>20260107</v>
      </c>
      <c r="F209" s="17">
        <f>SUMIFS(原始数据!$F$3:$F$1002,原始数据!$D$3:$D$1002,"HT20251010")</f>
        <v>263.995</v>
      </c>
      <c r="G209" s="17">
        <f>SUMIFS(原始数据!$H$3:$H$1002,原始数据!$D$3:$D$1002,"HT20251010")</f>
        <v>11.655</v>
      </c>
      <c r="H209" s="17">
        <f>SUMIFS(原始数据!$I$3:$I$1002,原始数据!$D$3:$D$1002,"HT20251010")</f>
        <v>252.34</v>
      </c>
      <c r="I209" s="17">
        <f>SUMIFS(原始数据!$J$3:$J$1002,原始数据!$D$3:$D$1002,"HT20251010")</f>
        <v>7.86</v>
      </c>
      <c r="J209" s="17">
        <f>SUMIFS(原始数据!$K$3:$K$1002,原始数据!$D$3:$D$1002,"HT20251010")</f>
        <v>244.48</v>
      </c>
      <c r="K209" s="14" t="str">
        <f>IFERROR(INDEX(原始数据!$L$3:$L$1002,MATCH(1,INDEX((原始数据!$D$3:$D$1002="HT20251010")*(原始数据!$L$3:$L$1002&lt;&gt;""),0),0)),"")</f>
        <v>七部</v>
      </c>
      <c r="L209" s="15" t="str">
        <f>IFERROR(INDEX(原始数据!$M$3:$M$1002,MATCH(1,INDEX((原始数据!$D$3:$D$1002="HT20251010")*(原始数据!$M$3:$M$1002&lt;&gt;""),0),0)),"")</f>
        <v>许涛</v>
      </c>
      <c r="M209" s="14" t="str">
        <f>IFERROR(INDEX(原始数据!$N$3:$N$1002,MATCH(1,INDEX((原始数据!$D$3:$D$1002="HT20251010")*(原始数据!$N$3:$N$1002&lt;&gt;""),0),0)),"")</f>
        <v>1年以内</v>
      </c>
      <c r="N209" s="14" t="inlineStr"/>
    </row>
    <row r="210">
      <c r="A210" s="18">
        <f>ROW()-2</f>
        <v>208</v>
      </c>
      <c r="B210" s="19" t="str">
        <f>IFERROR(INDEX(原始数据!$B$3:$B$1002,MATCH(1,INDEX((原始数据!$D$3:$D$1002="HT20251012")*(原始数据!$B$3:$B$1002&lt;&gt;""),0),0)),"")</f>
        <v>西北-新疆</v>
      </c>
      <c r="C210" s="19" t="str">
        <f>IFERROR(INDEX(原始数据!$C$3:$C$1002,MATCH(1,INDEX((原始数据!$D$3:$D$1002="HT20251012")*(原始数据!$C$3:$C$1002&lt;&gt;""),0),0)),"")</f>
        <v>国有企业</v>
      </c>
      <c r="D210" s="20" t="inlineStr">
        <is>
          <t>HT20251012</t>
        </is>
      </c>
      <c r="E210" s="21">
        <f>IFERROR(INDEX(原始数据!$E$3:$E$1002,MATCH(1,INDEX((原始数据!$D$3:$D$1002="HT20251012")*(原始数据!$E$3:$E$1002&lt;&gt;""),0),0)),"")</f>
        <v>20260616</v>
      </c>
      <c r="F210" s="22">
        <f>SUMIFS(原始数据!$F$3:$F$1002,原始数据!$D$3:$D$1002,"HT20251012")</f>
        <v>6531.861</v>
      </c>
      <c r="G210" s="22">
        <f>SUMIFS(原始数据!$H$3:$H$1002,原始数据!$D$3:$D$1002,"HT20251012")</f>
        <v>5979.114</v>
      </c>
      <c r="H210" s="22">
        <f>SUMIFS(原始数据!$I$3:$I$1002,原始数据!$D$3:$D$1002,"HT20251012")</f>
        <v>552.747</v>
      </c>
      <c r="I210" s="22">
        <f>SUMIFS(原始数据!$J$3:$J$1002,原始数据!$D$3:$D$1002,"HT20251012")</f>
        <v>371.464</v>
      </c>
      <c r="J210" s="22">
        <f>SUMIFS(原始数据!$K$3:$K$1002,原始数据!$D$3:$D$1002,"HT20251012")</f>
        <v>181.283</v>
      </c>
      <c r="K210" s="19" t="str">
        <f>IFERROR(INDEX(原始数据!$L$3:$L$1002,MATCH(1,INDEX((原始数据!$D$3:$D$1002="HT20251012")*(原始数据!$L$3:$L$1002&lt;&gt;""),0),0)),"")</f>
        <v>二部</v>
      </c>
      <c r="L210" s="20" t="str">
        <f>IFERROR(INDEX(原始数据!$M$3:$M$1002,MATCH(1,INDEX((原始数据!$D$3:$D$1002="HT20251012")*(原始数据!$M$3:$M$1002&lt;&gt;""),0),0)),"")</f>
        <v>赵敏</v>
      </c>
      <c r="M210" s="19" t="str">
        <f>IFERROR(INDEX(原始数据!$N$3:$N$1002,MATCH(1,INDEX((原始数据!$D$3:$D$1002="HT20251012")*(原始数据!$N$3:$N$1002&lt;&gt;""),0),0)),"")</f>
        <v>2-3年</v>
      </c>
      <c r="N210" s="19" t="inlineStr"/>
    </row>
    <row r="211">
      <c r="A211" s="13">
        <f>ROW()-2</f>
        <v>209</v>
      </c>
      <c r="B211" s="14" t="str">
        <f>IFERROR(INDEX(原始数据!$B$3:$B$1002,MATCH(1,INDEX((原始数据!$D$3:$D$1002="HT20251013")*(原始数据!$B$3:$B$1002&lt;&gt;""),0),0)),"")</f>
        <v>西北-新疆</v>
      </c>
      <c r="C211" s="14" t="str">
        <f>IFERROR(INDEX(原始数据!$C$3:$C$1002,MATCH(1,INDEX((原始数据!$D$3:$D$1002="HT20251013")*(原始数据!$C$3:$C$1002&lt;&gt;""),0),0)),"")</f>
        <v>监察司法机关</v>
      </c>
      <c r="D211" s="15" t="inlineStr">
        <is>
          <t>HT20251013</t>
        </is>
      </c>
      <c r="E211" s="16">
        <f>IFERROR(INDEX(原始数据!$E$3:$E$1002,MATCH(1,INDEX((原始数据!$D$3:$D$1002="HT20251013")*(原始数据!$E$3:$E$1002&lt;&gt;""),0),0)),"")</f>
        <v>20260424</v>
      </c>
      <c r="F211" s="17">
        <f>SUMIFS(原始数据!$F$3:$F$1002,原始数据!$D$3:$D$1002,"HT20251013")</f>
        <v>8191.954</v>
      </c>
      <c r="G211" s="17">
        <f>SUMIFS(原始数据!$H$3:$H$1002,原始数据!$D$3:$D$1002,"HT20251013")</f>
        <v>6747.093000000001</v>
      </c>
      <c r="H211" s="17">
        <f>SUMIFS(原始数据!$I$3:$I$1002,原始数据!$D$3:$D$1002,"HT20251013")</f>
        <v>1444.8609999999999</v>
      </c>
      <c r="I211" s="17">
        <f>SUMIFS(原始数据!$J$3:$J$1002,原始数据!$D$3:$D$1002,"HT20251013")</f>
        <v>699.919</v>
      </c>
      <c r="J211" s="17">
        <f>SUMIFS(原始数据!$K$3:$K$1002,原始数据!$D$3:$D$1002,"HT20251013")</f>
        <v>744.942</v>
      </c>
      <c r="K211" s="14" t="str">
        <f>IFERROR(INDEX(原始数据!$L$3:$L$1002,MATCH(1,INDEX((原始数据!$D$3:$D$1002="HT20251013")*(原始数据!$L$3:$L$1002&lt;&gt;""),0),0)),"")</f>
        <v>九部</v>
      </c>
      <c r="L211" s="15" t="str">
        <f>IFERROR(INDEX(原始数据!$M$3:$M$1002,MATCH(1,INDEX((原始数据!$D$3:$D$1002="HT20251013")*(原始数据!$M$3:$M$1002&lt;&gt;""),0),0)),"")</f>
        <v>魏红</v>
      </c>
      <c r="M211" s="14" t="str">
        <f>IFERROR(INDEX(原始数据!$N$3:$N$1002,MATCH(1,INDEX((原始数据!$D$3:$D$1002="HT20251013")*(原始数据!$N$3:$N$1002&lt;&gt;""),0),0)),"")</f>
        <v>1年以内</v>
      </c>
      <c r="N211" s="14" t="inlineStr"/>
    </row>
    <row r="212">
      <c r="A212" s="18">
        <f>ROW()-2</f>
        <v>210</v>
      </c>
      <c r="B212" s="19" t="str">
        <f>IFERROR(INDEX(原始数据!$B$3:$B$1002,MATCH(1,INDEX((原始数据!$D$3:$D$1002="HT20251014")*(原始数据!$B$3:$B$1002&lt;&gt;""),0),0)),"")</f>
        <v>华北-北京</v>
      </c>
      <c r="C212" s="19" t="str">
        <f>IFERROR(INDEX(原始数据!$C$3:$C$1002,MATCH(1,INDEX((原始数据!$D$3:$D$1002="HT20251014")*(原始数据!$C$3:$C$1002&lt;&gt;""),0),0)),"")</f>
        <v>党委机关</v>
      </c>
      <c r="D212" s="20" t="inlineStr">
        <is>
          <t>HT20251014</t>
        </is>
      </c>
      <c r="E212" s="21">
        <f>IFERROR(INDEX(原始数据!$E$3:$E$1002,MATCH(1,INDEX((原始数据!$D$3:$D$1002="HT20251014")*(原始数据!$E$3:$E$1002&lt;&gt;""),0),0)),"")</f>
        <v>20260307</v>
      </c>
      <c r="F212" s="22">
        <f>SUMIFS(原始数据!$F$3:$F$1002,原始数据!$D$3:$D$1002,"HT20251014")</f>
        <v>4570.175</v>
      </c>
      <c r="G212" s="22">
        <f>SUMIFS(原始数据!$H$3:$H$1002,原始数据!$D$3:$D$1002,"HT20251014")</f>
        <v>1953.382</v>
      </c>
      <c r="H212" s="22">
        <f>SUMIFS(原始数据!$I$3:$I$1002,原始数据!$D$3:$D$1002,"HT20251014")</f>
        <v>2616.793</v>
      </c>
      <c r="I212" s="22">
        <f>SUMIFS(原始数据!$J$3:$J$1002,原始数据!$D$3:$D$1002,"HT20251014")</f>
        <v>1464.9379999999999</v>
      </c>
      <c r="J212" s="22">
        <f>SUMIFS(原始数据!$K$3:$K$1002,原始数据!$D$3:$D$1002,"HT20251014")</f>
        <v>1151.855</v>
      </c>
      <c r="K212" s="19" t="str">
        <f>IFERROR(INDEX(原始数据!$L$3:$L$1002,MATCH(1,INDEX((原始数据!$D$3:$D$1002="HT20251014")*(原始数据!$L$3:$L$1002&lt;&gt;""),0),0)),"")</f>
        <v>九部</v>
      </c>
      <c r="L212" s="20" t="str">
        <f>IFERROR(INDEX(原始数据!$M$3:$M$1002,MATCH(1,INDEX((原始数据!$D$3:$D$1002="HT20251014")*(原始数据!$M$3:$M$1002&lt;&gt;""),0),0)),"")</f>
        <v>丁磊</v>
      </c>
      <c r="M212" s="19" t="str">
        <f>IFERROR(INDEX(原始数据!$N$3:$N$1002,MATCH(1,INDEX((原始数据!$D$3:$D$1002="HT20251014")*(原始数据!$N$3:$N$1002&lt;&gt;""),0),0)),"")</f>
        <v>2-3年</v>
      </c>
      <c r="N212" s="19" t="inlineStr"/>
    </row>
    <row r="213">
      <c r="A213" s="13">
        <f>ROW()-2</f>
        <v>211</v>
      </c>
      <c r="B213" s="14" t="str">
        <f>IFERROR(INDEX(原始数据!$B$3:$B$1002,MATCH(1,INDEX((原始数据!$D$3:$D$1002="HT20251017")*(原始数据!$B$3:$B$1002&lt;&gt;""),0),0)),"")</f>
        <v>东北-黑龙江</v>
      </c>
      <c r="C213" s="14" t="str">
        <f>IFERROR(INDEX(原始数据!$C$3:$C$1002,MATCH(1,INDEX((原始数据!$D$3:$D$1002="HT20251017")*(原始数据!$C$3:$C$1002&lt;&gt;""),0),0)),"")</f>
        <v>群团组织</v>
      </c>
      <c r="D213" s="15" t="inlineStr">
        <is>
          <t>HT20251017</t>
        </is>
      </c>
      <c r="E213" s="16">
        <f>IFERROR(INDEX(原始数据!$E$3:$E$1002,MATCH(1,INDEX((原始数据!$D$3:$D$1002="HT20251017")*(原始数据!$E$3:$E$1002&lt;&gt;""),0),0)),"")</f>
        <v>20260814</v>
      </c>
      <c r="F213" s="17">
        <f>SUMIFS(原始数据!$F$3:$F$1002,原始数据!$D$3:$D$1002,"HT20251017")</f>
        <v>420.95000000000005</v>
      </c>
      <c r="G213" s="17">
        <f>SUMIFS(原始数据!$H$3:$H$1002,原始数据!$D$3:$D$1002,"HT20251017")</f>
        <v>79.262</v>
      </c>
      <c r="H213" s="17">
        <f>SUMIFS(原始数据!$I$3:$I$1002,原始数据!$D$3:$D$1002,"HT20251017")</f>
        <v>341.688</v>
      </c>
      <c r="I213" s="17">
        <f>SUMIFS(原始数据!$J$3:$J$1002,原始数据!$D$3:$D$1002,"HT20251017")</f>
        <v>142.09699999999998</v>
      </c>
      <c r="J213" s="17">
        <f>SUMIFS(原始数据!$K$3:$K$1002,原始数据!$D$3:$D$1002,"HT20251017")</f>
        <v>199.591</v>
      </c>
      <c r="K213" s="14" t="str">
        <f>IFERROR(INDEX(原始数据!$L$3:$L$1002,MATCH(1,INDEX((原始数据!$D$3:$D$1002="HT20251017")*(原始数据!$L$3:$L$1002&lt;&gt;""),0),0)),"")</f>
        <v>二部</v>
      </c>
      <c r="L213" s="15" t="str">
        <f>IFERROR(INDEX(原始数据!$M$3:$M$1002,MATCH(1,INDEX((原始数据!$D$3:$D$1002="HT20251017")*(原始数据!$M$3:$M$1002&lt;&gt;""),0),0)),"")</f>
        <v>杨磊</v>
      </c>
      <c r="M213" s="14" t="str">
        <f>IFERROR(INDEX(原始数据!$N$3:$N$1002,MATCH(1,INDEX((原始数据!$D$3:$D$1002="HT20251017")*(原始数据!$N$3:$N$1002&lt;&gt;""),0),0)),"")</f>
        <v>1-2年</v>
      </c>
      <c r="N213" s="14" t="inlineStr"/>
    </row>
    <row r="214">
      <c r="A214" s="18">
        <f>ROW()-2</f>
        <v>212</v>
      </c>
      <c r="B214" s="19" t="str">
        <f>IFERROR(INDEX(原始数据!$B$3:$B$1002,MATCH(1,INDEX((原始数据!$D$3:$D$1002="HT20251018")*(原始数据!$B$3:$B$1002&lt;&gt;""),0),0)),"")</f>
        <v>西北-青海</v>
      </c>
      <c r="C214" s="19" t="str">
        <f>IFERROR(INDEX(原始数据!$C$3:$C$1002,MATCH(1,INDEX((原始数据!$D$3:$D$1002="HT20251018")*(原始数据!$C$3:$C$1002&lt;&gt;""),0),0)),"")</f>
        <v>人大政协</v>
      </c>
      <c r="D214" s="20" t="inlineStr">
        <is>
          <t>HT20251018</t>
        </is>
      </c>
      <c r="E214" s="21">
        <f>IFERROR(INDEX(原始数据!$E$3:$E$1002,MATCH(1,INDEX((原始数据!$D$3:$D$1002="HT20251018")*(原始数据!$E$3:$E$1002&lt;&gt;""),0),0)),"")</f>
        <v>20260112</v>
      </c>
      <c r="F214" s="22">
        <f>SUMIFS(原始数据!$F$3:$F$1002,原始数据!$D$3:$D$1002,"HT20251018")</f>
        <v>1011.88</v>
      </c>
      <c r="G214" s="22">
        <f>SUMIFS(原始数据!$H$3:$H$1002,原始数据!$D$3:$D$1002,"HT20251018")</f>
        <v>119.51100000000001</v>
      </c>
      <c r="H214" s="22">
        <f>SUMIFS(原始数据!$I$3:$I$1002,原始数据!$D$3:$D$1002,"HT20251018")</f>
        <v>892.3689999999999</v>
      </c>
      <c r="I214" s="22">
        <f>SUMIFS(原始数据!$J$3:$J$1002,原始数据!$D$3:$D$1002,"HT20251018")</f>
        <v>660.591</v>
      </c>
      <c r="J214" s="22">
        <f>SUMIFS(原始数据!$K$3:$K$1002,原始数据!$D$3:$D$1002,"HT20251018")</f>
        <v>231.77800000000002</v>
      </c>
      <c r="K214" s="19" t="str">
        <f>IFERROR(INDEX(原始数据!$L$3:$L$1002,MATCH(1,INDEX((原始数据!$D$3:$D$1002="HT20251018")*(原始数据!$L$3:$L$1002&lt;&gt;""),0),0)),"")</f>
        <v>一部</v>
      </c>
      <c r="L214" s="20" t="str">
        <f>IFERROR(INDEX(原始数据!$M$3:$M$1002,MATCH(1,INDEX((原始数据!$D$3:$D$1002="HT20251018")*(原始数据!$M$3:$M$1002&lt;&gt;""),0),0)),"")</f>
        <v>陈静</v>
      </c>
      <c r="M214" s="19" t="str">
        <f>IFERROR(INDEX(原始数据!$N$3:$N$1002,MATCH(1,INDEX((原始数据!$D$3:$D$1002="HT20251018")*(原始数据!$N$3:$N$1002&lt;&gt;""),0),0)),"")</f>
        <v>1-2年</v>
      </c>
      <c r="N214" s="19" t="inlineStr"/>
    </row>
    <row r="215">
      <c r="A215" s="13">
        <f>ROW()-2</f>
        <v>213</v>
      </c>
      <c r="B215" s="14" t="str">
        <f>IFERROR(INDEX(原始数据!$B$3:$B$1002,MATCH(1,INDEX((原始数据!$D$3:$D$1002="HT20251021")*(原始数据!$B$3:$B$1002&lt;&gt;""),0),0)),"")</f>
        <v>华东-山东</v>
      </c>
      <c r="C215" s="14" t="str">
        <f>IFERROR(INDEX(原始数据!$C$3:$C$1002,MATCH(1,INDEX((原始数据!$D$3:$D$1002="HT20251021")*(原始数据!$C$3:$C$1002&lt;&gt;""),0),0)),"")</f>
        <v>基层自治组织</v>
      </c>
      <c r="D215" s="15" t="inlineStr">
        <is>
          <t>HT20251021</t>
        </is>
      </c>
      <c r="E215" s="16">
        <f>IFERROR(INDEX(原始数据!$E$3:$E$1002,MATCH(1,INDEX((原始数据!$D$3:$D$1002="HT20251021")*(原始数据!$E$3:$E$1002&lt;&gt;""),0),0)),"")</f>
        <v>20260309</v>
      </c>
      <c r="F215" s="17">
        <f>SUMIFS(原始数据!$F$3:$F$1002,原始数据!$D$3:$D$1002,"HT20251021")</f>
        <v>2728.429</v>
      </c>
      <c r="G215" s="17">
        <f>SUMIFS(原始数据!$H$3:$H$1002,原始数据!$D$3:$D$1002,"HT20251021")</f>
        <v>1214.859</v>
      </c>
      <c r="H215" s="17">
        <f>SUMIFS(原始数据!$I$3:$I$1002,原始数据!$D$3:$D$1002,"HT20251021")</f>
        <v>1513.57</v>
      </c>
      <c r="I215" s="17">
        <f>SUMIFS(原始数据!$J$3:$J$1002,原始数据!$D$3:$D$1002,"HT20251021")</f>
        <v>1103.8120000000001</v>
      </c>
      <c r="J215" s="17">
        <f>SUMIFS(原始数据!$K$3:$K$1002,原始数据!$D$3:$D$1002,"HT20251021")</f>
        <v>409.75800000000004</v>
      </c>
      <c r="K215" s="14" t="str">
        <f>IFERROR(INDEX(原始数据!$L$3:$L$1002,MATCH(1,INDEX((原始数据!$D$3:$D$1002="HT20251021")*(原始数据!$L$3:$L$1002&lt;&gt;""),0),0)),"")</f>
        <v>五部</v>
      </c>
      <c r="L215" s="15" t="str">
        <f>IFERROR(INDEX(原始数据!$M$3:$M$1002,MATCH(1,INDEX((原始数据!$D$3:$D$1002="HT20251021")*(原始数据!$M$3:$M$1002&lt;&gt;""),0),0)),"")</f>
        <v>宋佳</v>
      </c>
      <c r="M215" s="14" t="str">
        <f>IFERROR(INDEX(原始数据!$N$3:$N$1002,MATCH(1,INDEX((原始数据!$D$3:$D$1002="HT20251021")*(原始数据!$N$3:$N$1002&lt;&gt;""),0),0)),"")</f>
        <v>2-3年</v>
      </c>
      <c r="N215" s="14" t="inlineStr"/>
    </row>
    <row r="216">
      <c r="A216" s="18">
        <f>ROW()-2</f>
        <v>214</v>
      </c>
      <c r="B216" s="19" t="str">
        <f>IFERROR(INDEX(原始数据!$B$3:$B$1002,MATCH(1,INDEX((原始数据!$D$3:$D$1002="HT20251022")*(原始数据!$B$3:$B$1002&lt;&gt;""),0),0)),"")</f>
        <v>华南-海南</v>
      </c>
      <c r="C216" s="19" t="str">
        <f>IFERROR(INDEX(原始数据!$C$3:$C$1002,MATCH(1,INDEX((原始数据!$D$3:$D$1002="HT20251022")*(原始数据!$C$3:$C$1002&lt;&gt;""),0),0)),"")</f>
        <v>人大政协</v>
      </c>
      <c r="D216" s="20" t="inlineStr">
        <is>
          <t>HT20251022</t>
        </is>
      </c>
      <c r="E216" s="21">
        <f>IFERROR(INDEX(原始数据!$E$3:$E$1002,MATCH(1,INDEX((原始数据!$D$3:$D$1002="HT20251022")*(原始数据!$E$3:$E$1002&lt;&gt;""),0),0)),"")</f>
        <v>20260909</v>
      </c>
      <c r="F216" s="22">
        <f>SUMIFS(原始数据!$F$3:$F$1002,原始数据!$D$3:$D$1002,"HT20251022")</f>
        <v>518.705</v>
      </c>
      <c r="G216" s="22">
        <f>SUMIFS(原始数据!$H$3:$H$1002,原始数据!$D$3:$D$1002,"HT20251022")</f>
        <v>29.179</v>
      </c>
      <c r="H216" s="22">
        <f>SUMIFS(原始数据!$I$3:$I$1002,原始数据!$D$3:$D$1002,"HT20251022")</f>
        <v>489.526</v>
      </c>
      <c r="I216" s="22">
        <f>SUMIFS(原始数据!$J$3:$J$1002,原始数据!$D$3:$D$1002,"HT20251022")</f>
        <v>13.348</v>
      </c>
      <c r="J216" s="22">
        <f>SUMIFS(原始数据!$K$3:$K$1002,原始数据!$D$3:$D$1002,"HT20251022")</f>
        <v>476.178</v>
      </c>
      <c r="K216" s="19" t="str">
        <f>IFERROR(INDEX(原始数据!$L$3:$L$1002,MATCH(1,INDEX((原始数据!$D$3:$D$1002="HT20251022")*(原始数据!$L$3:$L$1002&lt;&gt;""),0),0)),"")</f>
        <v>二部</v>
      </c>
      <c r="L216" s="20" t="str">
        <f>IFERROR(INDEX(原始数据!$M$3:$M$1002,MATCH(1,INDEX((原始数据!$D$3:$D$1002="HT20251022")*(原始数据!$M$3:$M$1002&lt;&gt;""),0),0)),"")</f>
        <v>黄强</v>
      </c>
      <c r="M216" s="19" t="str">
        <f>IFERROR(INDEX(原始数据!$N$3:$N$1002,MATCH(1,INDEX((原始数据!$D$3:$D$1002="HT20251022")*(原始数据!$N$3:$N$1002&lt;&gt;""),0),0)),"")</f>
        <v>2-3年</v>
      </c>
      <c r="N216" s="19" t="inlineStr"/>
    </row>
    <row r="217">
      <c r="A217" s="13">
        <f>ROW()-2</f>
        <v>215</v>
      </c>
      <c r="B217" s="14" t="str">
        <f>IFERROR(INDEX(原始数据!$B$3:$B$1002,MATCH(1,INDEX((原始数据!$D$3:$D$1002="HT20251024")*(原始数据!$B$3:$B$1002&lt;&gt;""),0),0)),"")</f>
        <v>华北-北京</v>
      </c>
      <c r="C217" s="14" t="str">
        <f>IFERROR(INDEX(原始数据!$C$3:$C$1002,MATCH(1,INDEX((原始数据!$D$3:$D$1002="HT20251024")*(原始数据!$C$3:$C$1002&lt;&gt;""),0),0)),"")</f>
        <v>事业单位</v>
      </c>
      <c r="D217" s="15" t="inlineStr">
        <is>
          <t>HT20251024</t>
        </is>
      </c>
      <c r="E217" s="16">
        <f>IFERROR(INDEX(原始数据!$E$3:$E$1002,MATCH(1,INDEX((原始数据!$D$3:$D$1002="HT20251024")*(原始数据!$E$3:$E$1002&lt;&gt;""),0),0)),"")</f>
        <v>20260214</v>
      </c>
      <c r="F217" s="17">
        <f>SUMIFS(原始数据!$F$3:$F$1002,原始数据!$D$3:$D$1002,"HT20251024")</f>
        <v>1148.782</v>
      </c>
      <c r="G217" s="17">
        <f>SUMIFS(原始数据!$H$3:$H$1002,原始数据!$D$3:$D$1002,"HT20251024")</f>
        <v>730.868</v>
      </c>
      <c r="H217" s="17">
        <f>SUMIFS(原始数据!$I$3:$I$1002,原始数据!$D$3:$D$1002,"HT20251024")</f>
        <v>417.91400000000004</v>
      </c>
      <c r="I217" s="17">
        <f>SUMIFS(原始数据!$J$3:$J$1002,原始数据!$D$3:$D$1002,"HT20251024")</f>
        <v>349.63300000000004</v>
      </c>
      <c r="J217" s="17">
        <f>SUMIFS(原始数据!$K$3:$K$1002,原始数据!$D$3:$D$1002,"HT20251024")</f>
        <v>68.281</v>
      </c>
      <c r="K217" s="14" t="str">
        <f>IFERROR(INDEX(原始数据!$L$3:$L$1002,MATCH(1,INDEX((原始数据!$D$3:$D$1002="HT20251024")*(原始数据!$L$3:$L$1002&lt;&gt;""),0),0)),"")</f>
        <v>三部</v>
      </c>
      <c r="L217" s="15" t="str">
        <f>IFERROR(INDEX(原始数据!$M$3:$M$1002,MATCH(1,INDEX((原始数据!$D$3:$D$1002="HT20251024")*(原始数据!$M$3:$M$1002&lt;&gt;""),0),0)),"")</f>
        <v>徐涛</v>
      </c>
      <c r="M217" s="14" t="str">
        <f>IFERROR(INDEX(原始数据!$N$3:$N$1002,MATCH(1,INDEX((原始数据!$D$3:$D$1002="HT20251024")*(原始数据!$N$3:$N$1002&lt;&gt;""),0),0)),"")</f>
        <v>1年以内</v>
      </c>
      <c r="N217" s="14" t="inlineStr"/>
    </row>
    <row r="218">
      <c r="A218" s="18">
        <f>ROW()-2</f>
        <v>216</v>
      </c>
      <c r="B218" s="19" t="str">
        <f>IFERROR(INDEX(原始数据!$B$3:$B$1002,MATCH(1,INDEX((原始数据!$D$3:$D$1002="HT20251025")*(原始数据!$B$3:$B$1002&lt;&gt;""),0),0)),"")</f>
        <v>华南-广东</v>
      </c>
      <c r="C218" s="19" t="str">
        <f>IFERROR(INDEX(原始数据!$C$3:$C$1002,MATCH(1,INDEX((原始数据!$D$3:$D$1002="HT20251025")*(原始数据!$C$3:$C$1002&lt;&gt;""),0),0)),"")</f>
        <v>监察司法机关</v>
      </c>
      <c r="D218" s="20" t="inlineStr">
        <is>
          <t>HT20251025</t>
        </is>
      </c>
      <c r="E218" s="21">
        <f>IFERROR(INDEX(原始数据!$E$3:$E$1002,MATCH(1,INDEX((原始数据!$D$3:$D$1002="HT20251025")*(原始数据!$E$3:$E$1002&lt;&gt;""),0),0)),"")</f>
        <v>20260331</v>
      </c>
      <c r="F218" s="22">
        <f>SUMIFS(原始数据!$F$3:$F$1002,原始数据!$D$3:$D$1002,"HT20251025")</f>
        <v>496.18899999999996</v>
      </c>
      <c r="G218" s="22">
        <f>SUMIFS(原始数据!$H$3:$H$1002,原始数据!$D$3:$D$1002,"HT20251025")</f>
        <v>25.044</v>
      </c>
      <c r="H218" s="22">
        <f>SUMIFS(原始数据!$I$3:$I$1002,原始数据!$D$3:$D$1002,"HT20251025")</f>
        <v>471.145</v>
      </c>
      <c r="I218" s="22">
        <f>SUMIFS(原始数据!$J$3:$J$1002,原始数据!$D$3:$D$1002,"HT20251025")</f>
        <v>440.168</v>
      </c>
      <c r="J218" s="22">
        <f>SUMIFS(原始数据!$K$3:$K$1002,原始数据!$D$3:$D$1002,"HT20251025")</f>
        <v>30.977</v>
      </c>
      <c r="K218" s="19" t="str">
        <f>IFERROR(INDEX(原始数据!$L$3:$L$1002,MATCH(1,INDEX((原始数据!$D$3:$D$1002="HT20251025")*(原始数据!$L$3:$L$1002&lt;&gt;""),0),0)),"")</f>
        <v>九部</v>
      </c>
      <c r="L218" s="20" t="str">
        <f>IFERROR(INDEX(原始数据!$M$3:$M$1002,MATCH(1,INDEX((原始数据!$D$3:$D$1002="HT20251025")*(原始数据!$M$3:$M$1002&lt;&gt;""),0),0)),"")</f>
        <v>蒋涛</v>
      </c>
      <c r="M218" s="19" t="str">
        <f>IFERROR(INDEX(原始数据!$N$3:$N$1002,MATCH(1,INDEX((原始数据!$D$3:$D$1002="HT20251025")*(原始数据!$N$3:$N$1002&lt;&gt;""),0),0)),"")</f>
        <v>1-2年</v>
      </c>
      <c r="N218" s="19" t="inlineStr"/>
    </row>
    <row r="219">
      <c r="A219" s="13">
        <f>ROW()-2</f>
        <v>217</v>
      </c>
      <c r="B219" s="14" t="str">
        <f>IFERROR(INDEX(原始数据!$B$3:$B$1002,MATCH(1,INDEX((原始数据!$D$3:$D$1002="HT20251027")*(原始数据!$B$3:$B$1002&lt;&gt;""),0),0)),"")</f>
        <v>西北-甘肃</v>
      </c>
      <c r="C219" s="14" t="str">
        <f>IFERROR(INDEX(原始数据!$C$3:$C$1002,MATCH(1,INDEX((原始数据!$D$3:$D$1002="HT20251027")*(原始数据!$C$3:$C$1002&lt;&gt;""),0),0)),"")</f>
        <v>监察司法机关</v>
      </c>
      <c r="D219" s="15" t="inlineStr">
        <is>
          <t>HT20251027</t>
        </is>
      </c>
      <c r="E219" s="16">
        <f>IFERROR(INDEX(原始数据!$E$3:$E$1002,MATCH(1,INDEX((原始数据!$D$3:$D$1002="HT20251027")*(原始数据!$E$3:$E$1002&lt;&gt;""),0),0)),"")</f>
        <v>20260724</v>
      </c>
      <c r="F219" s="17">
        <f>SUMIFS(原始数据!$F$3:$F$1002,原始数据!$D$3:$D$1002,"HT20251027")</f>
        <v>723.062</v>
      </c>
      <c r="G219" s="17">
        <f>SUMIFS(原始数据!$H$3:$H$1002,原始数据!$D$3:$D$1002,"HT20251027")</f>
        <v>283.211</v>
      </c>
      <c r="H219" s="17">
        <f>SUMIFS(原始数据!$I$3:$I$1002,原始数据!$D$3:$D$1002,"HT20251027")</f>
        <v>439.851</v>
      </c>
      <c r="I219" s="17">
        <f>SUMIFS(原始数据!$J$3:$J$1002,原始数据!$D$3:$D$1002,"HT20251027")</f>
        <v>397.269</v>
      </c>
      <c r="J219" s="17">
        <f>SUMIFS(原始数据!$K$3:$K$1002,原始数据!$D$3:$D$1002,"HT20251027")</f>
        <v>42.581999999999994</v>
      </c>
      <c r="K219" s="14" t="str">
        <f>IFERROR(INDEX(原始数据!$L$3:$L$1002,MATCH(1,INDEX((原始数据!$D$3:$D$1002="HT20251027")*(原始数据!$L$3:$L$1002&lt;&gt;""),0),0)),"")</f>
        <v>七部</v>
      </c>
      <c r="L219" s="15" t="str">
        <f>IFERROR(INDEX(原始数据!$M$3:$M$1002,MATCH(1,INDEX((原始数据!$D$3:$D$1002="HT20251027")*(原始数据!$M$3:$M$1002&lt;&gt;""),0),0)),"")</f>
        <v>傅蓉</v>
      </c>
      <c r="M219" s="14" t="str">
        <f>IFERROR(INDEX(原始数据!$N$3:$N$1002,MATCH(1,INDEX((原始数据!$D$3:$D$1002="HT20251027")*(原始数据!$N$3:$N$1002&lt;&gt;""),0),0)),"")</f>
        <v>1-2年</v>
      </c>
      <c r="N219" s="14" t="inlineStr"/>
    </row>
    <row r="220">
      <c r="A220" s="18">
        <f>ROW()-2</f>
        <v>218</v>
      </c>
      <c r="B220" s="19" t="str">
        <f>IFERROR(INDEX(原始数据!$B$3:$B$1002,MATCH(1,INDEX((原始数据!$D$3:$D$1002="HT20251029")*(原始数据!$B$3:$B$1002&lt;&gt;""),0),0)),"")</f>
        <v>西南-西藏</v>
      </c>
      <c r="C220" s="19" t="str">
        <f>IFERROR(INDEX(原始数据!$C$3:$C$1002,MATCH(1,INDEX((原始数据!$D$3:$D$1002="HT20251029")*(原始数据!$C$3:$C$1002&lt;&gt;""),0),0)),"")</f>
        <v>国有企业</v>
      </c>
      <c r="D220" s="20" t="inlineStr">
        <is>
          <t>HT20251029</t>
        </is>
      </c>
      <c r="E220" s="21">
        <f>IFERROR(INDEX(原始数据!$E$3:$E$1002,MATCH(1,INDEX((原始数据!$D$3:$D$1002="HT20251029")*(原始数据!$E$3:$E$1002&lt;&gt;""),0),0)),"")</f>
        <v>20260220</v>
      </c>
      <c r="F220" s="22">
        <f>SUMIFS(原始数据!$F$3:$F$1002,原始数据!$D$3:$D$1002,"HT20251029")</f>
        <v>1993.676</v>
      </c>
      <c r="G220" s="22">
        <f>SUMIFS(原始数据!$H$3:$H$1002,原始数据!$D$3:$D$1002,"HT20251029")</f>
        <v>746.7639999999999</v>
      </c>
      <c r="H220" s="22">
        <f>SUMIFS(原始数据!$I$3:$I$1002,原始数据!$D$3:$D$1002,"HT20251029")</f>
        <v>1246.912</v>
      </c>
      <c r="I220" s="22">
        <f>SUMIFS(原始数据!$J$3:$J$1002,原始数据!$D$3:$D$1002,"HT20251029")</f>
        <v>514.1320000000001</v>
      </c>
      <c r="J220" s="22">
        <f>SUMIFS(原始数据!$K$3:$K$1002,原始数据!$D$3:$D$1002,"HT20251029")</f>
        <v>732.78</v>
      </c>
      <c r="K220" s="19" t="str">
        <f>IFERROR(INDEX(原始数据!$L$3:$L$1002,MATCH(1,INDEX((原始数据!$D$3:$D$1002="HT20251029")*(原始数据!$L$3:$L$1002&lt;&gt;""),0),0)),"")</f>
        <v>五部</v>
      </c>
      <c r="L220" s="20" t="str">
        <f>IFERROR(INDEX(原始数据!$M$3:$M$1002,MATCH(1,INDEX((原始数据!$D$3:$D$1002="HT20251029")*(原始数据!$M$3:$M$1002&lt;&gt;""),0),0)),"")</f>
        <v>宋佳</v>
      </c>
      <c r="M220" s="19" t="str">
        <f>IFERROR(INDEX(原始数据!$N$3:$N$1002,MATCH(1,INDEX((原始数据!$D$3:$D$1002="HT20251029")*(原始数据!$N$3:$N$1002&lt;&gt;""),0),0)),"")</f>
        <v>1年以内</v>
      </c>
      <c r="N220" s="19" t="inlineStr"/>
    </row>
    <row r="221">
      <c r="A221" s="13">
        <f>ROW()-2</f>
        <v>219</v>
      </c>
      <c r="B221" s="14" t="str">
        <f>IFERROR(INDEX(原始数据!$B$3:$B$1002,MATCH(1,INDEX((原始数据!$D$3:$D$1002="HT20251030")*(原始数据!$B$3:$B$1002&lt;&gt;""),0),0)),"")</f>
        <v>东北-黑龙江</v>
      </c>
      <c r="C221" s="14" t="str">
        <f>IFERROR(INDEX(原始数据!$C$3:$C$1002,MATCH(1,INDEX((原始数据!$D$3:$D$1002="HT20251030")*(原始数据!$C$3:$C$1002&lt;&gt;""),0),0)),"")</f>
        <v>监察司法机关</v>
      </c>
      <c r="D221" s="15" t="inlineStr">
        <is>
          <t>HT20251030</t>
        </is>
      </c>
      <c r="E221" s="16">
        <f>IFERROR(INDEX(原始数据!$E$3:$E$1002,MATCH(1,INDEX((原始数据!$D$3:$D$1002="HT20251030")*(原始数据!$E$3:$E$1002&lt;&gt;""),0),0)),"")</f>
        <v>20260831</v>
      </c>
      <c r="F221" s="17">
        <f>SUMIFS(原始数据!$F$3:$F$1002,原始数据!$D$3:$D$1002,"HT20251030")</f>
        <v>10170.676999999998</v>
      </c>
      <c r="G221" s="17">
        <f>SUMIFS(原始数据!$H$3:$H$1002,原始数据!$D$3:$D$1002,"HT20251030")</f>
        <v>5414.141</v>
      </c>
      <c r="H221" s="17">
        <f>SUMIFS(原始数据!$I$3:$I$1002,原始数据!$D$3:$D$1002,"HT20251030")</f>
        <v>4756.535999999999</v>
      </c>
      <c r="I221" s="17">
        <f>SUMIFS(原始数据!$J$3:$J$1002,原始数据!$D$3:$D$1002,"HT20251030")</f>
        <v>3292.0460000000003</v>
      </c>
      <c r="J221" s="17">
        <f>SUMIFS(原始数据!$K$3:$K$1002,原始数据!$D$3:$D$1002,"HT20251030")</f>
        <v>1464.49</v>
      </c>
      <c r="K221" s="14" t="str">
        <f>IFERROR(INDEX(原始数据!$L$3:$L$1002,MATCH(1,INDEX((原始数据!$D$3:$D$1002="HT20251030")*(原始数据!$L$3:$L$1002&lt;&gt;""),0),0)),"")</f>
        <v>八部</v>
      </c>
      <c r="L221" s="15" t="str">
        <f>IFERROR(INDEX(原始数据!$M$3:$M$1002,MATCH(1,INDEX((原始数据!$D$3:$D$1002="HT20251030")*(原始数据!$M$3:$M$1002&lt;&gt;""),0),0)),"")</f>
        <v>彭燕</v>
      </c>
      <c r="M221" s="14" t="str">
        <f>IFERROR(INDEX(原始数据!$N$3:$N$1002,MATCH(1,INDEX((原始数据!$D$3:$D$1002="HT20251030")*(原始数据!$N$3:$N$1002&lt;&gt;""),0),0)),"")</f>
        <v>1-2年</v>
      </c>
      <c r="N221" s="14" t="inlineStr"/>
    </row>
    <row r="222">
      <c r="A222" s="18">
        <f>ROW()-2</f>
        <v>220</v>
      </c>
      <c r="B222" s="19" t="str">
        <f>IFERROR(INDEX(原始数据!$B$3:$B$1002,MATCH(1,INDEX((原始数据!$D$3:$D$1002="HT20251101")*(原始数据!$B$3:$B$1002&lt;&gt;""),0),0)),"")</f>
        <v>西北-新疆</v>
      </c>
      <c r="C222" s="19" t="str">
        <f>IFERROR(INDEX(原始数据!$C$3:$C$1002,MATCH(1,INDEX((原始数据!$D$3:$D$1002="HT20251101")*(原始数据!$C$3:$C$1002&lt;&gt;""),0),0)),"")</f>
        <v>监察司法机关</v>
      </c>
      <c r="D222" s="20" t="inlineStr">
        <is>
          <t>HT20251101</t>
        </is>
      </c>
      <c r="E222" s="21">
        <f>IFERROR(INDEX(原始数据!$E$3:$E$1002,MATCH(1,INDEX((原始数据!$D$3:$D$1002="HT20251101")*(原始数据!$E$3:$E$1002&lt;&gt;""),0),0)),"")</f>
        <v>20260907</v>
      </c>
      <c r="F222" s="22">
        <f>SUMIFS(原始数据!$F$3:$F$1002,原始数据!$D$3:$D$1002,"HT20251101")</f>
        <v>982.045</v>
      </c>
      <c r="G222" s="22">
        <f>SUMIFS(原始数据!$H$3:$H$1002,原始数据!$D$3:$D$1002,"HT20251101")</f>
        <v>611.077</v>
      </c>
      <c r="H222" s="22">
        <f>SUMIFS(原始数据!$I$3:$I$1002,原始数据!$D$3:$D$1002,"HT20251101")</f>
        <v>370.968</v>
      </c>
      <c r="I222" s="22">
        <f>SUMIFS(原始数据!$J$3:$J$1002,原始数据!$D$3:$D$1002,"HT20251101")</f>
        <v>164.495</v>
      </c>
      <c r="J222" s="22">
        <f>SUMIFS(原始数据!$K$3:$K$1002,原始数据!$D$3:$D$1002,"HT20251101")</f>
        <v>206.473</v>
      </c>
      <c r="K222" s="19" t="str">
        <f>IFERROR(INDEX(原始数据!$L$3:$L$1002,MATCH(1,INDEX((原始数据!$D$3:$D$1002="HT20251101")*(原始数据!$L$3:$L$1002&lt;&gt;""),0),0)),"")</f>
        <v>二部</v>
      </c>
      <c r="L222" s="20" t="str">
        <f>IFERROR(INDEX(原始数据!$M$3:$M$1002,MATCH(1,INDEX((原始数据!$D$3:$D$1002="HT20251101")*(原始数据!$M$3:$M$1002&lt;&gt;""),0),0)),"")</f>
        <v>杨磊</v>
      </c>
      <c r="M222" s="19" t="str">
        <f>IFERROR(INDEX(原始数据!$N$3:$N$1002,MATCH(1,INDEX((原始数据!$D$3:$D$1002="HT20251101")*(原始数据!$N$3:$N$1002&lt;&gt;""),0),0)),"")</f>
        <v>2-3年</v>
      </c>
      <c r="N222" s="19" t="inlineStr"/>
    </row>
    <row r="223">
      <c r="A223" s="13">
        <f>ROW()-2</f>
        <v>221</v>
      </c>
      <c r="B223" s="14" t="str">
        <f>IFERROR(INDEX(原始数据!$B$3:$B$1002,MATCH(1,INDEX((原始数据!$D$3:$D$1002="HT20251102")*(原始数据!$B$3:$B$1002&lt;&gt;""),0),0)),"")</f>
        <v>西北-新疆</v>
      </c>
      <c r="C223" s="14" t="str">
        <f>IFERROR(INDEX(原始数据!$C$3:$C$1002,MATCH(1,INDEX((原始数据!$D$3:$D$1002="HT20251102")*(原始数据!$C$3:$C$1002&lt;&gt;""),0),0)),"")</f>
        <v>国有企业</v>
      </c>
      <c r="D223" s="15" t="inlineStr">
        <is>
          <t>HT20251102</t>
        </is>
      </c>
      <c r="E223" s="16">
        <f>IFERROR(INDEX(原始数据!$E$3:$E$1002,MATCH(1,INDEX((原始数据!$D$3:$D$1002="HT20251102")*(原始数据!$E$3:$E$1002&lt;&gt;""),0),0)),"")</f>
        <v>20260524</v>
      </c>
      <c r="F223" s="17">
        <f>SUMIFS(原始数据!$F$3:$F$1002,原始数据!$D$3:$D$1002,"HT20251102")</f>
        <v>1030.9270000000001</v>
      </c>
      <c r="G223" s="17">
        <f>SUMIFS(原始数据!$H$3:$H$1002,原始数据!$D$3:$D$1002,"HT20251102")</f>
        <v>405.991</v>
      </c>
      <c r="H223" s="17">
        <f>SUMIFS(原始数据!$I$3:$I$1002,原始数据!$D$3:$D$1002,"HT20251102")</f>
        <v>624.936</v>
      </c>
      <c r="I223" s="17">
        <f>SUMIFS(原始数据!$J$3:$J$1002,原始数据!$D$3:$D$1002,"HT20251102")</f>
        <v>504.748</v>
      </c>
      <c r="J223" s="17">
        <f>SUMIFS(原始数据!$K$3:$K$1002,原始数据!$D$3:$D$1002,"HT20251102")</f>
        <v>120.18799999999999</v>
      </c>
      <c r="K223" s="14" t="str">
        <f>IFERROR(INDEX(原始数据!$L$3:$L$1002,MATCH(1,INDEX((原始数据!$D$3:$D$1002="HT20251102")*(原始数据!$L$3:$L$1002&lt;&gt;""),0),0)),"")</f>
        <v>三部</v>
      </c>
      <c r="L223" s="15" t="str">
        <f>IFERROR(INDEX(原始数据!$M$3:$M$1002,MATCH(1,INDEX((原始数据!$D$3:$D$1002="HT20251102")*(原始数据!$M$3:$M$1002&lt;&gt;""),0),0)),"")</f>
        <v>胡蓉</v>
      </c>
      <c r="M223" s="14" t="str">
        <f>IFERROR(INDEX(原始数据!$N$3:$N$1002,MATCH(1,INDEX((原始数据!$D$3:$D$1002="HT20251102")*(原始数据!$N$3:$N$1002&lt;&gt;""),0),0)),"")</f>
        <v>2-3年</v>
      </c>
      <c r="N223" s="14" t="inlineStr"/>
    </row>
    <row r="224">
      <c r="A224" s="18">
        <f>ROW()-2</f>
        <v>222</v>
      </c>
      <c r="B224" s="19" t="str">
        <f>IFERROR(INDEX(原始数据!$B$3:$B$1002,MATCH(1,INDEX((原始数据!$D$3:$D$1002="HT20251103")*(原始数据!$B$3:$B$1002&lt;&gt;""),0),0)),"")</f>
        <v>华北-河北</v>
      </c>
      <c r="C224" s="19" t="str">
        <f>IFERROR(INDEX(原始数据!$C$3:$C$1002,MATCH(1,INDEX((原始数据!$D$3:$D$1002="HT20251103")*(原始数据!$C$3:$C$1002&lt;&gt;""),0),0)),"")</f>
        <v>监察司法机关</v>
      </c>
      <c r="D224" s="20" t="inlineStr">
        <is>
          <t>HT20251103</t>
        </is>
      </c>
      <c r="E224" s="21">
        <f>IFERROR(INDEX(原始数据!$E$3:$E$1002,MATCH(1,INDEX((原始数据!$D$3:$D$1002="HT20251103")*(原始数据!$E$3:$E$1002&lt;&gt;""),0),0)),"")</f>
        <v>20260307</v>
      </c>
      <c r="F224" s="22">
        <f>SUMIFS(原始数据!$F$3:$F$1002,原始数据!$D$3:$D$1002,"HT20251103")</f>
        <v>223.65</v>
      </c>
      <c r="G224" s="22">
        <f>SUMIFS(原始数据!$H$3:$H$1002,原始数据!$D$3:$D$1002,"HT20251103")</f>
        <v>211.384</v>
      </c>
      <c r="H224" s="22">
        <f>SUMIFS(原始数据!$I$3:$I$1002,原始数据!$D$3:$D$1002,"HT20251103")</f>
        <v>12.266</v>
      </c>
      <c r="I224" s="22">
        <f>SUMIFS(原始数据!$J$3:$J$1002,原始数据!$D$3:$D$1002,"HT20251103")</f>
        <v>7.908</v>
      </c>
      <c r="J224" s="22">
        <f>SUMIFS(原始数据!$K$3:$K$1002,原始数据!$D$3:$D$1002,"HT20251103")</f>
        <v>4.358</v>
      </c>
      <c r="K224" s="19" t="str">
        <f>IFERROR(INDEX(原始数据!$L$3:$L$1002,MATCH(1,INDEX((原始数据!$D$3:$D$1002="HT20251103")*(原始数据!$L$3:$L$1002&lt;&gt;""),0),0)),"")</f>
        <v>四部</v>
      </c>
      <c r="L224" s="20" t="str">
        <f>IFERROR(INDEX(原始数据!$M$3:$M$1002,MATCH(1,INDEX((原始数据!$D$3:$D$1002="HT20251103")*(原始数据!$M$3:$M$1002&lt;&gt;""),0),0)),"")</f>
        <v>郭鹏</v>
      </c>
      <c r="M224" s="19" t="str">
        <f>IFERROR(INDEX(原始数据!$N$3:$N$1002,MATCH(1,INDEX((原始数据!$D$3:$D$1002="HT20251103")*(原始数据!$N$3:$N$1002&lt;&gt;""),0),0)),"")</f>
        <v>1-2年</v>
      </c>
      <c r="N224" s="19" t="inlineStr"/>
    </row>
    <row r="225">
      <c r="A225" s="13">
        <f>ROW()-2</f>
        <v>223</v>
      </c>
      <c r="B225" s="14" t="str">
        <f>IFERROR(INDEX(原始数据!$B$3:$B$1002,MATCH(1,INDEX((原始数据!$D$3:$D$1002="HT20251104")*(原始数据!$B$3:$B$1002&lt;&gt;""),0),0)),"")</f>
        <v>西北-陕西</v>
      </c>
      <c r="C225" s="14" t="str">
        <f>IFERROR(INDEX(原始数据!$C$3:$C$1002,MATCH(1,INDEX((原始数据!$D$3:$D$1002="HT20251104")*(原始数据!$C$3:$C$1002&lt;&gt;""),0),0)),"")</f>
        <v>政府机关</v>
      </c>
      <c r="D225" s="15" t="inlineStr">
        <is>
          <t>HT20251104</t>
        </is>
      </c>
      <c r="E225" s="16">
        <f>IFERROR(INDEX(原始数据!$E$3:$E$1002,MATCH(1,INDEX((原始数据!$D$3:$D$1002="HT20251104")*(原始数据!$E$3:$E$1002&lt;&gt;""),0),0)),"")</f>
        <v>20260519</v>
      </c>
      <c r="F225" s="17">
        <f>SUMIFS(原始数据!$F$3:$F$1002,原始数据!$D$3:$D$1002,"HT20251104")</f>
        <v>5351.465999999999</v>
      </c>
      <c r="G225" s="17">
        <f>SUMIFS(原始数据!$H$3:$H$1002,原始数据!$D$3:$D$1002,"HT20251104")</f>
        <v>3065.104</v>
      </c>
      <c r="H225" s="17">
        <f>SUMIFS(原始数据!$I$3:$I$1002,原始数据!$D$3:$D$1002,"HT20251104")</f>
        <v>2286.362</v>
      </c>
      <c r="I225" s="17">
        <f>SUMIFS(原始数据!$J$3:$J$1002,原始数据!$D$3:$D$1002,"HT20251104")</f>
        <v>1527.568</v>
      </c>
      <c r="J225" s="17">
        <f>SUMIFS(原始数据!$K$3:$K$1002,原始数据!$D$3:$D$1002,"HT20251104")</f>
        <v>758.7940000000001</v>
      </c>
      <c r="K225" s="14" t="str">
        <f>IFERROR(INDEX(原始数据!$L$3:$L$1002,MATCH(1,INDEX((原始数据!$D$3:$D$1002="HT20251104")*(原始数据!$L$3:$L$1002&lt;&gt;""),0),0)),"")</f>
        <v>四部</v>
      </c>
      <c r="L225" s="15" t="str">
        <f>IFERROR(INDEX(原始数据!$M$3:$M$1002,MATCH(1,INDEX((原始数据!$D$3:$D$1002="HT20251104")*(原始数据!$M$3:$M$1002&lt;&gt;""),0),0)),"")</f>
        <v>罗刚</v>
      </c>
      <c r="M225" s="14" t="str">
        <f>IFERROR(INDEX(原始数据!$N$3:$N$1002,MATCH(1,INDEX((原始数据!$D$3:$D$1002="HT20251104")*(原始数据!$N$3:$N$1002&lt;&gt;""),0),0)),"")</f>
        <v>2-3年</v>
      </c>
      <c r="N225" s="14" t="inlineStr"/>
    </row>
    <row r="226">
      <c r="A226" s="18">
        <f>ROW()-2</f>
        <v>224</v>
      </c>
      <c r="B226" s="19" t="str">
        <f>IFERROR(INDEX(原始数据!$B$3:$B$1002,MATCH(1,INDEX((原始数据!$D$3:$D$1002="HT20251106")*(原始数据!$B$3:$B$1002&lt;&gt;""),0),0)),"")</f>
        <v>华北-内蒙古</v>
      </c>
      <c r="C226" s="19" t="str">
        <f>IFERROR(INDEX(原始数据!$C$3:$C$1002,MATCH(1,INDEX((原始数据!$D$3:$D$1002="HT20251106")*(原始数据!$C$3:$C$1002&lt;&gt;""),0),0)),"")</f>
        <v>监察司法机关</v>
      </c>
      <c r="D226" s="20" t="inlineStr">
        <is>
          <t>HT20251106</t>
        </is>
      </c>
      <c r="E226" s="21">
        <f>IFERROR(INDEX(原始数据!$E$3:$E$1002,MATCH(1,INDEX((原始数据!$D$3:$D$1002="HT20251106")*(原始数据!$E$3:$E$1002&lt;&gt;""),0),0)),"")</f>
        <v>20260202</v>
      </c>
      <c r="F226" s="22">
        <f>SUMIFS(原始数据!$F$3:$F$1002,原始数据!$D$3:$D$1002,"HT20251106")</f>
        <v>2717.789</v>
      </c>
      <c r="G226" s="22">
        <f>SUMIFS(原始数据!$H$3:$H$1002,原始数据!$D$3:$D$1002,"HT20251106")</f>
        <v>1883.2099999999998</v>
      </c>
      <c r="H226" s="22">
        <f>SUMIFS(原始数据!$I$3:$I$1002,原始数据!$D$3:$D$1002,"HT20251106")</f>
        <v>834.5790000000001</v>
      </c>
      <c r="I226" s="22">
        <f>SUMIFS(原始数据!$J$3:$J$1002,原始数据!$D$3:$D$1002,"HT20251106")</f>
        <v>569.154</v>
      </c>
      <c r="J226" s="22">
        <f>SUMIFS(原始数据!$K$3:$K$1002,原始数据!$D$3:$D$1002,"HT20251106")</f>
        <v>265.425</v>
      </c>
      <c r="K226" s="19" t="str">
        <f>IFERROR(INDEX(原始数据!$L$3:$L$1002,MATCH(1,INDEX((原始数据!$D$3:$D$1002="HT20251106")*(原始数据!$L$3:$L$1002&lt;&gt;""),0),0)),"")</f>
        <v>三部</v>
      </c>
      <c r="L226" s="20" t="str">
        <f>IFERROR(INDEX(原始数据!$M$3:$M$1002,MATCH(1,INDEX((原始数据!$D$3:$D$1002="HT20251106")*(原始数据!$M$3:$M$1002&lt;&gt;""),0),0)),"")</f>
        <v>徐涛</v>
      </c>
      <c r="M226" s="19" t="str">
        <f>IFERROR(INDEX(原始数据!$N$3:$N$1002,MATCH(1,INDEX((原始数据!$D$3:$D$1002="HT20251106")*(原始数据!$N$3:$N$1002&lt;&gt;""),0),0)),"")</f>
        <v>1-2年</v>
      </c>
      <c r="N226" s="19" t="inlineStr"/>
    </row>
    <row r="227">
      <c r="A227" s="13">
        <f>ROW()-2</f>
        <v>225</v>
      </c>
      <c r="B227" s="14" t="str">
        <f>IFERROR(INDEX(原始数据!$B$3:$B$1002,MATCH(1,INDEX((原始数据!$D$3:$D$1002="HT20251108")*(原始数据!$B$3:$B$1002&lt;&gt;""),0),0)),"")</f>
        <v>华北-北京</v>
      </c>
      <c r="C227" s="14" t="str">
        <f>IFERROR(INDEX(原始数据!$C$3:$C$1002,MATCH(1,INDEX((原始数据!$D$3:$D$1002="HT20251108")*(原始数据!$C$3:$C$1002&lt;&gt;""),0),0)),"")</f>
        <v>监察司法机关</v>
      </c>
      <c r="D227" s="15" t="inlineStr">
        <is>
          <t>HT20251108</t>
        </is>
      </c>
      <c r="E227" s="16">
        <f>IFERROR(INDEX(原始数据!$E$3:$E$1002,MATCH(1,INDEX((原始数据!$D$3:$D$1002="HT20251108")*(原始数据!$E$3:$E$1002&lt;&gt;""),0),0)),"")</f>
        <v>20260328</v>
      </c>
      <c r="F227" s="17">
        <f>SUMIFS(原始数据!$F$3:$F$1002,原始数据!$D$3:$D$1002,"HT20251108")</f>
        <v>185.621</v>
      </c>
      <c r="G227" s="17">
        <f>SUMIFS(原始数据!$H$3:$H$1002,原始数据!$D$3:$D$1002,"HT20251108")</f>
        <v>112.69</v>
      </c>
      <c r="H227" s="17">
        <f>SUMIFS(原始数据!$I$3:$I$1002,原始数据!$D$3:$D$1002,"HT20251108")</f>
        <v>72.931</v>
      </c>
      <c r="I227" s="17">
        <f>SUMIFS(原始数据!$J$3:$J$1002,原始数据!$D$3:$D$1002,"HT20251108")</f>
        <v>56.797</v>
      </c>
      <c r="J227" s="17">
        <f>SUMIFS(原始数据!$K$3:$K$1002,原始数据!$D$3:$D$1002,"HT20251108")</f>
        <v>16.134</v>
      </c>
      <c r="K227" s="14" t="str">
        <f>IFERROR(INDEX(原始数据!$L$3:$L$1002,MATCH(1,INDEX((原始数据!$D$3:$D$1002="HT20251108")*(原始数据!$L$3:$L$1002&lt;&gt;""),0),0)),"")</f>
        <v>四部</v>
      </c>
      <c r="L227" s="15" t="str">
        <f>IFERROR(INDEX(原始数据!$M$3:$M$1002,MATCH(1,INDEX((原始数据!$D$3:$D$1002="HT20251108")*(原始数据!$M$3:$M$1002&lt;&gt;""),0),0)),"")</f>
        <v>何萍</v>
      </c>
      <c r="M227" s="14" t="str">
        <f>IFERROR(INDEX(原始数据!$N$3:$N$1002,MATCH(1,INDEX((原始数据!$D$3:$D$1002="HT20251108")*(原始数据!$N$3:$N$1002&lt;&gt;""),0),0)),"")</f>
        <v>1年以内</v>
      </c>
      <c r="N227" s="14" t="inlineStr"/>
    </row>
    <row r="228">
      <c r="A228" s="18">
        <f>ROW()-2</f>
        <v>226</v>
      </c>
      <c r="B228" s="19" t="str">
        <f>IFERROR(INDEX(原始数据!$B$3:$B$1002,MATCH(1,INDEX((原始数据!$D$3:$D$1002="HT20251109")*(原始数据!$B$3:$B$1002&lt;&gt;""),0),0)),"")</f>
        <v>华南-广西</v>
      </c>
      <c r="C228" s="19" t="str">
        <f>IFERROR(INDEX(原始数据!$C$3:$C$1002,MATCH(1,INDEX((原始数据!$D$3:$D$1002="HT20251109")*(原始数据!$C$3:$C$1002&lt;&gt;""),0),0)),"")</f>
        <v>基层自治组织</v>
      </c>
      <c r="D228" s="20" t="inlineStr">
        <is>
          <t>HT20251109</t>
        </is>
      </c>
      <c r="E228" s="21">
        <f>IFERROR(INDEX(原始数据!$E$3:$E$1002,MATCH(1,INDEX((原始数据!$D$3:$D$1002="HT20251109")*(原始数据!$E$3:$E$1002&lt;&gt;""),0),0)),"")</f>
        <v>20260906</v>
      </c>
      <c r="F228" s="22">
        <f>SUMIFS(原始数据!$F$3:$F$1002,原始数据!$D$3:$D$1002,"HT20251109")</f>
        <v>654.504</v>
      </c>
      <c r="G228" s="22">
        <f>SUMIFS(原始数据!$H$3:$H$1002,原始数据!$D$3:$D$1002,"HT20251109")</f>
        <v>309.16900000000004</v>
      </c>
      <c r="H228" s="22">
        <f>SUMIFS(原始数据!$I$3:$I$1002,原始数据!$D$3:$D$1002,"HT20251109")</f>
        <v>345.335</v>
      </c>
      <c r="I228" s="22">
        <f>SUMIFS(原始数据!$J$3:$J$1002,原始数据!$D$3:$D$1002,"HT20251109")</f>
        <v>259.985</v>
      </c>
      <c r="J228" s="22">
        <f>SUMIFS(原始数据!$K$3:$K$1002,原始数据!$D$3:$D$1002,"HT20251109")</f>
        <v>85.35</v>
      </c>
      <c r="K228" s="19" t="str">
        <f>IFERROR(INDEX(原始数据!$L$3:$L$1002,MATCH(1,INDEX((原始数据!$D$3:$D$1002="HT20251109")*(原始数据!$L$3:$L$1002&lt;&gt;""),0),0)),"")</f>
        <v>九部</v>
      </c>
      <c r="L228" s="20" t="str">
        <f>IFERROR(INDEX(原始数据!$M$3:$M$1002,MATCH(1,INDEX((原始数据!$D$3:$D$1002="HT20251109")*(原始数据!$M$3:$M$1002&lt;&gt;""),0),0)),"")</f>
        <v>蒋涛</v>
      </c>
      <c r="M228" s="19" t="str">
        <f>IFERROR(INDEX(原始数据!$N$3:$N$1002,MATCH(1,INDEX((原始数据!$D$3:$D$1002="HT20251109")*(原始数据!$N$3:$N$1002&lt;&gt;""),0),0)),"")</f>
        <v>2-3年</v>
      </c>
      <c r="N228" s="19" t="inlineStr"/>
    </row>
    <row r="229">
      <c r="A229" s="13">
        <f>ROW()-2</f>
        <v>227</v>
      </c>
      <c r="B229" s="14" t="str">
        <f>IFERROR(INDEX(原始数据!$B$3:$B$1002,MATCH(1,INDEX((原始数据!$D$3:$D$1002="HT20251110")*(原始数据!$B$3:$B$1002&lt;&gt;""),0),0)),"")</f>
        <v>华北-内蒙古</v>
      </c>
      <c r="C229" s="14" t="str">
        <f>IFERROR(INDEX(原始数据!$C$3:$C$1002,MATCH(1,INDEX((原始数据!$D$3:$D$1002="HT20251110")*(原始数据!$C$3:$C$1002&lt;&gt;""),0),0)),"")</f>
        <v>党委机关</v>
      </c>
      <c r="D229" s="15" t="inlineStr">
        <is>
          <t>HT20251110</t>
        </is>
      </c>
      <c r="E229" s="16">
        <f>IFERROR(INDEX(原始数据!$E$3:$E$1002,MATCH(1,INDEX((原始数据!$D$3:$D$1002="HT20251110")*(原始数据!$E$3:$E$1002&lt;&gt;""),0),0)),"")</f>
        <v>20260120</v>
      </c>
      <c r="F229" s="17">
        <f>SUMIFS(原始数据!$F$3:$F$1002,原始数据!$D$3:$D$1002,"HT20251110")</f>
        <v>933.375</v>
      </c>
      <c r="G229" s="17">
        <f>SUMIFS(原始数据!$H$3:$H$1002,原始数据!$D$3:$D$1002,"HT20251110")</f>
        <v>702.029</v>
      </c>
      <c r="H229" s="17">
        <f>SUMIFS(原始数据!$I$3:$I$1002,原始数据!$D$3:$D$1002,"HT20251110")</f>
        <v>231.346</v>
      </c>
      <c r="I229" s="17">
        <f>SUMIFS(原始数据!$J$3:$J$1002,原始数据!$D$3:$D$1002,"HT20251110")</f>
        <v>110.544</v>
      </c>
      <c r="J229" s="17">
        <f>SUMIFS(原始数据!$K$3:$K$1002,原始数据!$D$3:$D$1002,"HT20251110")</f>
        <v>120.80199999999999</v>
      </c>
      <c r="K229" s="14" t="str">
        <f>IFERROR(INDEX(原始数据!$L$3:$L$1002,MATCH(1,INDEX((原始数据!$D$3:$D$1002="HT20251110")*(原始数据!$L$3:$L$1002&lt;&gt;""),0),0)),"")</f>
        <v>一部</v>
      </c>
      <c r="L229" s="15" t="str">
        <f>IFERROR(INDEX(原始数据!$M$3:$M$1002,MATCH(1,INDEX((原始数据!$D$3:$D$1002="HT20251110")*(原始数据!$M$3:$M$1002&lt;&gt;""),0),0)),"")</f>
        <v>陈静</v>
      </c>
      <c r="M229" s="14" t="str">
        <f>IFERROR(INDEX(原始数据!$N$3:$N$1002,MATCH(1,INDEX((原始数据!$D$3:$D$1002="HT20251110")*(原始数据!$N$3:$N$1002&lt;&gt;""),0),0)),"")</f>
        <v>1-2年</v>
      </c>
      <c r="N229" s="14" t="inlineStr"/>
    </row>
    <row r="230">
      <c r="A230" s="18">
        <f>ROW()-2</f>
        <v>228</v>
      </c>
      <c r="B230" s="19" t="str">
        <f>IFERROR(INDEX(原始数据!$B$3:$B$1002,MATCH(1,INDEX((原始数据!$D$3:$D$1002="HT20251111")*(原始数据!$B$3:$B$1002&lt;&gt;""),0),0)),"")</f>
        <v>东北-黑龙江</v>
      </c>
      <c r="C230" s="19" t="str">
        <f>IFERROR(INDEX(原始数据!$C$3:$C$1002,MATCH(1,INDEX((原始数据!$D$3:$D$1002="HT20251111")*(原始数据!$C$3:$C$1002&lt;&gt;""),0),0)),"")</f>
        <v>事业单位</v>
      </c>
      <c r="D230" s="20" t="inlineStr">
        <is>
          <t>HT20251111</t>
        </is>
      </c>
      <c r="E230" s="21">
        <f>IFERROR(INDEX(原始数据!$E$3:$E$1002,MATCH(1,INDEX((原始数据!$D$3:$D$1002="HT20251111")*(原始数据!$E$3:$E$1002&lt;&gt;""),0),0)),"")</f>
        <v>20260812</v>
      </c>
      <c r="F230" s="22">
        <f>SUMIFS(原始数据!$F$3:$F$1002,原始数据!$D$3:$D$1002,"HT20251111")</f>
        <v>1834.9360000000001</v>
      </c>
      <c r="G230" s="22">
        <f>SUMIFS(原始数据!$H$3:$H$1002,原始数据!$D$3:$D$1002,"HT20251111")</f>
        <v>1066.718</v>
      </c>
      <c r="H230" s="22">
        <f>SUMIFS(原始数据!$I$3:$I$1002,原始数据!$D$3:$D$1002,"HT20251111")</f>
        <v>768.218</v>
      </c>
      <c r="I230" s="22">
        <f>SUMIFS(原始数据!$J$3:$J$1002,原始数据!$D$3:$D$1002,"HT20251111")</f>
        <v>675.263</v>
      </c>
      <c r="J230" s="22">
        <f>SUMIFS(原始数据!$K$3:$K$1002,原始数据!$D$3:$D$1002,"HT20251111")</f>
        <v>92.955</v>
      </c>
      <c r="K230" s="19" t="str">
        <f>IFERROR(INDEX(原始数据!$L$3:$L$1002,MATCH(1,INDEX((原始数据!$D$3:$D$1002="HT20251111")*(原始数据!$L$3:$L$1002&lt;&gt;""),0),0)),"")</f>
        <v>一部</v>
      </c>
      <c r="L230" s="20" t="str">
        <f>IFERROR(INDEX(原始数据!$M$3:$M$1002,MATCH(1,INDEX((原始数据!$D$3:$D$1002="HT20251111")*(原始数据!$M$3:$M$1002&lt;&gt;""),0),0)),"")</f>
        <v>刘洋</v>
      </c>
      <c r="M230" s="19" t="str">
        <f>IFERROR(INDEX(原始数据!$N$3:$N$1002,MATCH(1,INDEX((原始数据!$D$3:$D$1002="HT20251111")*(原始数据!$N$3:$N$1002&lt;&gt;""),0),0)),"")</f>
        <v>1-2年</v>
      </c>
      <c r="N230" s="19" t="inlineStr"/>
    </row>
    <row r="231">
      <c r="A231" s="13">
        <f>ROW()-2</f>
        <v>229</v>
      </c>
      <c r="B231" s="14" t="str">
        <f>IFERROR(INDEX(原始数据!$B$3:$B$1002,MATCH(1,INDEX((原始数据!$D$3:$D$1002="HT20251112")*(原始数据!$B$3:$B$1002&lt;&gt;""),0),0)),"")</f>
        <v>华南-澳门</v>
      </c>
      <c r="C231" s="14" t="str">
        <f>IFERROR(INDEX(原始数据!$C$3:$C$1002,MATCH(1,INDEX((原始数据!$D$3:$D$1002="HT20251112")*(原始数据!$C$3:$C$1002&lt;&gt;""),0),0)),"")</f>
        <v>监察司法机关</v>
      </c>
      <c r="D231" s="15" t="inlineStr">
        <is>
          <t>HT20251112</t>
        </is>
      </c>
      <c r="E231" s="16">
        <f>IFERROR(INDEX(原始数据!$E$3:$E$1002,MATCH(1,INDEX((原始数据!$D$3:$D$1002="HT20251112")*(原始数据!$E$3:$E$1002&lt;&gt;""),0),0)),"")</f>
        <v>20260514</v>
      </c>
      <c r="F231" s="17">
        <f>SUMIFS(原始数据!$F$3:$F$1002,原始数据!$D$3:$D$1002,"HT20251112")</f>
        <v>63.072</v>
      </c>
      <c r="G231" s="17">
        <f>SUMIFS(原始数据!$H$3:$H$1002,原始数据!$D$3:$D$1002,"HT20251112")</f>
        <v>39.482</v>
      </c>
      <c r="H231" s="17">
        <f>SUMIFS(原始数据!$I$3:$I$1002,原始数据!$D$3:$D$1002,"HT20251112")</f>
        <v>23.59</v>
      </c>
      <c r="I231" s="17">
        <f>SUMIFS(原始数据!$J$3:$J$1002,原始数据!$D$3:$D$1002,"HT20251112")</f>
        <v>9.167</v>
      </c>
      <c r="J231" s="17">
        <f>SUMIFS(原始数据!$K$3:$K$1002,原始数据!$D$3:$D$1002,"HT20251112")</f>
        <v>14.423</v>
      </c>
      <c r="K231" s="14" t="str">
        <f>IFERROR(INDEX(原始数据!$L$3:$L$1002,MATCH(1,INDEX((原始数据!$D$3:$D$1002="HT20251112")*(原始数据!$L$3:$L$1002&lt;&gt;""),0),0)),"")</f>
        <v>十部</v>
      </c>
      <c r="L231" s="15" t="str">
        <f>IFERROR(INDEX(原始数据!$M$3:$M$1002,MATCH(1,INDEX((原始数据!$D$3:$D$1002="HT20251112")*(原始数据!$M$3:$M$1002&lt;&gt;""),0),0)),"")</f>
        <v>薛峰</v>
      </c>
      <c r="M231" s="14" t="str">
        <f>IFERROR(INDEX(原始数据!$N$3:$N$1002,MATCH(1,INDEX((原始数据!$D$3:$D$1002="HT20251112")*(原始数据!$N$3:$N$1002&lt;&gt;""),0),0)),"")</f>
        <v>2-3年</v>
      </c>
      <c r="N231" s="14" t="inlineStr"/>
    </row>
    <row r="232">
      <c r="A232" s="18">
        <f>ROW()-2</f>
        <v>230</v>
      </c>
      <c r="B232" s="19" t="str">
        <f>IFERROR(INDEX(原始数据!$B$3:$B$1002,MATCH(1,INDEX((原始数据!$D$3:$D$1002="HT20251113")*(原始数据!$B$3:$B$1002&lt;&gt;""),0),0)),"")</f>
        <v>西南-西藏</v>
      </c>
      <c r="C232" s="19" t="str">
        <f>IFERROR(INDEX(原始数据!$C$3:$C$1002,MATCH(1,INDEX((原始数据!$D$3:$D$1002="HT20251113")*(原始数据!$C$3:$C$1002&lt;&gt;""),0),0)),"")</f>
        <v>人大政协</v>
      </c>
      <c r="D232" s="20" t="inlineStr">
        <is>
          <t>HT20251113</t>
        </is>
      </c>
      <c r="E232" s="21">
        <f>IFERROR(INDEX(原始数据!$E$3:$E$1002,MATCH(1,INDEX((原始数据!$D$3:$D$1002="HT20251113")*(原始数据!$E$3:$E$1002&lt;&gt;""),0),0)),"")</f>
        <v>20260621</v>
      </c>
      <c r="F232" s="22">
        <f>SUMIFS(原始数据!$F$3:$F$1002,原始数据!$D$3:$D$1002,"HT20251113")</f>
        <v>278.819</v>
      </c>
      <c r="G232" s="22">
        <f>SUMIFS(原始数据!$H$3:$H$1002,原始数据!$D$3:$D$1002,"HT20251113")</f>
        <v>60.521</v>
      </c>
      <c r="H232" s="22">
        <f>SUMIFS(原始数据!$I$3:$I$1002,原始数据!$D$3:$D$1002,"HT20251113")</f>
        <v>218.298</v>
      </c>
      <c r="I232" s="22">
        <f>SUMIFS(原始数据!$J$3:$J$1002,原始数据!$D$3:$D$1002,"HT20251113")</f>
        <v>32.017</v>
      </c>
      <c r="J232" s="22">
        <f>SUMIFS(原始数据!$K$3:$K$1002,原始数据!$D$3:$D$1002,"HT20251113")</f>
        <v>186.281</v>
      </c>
      <c r="K232" s="19" t="str">
        <f>IFERROR(INDEX(原始数据!$L$3:$L$1002,MATCH(1,INDEX((原始数据!$D$3:$D$1002="HT20251113")*(原始数据!$L$3:$L$1002&lt;&gt;""),0),0)),"")</f>
        <v>四部</v>
      </c>
      <c r="L232" s="20" t="str">
        <f>IFERROR(INDEX(原始数据!$M$3:$M$1002,MATCH(1,INDEX((原始数据!$D$3:$D$1002="HT20251113")*(原始数据!$M$3:$M$1002&lt;&gt;""),0),0)),"")</f>
        <v>罗刚</v>
      </c>
      <c r="M232" s="19" t="str">
        <f>IFERROR(INDEX(原始数据!$N$3:$N$1002,MATCH(1,INDEX((原始数据!$D$3:$D$1002="HT20251113")*(原始数据!$N$3:$N$1002&lt;&gt;""),0),0)),"")</f>
        <v>2-3年</v>
      </c>
      <c r="N232" s="19" t="inlineStr"/>
    </row>
    <row r="233">
      <c r="A233" s="13">
        <f>ROW()-2</f>
        <v>231</v>
      </c>
      <c r="B233" s="14" t="str">
        <f>IFERROR(INDEX(原始数据!$B$3:$B$1002,MATCH(1,INDEX((原始数据!$D$3:$D$1002="HT20251114")*(原始数据!$B$3:$B$1002&lt;&gt;""),0),0)),"")</f>
        <v>华北-河北</v>
      </c>
      <c r="C233" s="14" t="str">
        <f>IFERROR(INDEX(原始数据!$C$3:$C$1002,MATCH(1,INDEX((原始数据!$D$3:$D$1002="HT20251114")*(原始数据!$C$3:$C$1002&lt;&gt;""),0),0)),"")</f>
        <v>监察司法机关</v>
      </c>
      <c r="D233" s="15" t="inlineStr">
        <is>
          <t>HT20251114</t>
        </is>
      </c>
      <c r="E233" s="16">
        <f>IFERROR(INDEX(原始数据!$E$3:$E$1002,MATCH(1,INDEX((原始数据!$D$3:$D$1002="HT20251114")*(原始数据!$E$3:$E$1002&lt;&gt;""),0),0)),"")</f>
        <v>20260717</v>
      </c>
      <c r="F233" s="17">
        <f>SUMIFS(原始数据!$F$3:$F$1002,原始数据!$D$3:$D$1002,"HT20251114")</f>
        <v>816.146</v>
      </c>
      <c r="G233" s="17">
        <f>SUMIFS(原始数据!$H$3:$H$1002,原始数据!$D$3:$D$1002,"HT20251114")</f>
        <v>812.583</v>
      </c>
      <c r="H233" s="17">
        <f>SUMIFS(原始数据!$I$3:$I$1002,原始数据!$D$3:$D$1002,"HT20251114")</f>
        <v>3.563</v>
      </c>
      <c r="I233" s="17">
        <f>SUMIFS(原始数据!$J$3:$J$1002,原始数据!$D$3:$D$1002,"HT20251114")</f>
        <v>1.863</v>
      </c>
      <c r="J233" s="17">
        <f>SUMIFS(原始数据!$K$3:$K$1002,原始数据!$D$3:$D$1002,"HT20251114")</f>
        <v>1.7</v>
      </c>
      <c r="K233" s="14" t="str">
        <f>IFERROR(INDEX(原始数据!$L$3:$L$1002,MATCH(1,INDEX((原始数据!$D$3:$D$1002="HT20251114")*(原始数据!$L$3:$L$1002&lt;&gt;""),0),0)),"")</f>
        <v>一部</v>
      </c>
      <c r="L233" s="15" t="str">
        <f>IFERROR(INDEX(原始数据!$M$3:$M$1002,MATCH(1,INDEX((原始数据!$D$3:$D$1002="HT20251114")*(原始数据!$M$3:$M$1002&lt;&gt;""),0),0)),"")</f>
        <v>刘洋</v>
      </c>
      <c r="M233" s="14" t="str">
        <f>IFERROR(INDEX(原始数据!$N$3:$N$1002,MATCH(1,INDEX((原始数据!$D$3:$D$1002="HT20251114")*(原始数据!$N$3:$N$1002&lt;&gt;""),0),0)),"")</f>
        <v>1年以内</v>
      </c>
      <c r="N233" s="14" t="inlineStr"/>
    </row>
    <row r="234">
      <c r="A234" s="18">
        <f>ROW()-2</f>
        <v>232</v>
      </c>
      <c r="B234" s="19" t="str">
        <f>IFERROR(INDEX(原始数据!$B$3:$B$1002,MATCH(1,INDEX((原始数据!$D$3:$D$1002="HT20251116")*(原始数据!$B$3:$B$1002&lt;&gt;""),0),0)),"")</f>
        <v>华东-安徽</v>
      </c>
      <c r="C234" s="19" t="str">
        <f>IFERROR(INDEX(原始数据!$C$3:$C$1002,MATCH(1,INDEX((原始数据!$D$3:$D$1002="HT20251116")*(原始数据!$C$3:$C$1002&lt;&gt;""),0),0)),"")</f>
        <v>基层自治组织</v>
      </c>
      <c r="D234" s="20" t="inlineStr">
        <is>
          <t>HT20251116</t>
        </is>
      </c>
      <c r="E234" s="21">
        <f>IFERROR(INDEX(原始数据!$E$3:$E$1002,MATCH(1,INDEX((原始数据!$D$3:$D$1002="HT20251116")*(原始数据!$E$3:$E$1002&lt;&gt;""),0),0)),"")</f>
        <v>20260717</v>
      </c>
      <c r="F234" s="22">
        <f>SUMIFS(原始数据!$F$3:$F$1002,原始数据!$D$3:$D$1002,"HT20251116")</f>
        <v>239.938</v>
      </c>
      <c r="G234" s="22">
        <f>SUMIFS(原始数据!$H$3:$H$1002,原始数据!$D$3:$D$1002,"HT20251116")</f>
        <v>80.313</v>
      </c>
      <c r="H234" s="22">
        <f>SUMIFS(原始数据!$I$3:$I$1002,原始数据!$D$3:$D$1002,"HT20251116")</f>
        <v>159.625</v>
      </c>
      <c r="I234" s="22">
        <f>SUMIFS(原始数据!$J$3:$J$1002,原始数据!$D$3:$D$1002,"HT20251116")</f>
        <v>132.491</v>
      </c>
      <c r="J234" s="22">
        <f>SUMIFS(原始数据!$K$3:$K$1002,原始数据!$D$3:$D$1002,"HT20251116")</f>
        <v>27.134</v>
      </c>
      <c r="K234" s="19" t="str">
        <f>IFERROR(INDEX(原始数据!$L$3:$L$1002,MATCH(1,INDEX((原始数据!$D$3:$D$1002="HT20251116")*(原始数据!$L$3:$L$1002&lt;&gt;""),0),0)),"")</f>
        <v>四部</v>
      </c>
      <c r="L234" s="20" t="str">
        <f>IFERROR(INDEX(原始数据!$M$3:$M$1002,MATCH(1,INDEX((原始数据!$D$3:$D$1002="HT20251116")*(原始数据!$M$3:$M$1002&lt;&gt;""),0),0)),"")</f>
        <v>郭鹏</v>
      </c>
      <c r="M234" s="19" t="str">
        <f>IFERROR(INDEX(原始数据!$N$3:$N$1002,MATCH(1,INDEX((原始数据!$D$3:$D$1002="HT20251116")*(原始数据!$N$3:$N$1002&lt;&gt;""),0),0)),"")</f>
        <v>2-3年</v>
      </c>
      <c r="N234" s="19" t="inlineStr"/>
    </row>
    <row r="235">
      <c r="A235" s="13">
        <f>ROW()-2</f>
        <v>233</v>
      </c>
      <c r="B235" s="14" t="str">
        <f>IFERROR(INDEX(原始数据!$B$3:$B$1002,MATCH(1,INDEX((原始数据!$D$3:$D$1002="HT20251117")*(原始数据!$B$3:$B$1002&lt;&gt;""),0),0)),"")</f>
        <v>华东-福建</v>
      </c>
      <c r="C235" s="14" t="str">
        <f>IFERROR(INDEX(原始数据!$C$3:$C$1002,MATCH(1,INDEX((原始数据!$D$3:$D$1002="HT20251117")*(原始数据!$C$3:$C$1002&lt;&gt;""),0),0)),"")</f>
        <v>人大政协</v>
      </c>
      <c r="D235" s="15" t="inlineStr">
        <is>
          <t>HT20251117</t>
        </is>
      </c>
      <c r="E235" s="16">
        <f>IFERROR(INDEX(原始数据!$E$3:$E$1002,MATCH(1,INDEX((原始数据!$D$3:$D$1002="HT20251117")*(原始数据!$E$3:$E$1002&lt;&gt;""),0),0)),"")</f>
        <v>20260308</v>
      </c>
      <c r="F235" s="17">
        <f>SUMIFS(原始数据!$F$3:$F$1002,原始数据!$D$3:$D$1002,"HT20251117")</f>
        <v>810.944</v>
      </c>
      <c r="G235" s="17">
        <f>SUMIFS(原始数据!$H$3:$H$1002,原始数据!$D$3:$D$1002,"HT20251117")</f>
        <v>685.467</v>
      </c>
      <c r="H235" s="17">
        <f>SUMIFS(原始数据!$I$3:$I$1002,原始数据!$D$3:$D$1002,"HT20251117")</f>
        <v>125.47699999999999</v>
      </c>
      <c r="I235" s="17">
        <f>SUMIFS(原始数据!$J$3:$J$1002,原始数据!$D$3:$D$1002,"HT20251117")</f>
        <v>87.42999999999999</v>
      </c>
      <c r="J235" s="17">
        <f>SUMIFS(原始数据!$K$3:$K$1002,原始数据!$D$3:$D$1002,"HT20251117")</f>
        <v>38.047000000000004</v>
      </c>
      <c r="K235" s="14" t="str">
        <f>IFERROR(INDEX(原始数据!$L$3:$L$1002,MATCH(1,INDEX((原始数据!$D$3:$D$1002="HT20251117")*(原始数据!$L$3:$L$1002&lt;&gt;""),0),0)),"")</f>
        <v>二部</v>
      </c>
      <c r="L235" s="15" t="str">
        <f>IFERROR(INDEX(原始数据!$M$3:$M$1002,MATCH(1,INDEX((原始数据!$D$3:$D$1002="HT20251117")*(原始数据!$M$3:$M$1002&lt;&gt;""),0),0)),"")</f>
        <v>黄强</v>
      </c>
      <c r="M235" s="14" t="str">
        <f>IFERROR(INDEX(原始数据!$N$3:$N$1002,MATCH(1,INDEX((原始数据!$D$3:$D$1002="HT20251117")*(原始数据!$N$3:$N$1002&lt;&gt;""),0),0)),"")</f>
        <v>1-2年</v>
      </c>
      <c r="N235" s="14" t="inlineStr"/>
    </row>
    <row r="236">
      <c r="A236" s="18">
        <f>ROW()-2</f>
        <v>234</v>
      </c>
      <c r="B236" s="19" t="str">
        <f>IFERROR(INDEX(原始数据!$B$3:$B$1002,MATCH(1,INDEX((原始数据!$D$3:$D$1002="HT20251118")*(原始数据!$B$3:$B$1002&lt;&gt;""),0),0)),"")</f>
        <v>西南-重庆</v>
      </c>
      <c r="C236" s="19" t="str">
        <f>IFERROR(INDEX(原始数据!$C$3:$C$1002,MATCH(1,INDEX((原始数据!$D$3:$D$1002="HT20251118")*(原始数据!$C$3:$C$1002&lt;&gt;""),0),0)),"")</f>
        <v>党委机关</v>
      </c>
      <c r="D236" s="20" t="inlineStr">
        <is>
          <t>HT20251118</t>
        </is>
      </c>
      <c r="E236" s="21">
        <f>IFERROR(INDEX(原始数据!$E$3:$E$1002,MATCH(1,INDEX((原始数据!$D$3:$D$1002="HT20251118")*(原始数据!$E$3:$E$1002&lt;&gt;""),0),0)),"")</f>
        <v>20260905</v>
      </c>
      <c r="F236" s="22">
        <f>SUMIFS(原始数据!$F$3:$F$1002,原始数据!$D$3:$D$1002,"HT20251118")</f>
        <v>951.361</v>
      </c>
      <c r="G236" s="22">
        <f>SUMIFS(原始数据!$H$3:$H$1002,原始数据!$D$3:$D$1002,"HT20251118")</f>
        <v>656.933</v>
      </c>
      <c r="H236" s="22">
        <f>SUMIFS(原始数据!$I$3:$I$1002,原始数据!$D$3:$D$1002,"HT20251118")</f>
        <v>294.428</v>
      </c>
      <c r="I236" s="22">
        <f>SUMIFS(原始数据!$J$3:$J$1002,原始数据!$D$3:$D$1002,"HT20251118")</f>
        <v>158.158</v>
      </c>
      <c r="J236" s="22">
        <f>SUMIFS(原始数据!$K$3:$K$1002,原始数据!$D$3:$D$1002,"HT20251118")</f>
        <v>136.27</v>
      </c>
      <c r="K236" s="19" t="str">
        <f>IFERROR(INDEX(原始数据!$L$3:$L$1002,MATCH(1,INDEX((原始数据!$D$3:$D$1002="HT20251118")*(原始数据!$L$3:$L$1002&lt;&gt;""),0),0)),"")</f>
        <v>五部</v>
      </c>
      <c r="L236" s="20" t="str">
        <f>IFERROR(INDEX(原始数据!$M$3:$M$1002,MATCH(1,INDEX((原始数据!$D$3:$D$1002="HT20251118")*(原始数据!$M$3:$M$1002&lt;&gt;""),0),0)),"")</f>
        <v>谢峰</v>
      </c>
      <c r="M236" s="19" t="str">
        <f>IFERROR(INDEX(原始数据!$N$3:$N$1002,MATCH(1,INDEX((原始数据!$D$3:$D$1002="HT20251118")*(原始数据!$N$3:$N$1002&lt;&gt;""),0),0)),"")</f>
        <v>2-3年</v>
      </c>
      <c r="N236" s="19" t="inlineStr"/>
    </row>
    <row r="237">
      <c r="A237" s="13">
        <f>ROW()-2</f>
        <v>235</v>
      </c>
      <c r="B237" s="14" t="str">
        <f>IFERROR(INDEX(原始数据!$B$3:$B$1002,MATCH(1,INDEX((原始数据!$D$3:$D$1002="HT20251119")*(原始数据!$B$3:$B$1002&lt;&gt;""),0),0)),"")</f>
        <v>西南-重庆</v>
      </c>
      <c r="C237" s="14" t="str">
        <f>IFERROR(INDEX(原始数据!$C$3:$C$1002,MATCH(1,INDEX((原始数据!$D$3:$D$1002="HT20251119")*(原始数据!$C$3:$C$1002&lt;&gt;""),0),0)),"")</f>
        <v>政府机关</v>
      </c>
      <c r="D237" s="15" t="inlineStr">
        <is>
          <t>HT20251119</t>
        </is>
      </c>
      <c r="E237" s="16">
        <f>IFERROR(INDEX(原始数据!$E$3:$E$1002,MATCH(1,INDEX((原始数据!$D$3:$D$1002="HT20251119")*(原始数据!$E$3:$E$1002&lt;&gt;""),0),0)),"")</f>
        <v>20260513</v>
      </c>
      <c r="F237" s="17">
        <f>SUMIFS(原始数据!$F$3:$F$1002,原始数据!$D$3:$D$1002,"HT20251119")</f>
        <v>321.795</v>
      </c>
      <c r="G237" s="17">
        <f>SUMIFS(原始数据!$H$3:$H$1002,原始数据!$D$3:$D$1002,"HT20251119")</f>
        <v>38.505</v>
      </c>
      <c r="H237" s="17">
        <f>SUMIFS(原始数据!$I$3:$I$1002,原始数据!$D$3:$D$1002,"HT20251119")</f>
        <v>283.29</v>
      </c>
      <c r="I237" s="17">
        <f>SUMIFS(原始数据!$J$3:$J$1002,原始数据!$D$3:$D$1002,"HT20251119")</f>
        <v>108.25</v>
      </c>
      <c r="J237" s="17">
        <f>SUMIFS(原始数据!$K$3:$K$1002,原始数据!$D$3:$D$1002,"HT20251119")</f>
        <v>175.04</v>
      </c>
      <c r="K237" s="14" t="str">
        <f>IFERROR(INDEX(原始数据!$L$3:$L$1002,MATCH(1,INDEX((原始数据!$D$3:$D$1002="HT20251119")*(原始数据!$L$3:$L$1002&lt;&gt;""),0),0)),"")</f>
        <v>二部</v>
      </c>
      <c r="L237" s="15" t="str">
        <f>IFERROR(INDEX(原始数据!$M$3:$M$1002,MATCH(1,INDEX((原始数据!$D$3:$D$1002="HT20251119")*(原始数据!$M$3:$M$1002&lt;&gt;""),0),0)),"")</f>
        <v>周杰</v>
      </c>
      <c r="M237" s="14" t="str">
        <f>IFERROR(INDEX(原始数据!$N$3:$N$1002,MATCH(1,INDEX((原始数据!$D$3:$D$1002="HT20251119")*(原始数据!$N$3:$N$1002&lt;&gt;""),0),0)),"")</f>
        <v>2-3年</v>
      </c>
      <c r="N237" s="14" t="inlineStr"/>
    </row>
    <row r="238">
      <c r="A238" s="18">
        <f>ROW()-2</f>
        <v>236</v>
      </c>
      <c r="B238" s="19" t="str">
        <f>IFERROR(INDEX(原始数据!$B$3:$B$1002,MATCH(1,INDEX((原始数据!$D$3:$D$1002="HT20251120")*(原始数据!$B$3:$B$1002&lt;&gt;""),0),0)),"")</f>
        <v>华东-福建</v>
      </c>
      <c r="C238" s="19" t="str">
        <f>IFERROR(INDEX(原始数据!$C$3:$C$1002,MATCH(1,INDEX((原始数据!$D$3:$D$1002="HT20251120")*(原始数据!$C$3:$C$1002&lt;&gt;""),0),0)),"")</f>
        <v>政府机关</v>
      </c>
      <c r="D238" s="20" t="inlineStr">
        <is>
          <t>HT20251120</t>
        </is>
      </c>
      <c r="E238" s="21">
        <f>IFERROR(INDEX(原始数据!$E$3:$E$1002,MATCH(1,INDEX((原始数据!$D$3:$D$1002="HT20251120")*(原始数据!$E$3:$E$1002&lt;&gt;""),0),0)),"")</f>
        <v>20260804</v>
      </c>
      <c r="F238" s="22">
        <f>SUMIFS(原始数据!$F$3:$F$1002,原始数据!$D$3:$D$1002,"HT20251120")</f>
        <v>1247.653</v>
      </c>
      <c r="G238" s="22">
        <f>SUMIFS(原始数据!$H$3:$H$1002,原始数据!$D$3:$D$1002,"HT20251120")</f>
        <v>499.515</v>
      </c>
      <c r="H238" s="22">
        <f>SUMIFS(原始数据!$I$3:$I$1002,原始数据!$D$3:$D$1002,"HT20251120")</f>
        <v>748.1379999999999</v>
      </c>
      <c r="I238" s="22">
        <f>SUMIFS(原始数据!$J$3:$J$1002,原始数据!$D$3:$D$1002,"HT20251120")</f>
        <v>615.7149999999999</v>
      </c>
      <c r="J238" s="22">
        <f>SUMIFS(原始数据!$K$3:$K$1002,原始数据!$D$3:$D$1002,"HT20251120")</f>
        <v>132.423</v>
      </c>
      <c r="K238" s="19" t="str">
        <f>IFERROR(INDEX(原始数据!$L$3:$L$1002,MATCH(1,INDEX((原始数据!$D$3:$D$1002="HT20251120")*(原始数据!$L$3:$L$1002&lt;&gt;""),0),0)),"")</f>
        <v>十部</v>
      </c>
      <c r="L238" s="20" t="str">
        <f>IFERROR(INDEX(原始数据!$M$3:$M$1002,MATCH(1,INDEX((原始数据!$D$3:$D$1002="HT20251120")*(原始数据!$M$3:$M$1002&lt;&gt;""),0),0)),"")</f>
        <v>阎莉</v>
      </c>
      <c r="M238" s="19" t="str">
        <f>IFERROR(INDEX(原始数据!$N$3:$N$1002,MATCH(1,INDEX((原始数据!$D$3:$D$1002="HT20251120")*(原始数据!$N$3:$N$1002&lt;&gt;""),0),0)),"")</f>
        <v>1年以内</v>
      </c>
      <c r="N238" s="19" t="inlineStr"/>
    </row>
    <row r="239">
      <c r="A239" s="13">
        <f>ROW()-2</f>
        <v>237</v>
      </c>
      <c r="B239" s="14" t="str">
        <f>IFERROR(INDEX(原始数据!$B$3:$B$1002,MATCH(1,INDEX((原始数据!$D$3:$D$1002="HT20251121")*(原始数据!$B$3:$B$1002&lt;&gt;""),0),0)),"")</f>
        <v>华东-江苏</v>
      </c>
      <c r="C239" s="14" t="str">
        <f>IFERROR(INDEX(原始数据!$C$3:$C$1002,MATCH(1,INDEX((原始数据!$D$3:$D$1002="HT20251121")*(原始数据!$C$3:$C$1002&lt;&gt;""),0),0)),"")</f>
        <v>事业单位</v>
      </c>
      <c r="D239" s="15" t="inlineStr">
        <is>
          <t>HT20251121</t>
        </is>
      </c>
      <c r="E239" s="16">
        <f>IFERROR(INDEX(原始数据!$E$3:$E$1002,MATCH(1,INDEX((原始数据!$D$3:$D$1002="HT20251121")*(原始数据!$E$3:$E$1002&lt;&gt;""),0),0)),"")</f>
        <v>20260618</v>
      </c>
      <c r="F239" s="17">
        <f>SUMIFS(原始数据!$F$3:$F$1002,原始数据!$D$3:$D$1002,"HT20251121")</f>
        <v>465.946</v>
      </c>
      <c r="G239" s="17">
        <f>SUMIFS(原始数据!$H$3:$H$1002,原始数据!$D$3:$D$1002,"HT20251121")</f>
        <v>393.365</v>
      </c>
      <c r="H239" s="17">
        <f>SUMIFS(原始数据!$I$3:$I$1002,原始数据!$D$3:$D$1002,"HT20251121")</f>
        <v>72.581</v>
      </c>
      <c r="I239" s="17">
        <f>SUMIFS(原始数据!$J$3:$J$1002,原始数据!$D$3:$D$1002,"HT20251121")</f>
        <v>32.573</v>
      </c>
      <c r="J239" s="17">
        <f>SUMIFS(原始数据!$K$3:$K$1002,原始数据!$D$3:$D$1002,"HT20251121")</f>
        <v>40.007999999999996</v>
      </c>
      <c r="K239" s="14" t="str">
        <f>IFERROR(INDEX(原始数据!$L$3:$L$1002,MATCH(1,INDEX((原始数据!$D$3:$D$1002="HT20251121")*(原始数据!$L$3:$L$1002&lt;&gt;""),0),0)),"")</f>
        <v>七部</v>
      </c>
      <c r="L239" s="15" t="str">
        <f>IFERROR(INDEX(原始数据!$M$3:$M$1002,MATCH(1,INDEX((原始数据!$D$3:$D$1002="HT20251121")*(原始数据!$M$3:$M$1002&lt;&gt;""),0),0)),"")</f>
        <v>沈刚</v>
      </c>
      <c r="M239" s="14" t="str">
        <f>IFERROR(INDEX(原始数据!$N$3:$N$1002,MATCH(1,INDEX((原始数据!$D$3:$D$1002="HT20251121")*(原始数据!$N$3:$N$1002&lt;&gt;""),0),0)),"")</f>
        <v>2-3年</v>
      </c>
      <c r="N239" s="14" t="inlineStr"/>
    </row>
    <row r="240">
      <c r="A240" s="18">
        <f>ROW()-2</f>
        <v>238</v>
      </c>
      <c r="B240" s="19" t="str">
        <f>IFERROR(INDEX(原始数据!$B$3:$B$1002,MATCH(1,INDEX((原始数据!$D$3:$D$1002="HT20251122")*(原始数据!$B$3:$B$1002&lt;&gt;""),0),0)),"")</f>
        <v>西南-重庆</v>
      </c>
      <c r="C240" s="19" t="str">
        <f>IFERROR(INDEX(原始数据!$C$3:$C$1002,MATCH(1,INDEX((原始数据!$D$3:$D$1002="HT20251122")*(原始数据!$C$3:$C$1002&lt;&gt;""),0),0)),"")</f>
        <v>基层自治组织</v>
      </c>
      <c r="D240" s="20" t="inlineStr">
        <is>
          <t>HT20251122</t>
        </is>
      </c>
      <c r="E240" s="21">
        <f>IFERROR(INDEX(原始数据!$E$3:$E$1002,MATCH(1,INDEX((原始数据!$D$3:$D$1002="HT20251122")*(原始数据!$E$3:$E$1002&lt;&gt;""),0),0)),"")</f>
        <v>20260507</v>
      </c>
      <c r="F240" s="22">
        <f>SUMIFS(原始数据!$F$3:$F$1002,原始数据!$D$3:$D$1002,"HT20251122")</f>
        <v>4449.754</v>
      </c>
      <c r="G240" s="22">
        <f>SUMIFS(原始数据!$H$3:$H$1002,原始数据!$D$3:$D$1002,"HT20251122")</f>
        <v>1740.948</v>
      </c>
      <c r="H240" s="22">
        <f>SUMIFS(原始数据!$I$3:$I$1002,原始数据!$D$3:$D$1002,"HT20251122")</f>
        <v>2708.806</v>
      </c>
      <c r="I240" s="22">
        <f>SUMIFS(原始数据!$J$3:$J$1002,原始数据!$D$3:$D$1002,"HT20251122")</f>
        <v>2460.272</v>
      </c>
      <c r="J240" s="22">
        <f>SUMIFS(原始数据!$K$3:$K$1002,原始数据!$D$3:$D$1002,"HT20251122")</f>
        <v>248.534</v>
      </c>
      <c r="K240" s="19" t="str">
        <f>IFERROR(INDEX(原始数据!$L$3:$L$1002,MATCH(1,INDEX((原始数据!$D$3:$D$1002="HT20251122")*(原始数据!$L$3:$L$1002&lt;&gt;""),0),0)),"")</f>
        <v>十部</v>
      </c>
      <c r="L240" s="20" t="str">
        <f>IFERROR(INDEX(原始数据!$M$3:$M$1002,MATCH(1,INDEX((原始数据!$D$3:$D$1002="HT20251122")*(原始数据!$M$3:$M$1002&lt;&gt;""),0),0)),"")</f>
        <v>段勇</v>
      </c>
      <c r="M240" s="19" t="str">
        <f>IFERROR(INDEX(原始数据!$N$3:$N$1002,MATCH(1,INDEX((原始数据!$D$3:$D$1002="HT20251122")*(原始数据!$N$3:$N$1002&lt;&gt;""),0),0)),"")</f>
        <v>1年以内</v>
      </c>
      <c r="N240" s="19" t="inlineStr"/>
    </row>
    <row r="241">
      <c r="A241" s="13">
        <f>ROW()-2</f>
        <v>239</v>
      </c>
      <c r="B241" s="14" t="str">
        <f>IFERROR(INDEX(原始数据!$B$3:$B$1002,MATCH(1,INDEX((原始数据!$D$3:$D$1002="HT20251123")*(原始数据!$B$3:$B$1002&lt;&gt;""),0),0)),"")</f>
        <v>华中-湖南</v>
      </c>
      <c r="C241" s="14" t="str">
        <f>IFERROR(INDEX(原始数据!$C$3:$C$1002,MATCH(1,INDEX((原始数据!$D$3:$D$1002="HT20251123")*(原始数据!$C$3:$C$1002&lt;&gt;""),0),0)),"")</f>
        <v>事业单位</v>
      </c>
      <c r="D241" s="15" t="inlineStr">
        <is>
          <t>HT20251123</t>
        </is>
      </c>
      <c r="E241" s="16">
        <f>IFERROR(INDEX(原始数据!$E$3:$E$1002,MATCH(1,INDEX((原始数据!$D$3:$D$1002="HT20251123")*(原始数据!$E$3:$E$1002&lt;&gt;""),0),0)),"")</f>
        <v>20260301</v>
      </c>
      <c r="F241" s="17">
        <f>SUMIFS(原始数据!$F$3:$F$1002,原始数据!$D$3:$D$1002,"HT20251123")</f>
        <v>719.659</v>
      </c>
      <c r="G241" s="17">
        <f>SUMIFS(原始数据!$H$3:$H$1002,原始数据!$D$3:$D$1002,"HT20251123")</f>
        <v>99.096</v>
      </c>
      <c r="H241" s="17">
        <f>SUMIFS(原始数据!$I$3:$I$1002,原始数据!$D$3:$D$1002,"HT20251123")</f>
        <v>620.563</v>
      </c>
      <c r="I241" s="17">
        <f>SUMIFS(原始数据!$J$3:$J$1002,原始数据!$D$3:$D$1002,"HT20251123")</f>
        <v>196.486</v>
      </c>
      <c r="J241" s="17">
        <f>SUMIFS(原始数据!$K$3:$K$1002,原始数据!$D$3:$D$1002,"HT20251123")</f>
        <v>424.077</v>
      </c>
      <c r="K241" s="14" t="str">
        <f>IFERROR(INDEX(原始数据!$L$3:$L$1002,MATCH(1,INDEX((原始数据!$D$3:$D$1002="HT20251123")*(原始数据!$L$3:$L$1002&lt;&gt;""),0),0)),"")</f>
        <v>三部</v>
      </c>
      <c r="L241" s="15" t="str">
        <f>IFERROR(INDEX(原始数据!$M$3:$M$1002,MATCH(1,INDEX((原始数据!$D$3:$D$1002="HT20251123")*(原始数据!$M$3:$M$1002&lt;&gt;""),0),0)),"")</f>
        <v>徐涛</v>
      </c>
      <c r="M241" s="14" t="str">
        <f>IFERROR(INDEX(原始数据!$N$3:$N$1002,MATCH(1,INDEX((原始数据!$D$3:$D$1002="HT20251123")*(原始数据!$N$3:$N$1002&lt;&gt;""),0),0)),"")</f>
        <v>2-3年</v>
      </c>
      <c r="N241" s="14" t="inlineStr"/>
    </row>
    <row r="242">
      <c r="A242" s="18">
        <f>ROW()-2</f>
        <v>240</v>
      </c>
      <c r="B242" s="19" t="str">
        <f>IFERROR(INDEX(原始数据!$B$3:$B$1002,MATCH(1,INDEX((原始数据!$D$3:$D$1002="HT20251124")*(原始数据!$B$3:$B$1002&lt;&gt;""),0),0)),"")</f>
        <v>西南-云南</v>
      </c>
      <c r="C242" s="19" t="str">
        <f>IFERROR(INDEX(原始数据!$C$3:$C$1002,MATCH(1,INDEX((原始数据!$D$3:$D$1002="HT20251124")*(原始数据!$C$3:$C$1002&lt;&gt;""),0),0)),"")</f>
        <v>人大政协</v>
      </c>
      <c r="D242" s="20" t="inlineStr">
        <is>
          <t>HT20251124</t>
        </is>
      </c>
      <c r="E242" s="21">
        <f>IFERROR(INDEX(原始数据!$E$3:$E$1002,MATCH(1,INDEX((原始数据!$D$3:$D$1002="HT20251124")*(原始数据!$E$3:$E$1002&lt;&gt;""),0),0)),"")</f>
        <v>20260815</v>
      </c>
      <c r="F242" s="22">
        <f>SUMIFS(原始数据!$F$3:$F$1002,原始数据!$D$3:$D$1002,"HT20251124")</f>
        <v>1459.557</v>
      </c>
      <c r="G242" s="22">
        <f>SUMIFS(原始数据!$H$3:$H$1002,原始数据!$D$3:$D$1002,"HT20251124")</f>
        <v>624.796</v>
      </c>
      <c r="H242" s="22">
        <f>SUMIFS(原始数据!$I$3:$I$1002,原始数据!$D$3:$D$1002,"HT20251124")</f>
        <v>834.761</v>
      </c>
      <c r="I242" s="22">
        <f>SUMIFS(原始数据!$J$3:$J$1002,原始数据!$D$3:$D$1002,"HT20251124")</f>
        <v>230.81300000000002</v>
      </c>
      <c r="J242" s="22">
        <f>SUMIFS(原始数据!$K$3:$K$1002,原始数据!$D$3:$D$1002,"HT20251124")</f>
        <v>603.948</v>
      </c>
      <c r="K242" s="19" t="str">
        <f>IFERROR(INDEX(原始数据!$L$3:$L$1002,MATCH(1,INDEX((原始数据!$D$3:$D$1002="HT20251124")*(原始数据!$L$3:$L$1002&lt;&gt;""),0),0)),"")</f>
        <v>三部</v>
      </c>
      <c r="L242" s="20" t="str">
        <f>IFERROR(INDEX(原始数据!$M$3:$M$1002,MATCH(1,INDEX((原始数据!$D$3:$D$1002="HT20251124")*(原始数据!$M$3:$M$1002&lt;&gt;""),0),0)),"")</f>
        <v>朱军</v>
      </c>
      <c r="M242" s="19" t="str">
        <f>IFERROR(INDEX(原始数据!$N$3:$N$1002,MATCH(1,INDEX((原始数据!$D$3:$D$1002="HT20251124")*(原始数据!$N$3:$N$1002&lt;&gt;""),0),0)),"")</f>
        <v>1-2年</v>
      </c>
      <c r="N242" s="19" t="inlineStr"/>
    </row>
    <row r="243">
      <c r="A243" s="13">
        <f>ROW()-2</f>
        <v>241</v>
      </c>
      <c r="B243" s="14" t="str">
        <f>IFERROR(INDEX(原始数据!$B$3:$B$1002,MATCH(1,INDEX((原始数据!$D$3:$D$1002="HT20251127")*(原始数据!$B$3:$B$1002&lt;&gt;""),0),0)),"")</f>
        <v>华中-河南</v>
      </c>
      <c r="C243" s="14" t="str">
        <f>IFERROR(INDEX(原始数据!$C$3:$C$1002,MATCH(1,INDEX((原始数据!$D$3:$D$1002="HT20251127")*(原始数据!$C$3:$C$1002&lt;&gt;""),0),0)),"")</f>
        <v>党委机关</v>
      </c>
      <c r="D243" s="15" t="inlineStr">
        <is>
          <t>HT20251127</t>
        </is>
      </c>
      <c r="E243" s="16">
        <f>IFERROR(INDEX(原始数据!$E$3:$E$1002,MATCH(1,INDEX((原始数据!$D$3:$D$1002="HT20251127")*(原始数据!$E$3:$E$1002&lt;&gt;""),0),0)),"")</f>
        <v>20260312</v>
      </c>
      <c r="F243" s="17">
        <f>SUMIFS(原始数据!$F$3:$F$1002,原始数据!$D$3:$D$1002,"HT20251127")</f>
        <v>1020.387</v>
      </c>
      <c r="G243" s="17">
        <f>SUMIFS(原始数据!$H$3:$H$1002,原始数据!$D$3:$D$1002,"HT20251127")</f>
        <v>663.0649999999999</v>
      </c>
      <c r="H243" s="17">
        <f>SUMIFS(原始数据!$I$3:$I$1002,原始数据!$D$3:$D$1002,"HT20251127")</f>
        <v>357.322</v>
      </c>
      <c r="I243" s="17">
        <f>SUMIFS(原始数据!$J$3:$J$1002,原始数据!$D$3:$D$1002,"HT20251127")</f>
        <v>216.86700000000002</v>
      </c>
      <c r="J243" s="17">
        <f>SUMIFS(原始数据!$K$3:$K$1002,原始数据!$D$3:$D$1002,"HT20251127")</f>
        <v>140.455</v>
      </c>
      <c r="K243" s="14" t="str">
        <f>IFERROR(INDEX(原始数据!$L$3:$L$1002,MATCH(1,INDEX((原始数据!$D$3:$D$1002="HT20251127")*(原始数据!$L$3:$L$1002&lt;&gt;""),0),0)),"")</f>
        <v>二部</v>
      </c>
      <c r="L243" s="15" t="str">
        <f>IFERROR(INDEX(原始数据!$M$3:$M$1002,MATCH(1,INDEX((原始数据!$D$3:$D$1002="HT20251127")*(原始数据!$M$3:$M$1002&lt;&gt;""),0),0)),"")</f>
        <v>赵敏</v>
      </c>
      <c r="M243" s="14" t="str">
        <f>IFERROR(INDEX(原始数据!$N$3:$N$1002,MATCH(1,INDEX((原始数据!$D$3:$D$1002="HT20251127")*(原始数据!$N$3:$N$1002&lt;&gt;""),0),0)),"")</f>
        <v>1-2年</v>
      </c>
      <c r="N243" s="14" t="inlineStr"/>
    </row>
    <row r="244">
      <c r="A244" s="18">
        <f>ROW()-2</f>
        <v>242</v>
      </c>
      <c r="B244" s="19" t="str">
        <f>IFERROR(INDEX(原始数据!$B$3:$B$1002,MATCH(1,INDEX((原始数据!$D$3:$D$1002="HT20251128")*(原始数据!$B$3:$B$1002&lt;&gt;""),0),0)),"")</f>
        <v>华东-上海</v>
      </c>
      <c r="C244" s="19" t="str">
        <f>IFERROR(INDEX(原始数据!$C$3:$C$1002,MATCH(1,INDEX((原始数据!$D$3:$D$1002="HT20251128")*(原始数据!$C$3:$C$1002&lt;&gt;""),0),0)),"")</f>
        <v>群团组织</v>
      </c>
      <c r="D244" s="20" t="inlineStr">
        <is>
          <t>HT20251128</t>
        </is>
      </c>
      <c r="E244" s="21">
        <f>IFERROR(INDEX(原始数据!$E$3:$E$1002,MATCH(1,INDEX((原始数据!$D$3:$D$1002="HT20251128")*(原始数据!$E$3:$E$1002&lt;&gt;""),0),0)),"")</f>
        <v>20260527</v>
      </c>
      <c r="F244" s="22">
        <f>SUMIFS(原始数据!$F$3:$F$1002,原始数据!$D$3:$D$1002,"HT20251128")</f>
        <v>12.845</v>
      </c>
      <c r="G244" s="22">
        <f>SUMIFS(原始数据!$H$3:$H$1002,原始数据!$D$3:$D$1002,"HT20251128")</f>
        <v>4.432</v>
      </c>
      <c r="H244" s="22">
        <f>SUMIFS(原始数据!$I$3:$I$1002,原始数据!$D$3:$D$1002,"HT20251128")</f>
        <v>8.413</v>
      </c>
      <c r="I244" s="22">
        <f>SUMIFS(原始数据!$J$3:$J$1002,原始数据!$D$3:$D$1002,"HT20251128")</f>
        <v>5.194</v>
      </c>
      <c r="J244" s="22">
        <f>SUMIFS(原始数据!$K$3:$K$1002,原始数据!$D$3:$D$1002,"HT20251128")</f>
        <v>3.219</v>
      </c>
      <c r="K244" s="19" t="str">
        <f>IFERROR(INDEX(原始数据!$L$3:$L$1002,MATCH(1,INDEX((原始数据!$D$3:$D$1002="HT20251128")*(原始数据!$L$3:$L$1002&lt;&gt;""),0),0)),"")</f>
        <v>五部</v>
      </c>
      <c r="L244" s="20" t="str">
        <f>IFERROR(INDEX(原始数据!$M$3:$M$1002,MATCH(1,INDEX((原始数据!$D$3:$D$1002="HT20251128")*(原始数据!$M$3:$M$1002&lt;&gt;""),0),0)),"")</f>
        <v>郑浩</v>
      </c>
      <c r="M244" s="19" t="str">
        <f>IFERROR(INDEX(原始数据!$N$3:$N$1002,MATCH(1,INDEX((原始数据!$D$3:$D$1002="HT20251128")*(原始数据!$N$3:$N$1002&lt;&gt;""),0),0)),"")</f>
        <v>1-2年</v>
      </c>
      <c r="N244" s="19" t="inlineStr"/>
    </row>
    <row r="245">
      <c r="A245" s="13">
        <f>ROW()-2</f>
        <v>243</v>
      </c>
      <c r="B245" s="14" t="str">
        <f>IFERROR(INDEX(原始数据!$B$3:$B$1002,MATCH(1,INDEX((原始数据!$D$3:$D$1002="HT20251129")*(原始数据!$B$3:$B$1002&lt;&gt;""),0),0)),"")</f>
        <v>东北-辽宁</v>
      </c>
      <c r="C245" s="14" t="str">
        <f>IFERROR(INDEX(原始数据!$C$3:$C$1002,MATCH(1,INDEX((原始数据!$D$3:$D$1002="HT20251129")*(原始数据!$C$3:$C$1002&lt;&gt;""),0),0)),"")</f>
        <v>党委机关</v>
      </c>
      <c r="D245" s="15" t="inlineStr">
        <is>
          <t>HT20251129</t>
        </is>
      </c>
      <c r="E245" s="16">
        <f>IFERROR(INDEX(原始数据!$E$3:$E$1002,MATCH(1,INDEX((原始数据!$D$3:$D$1002="HT20251129")*(原始数据!$E$3:$E$1002&lt;&gt;""),0),0)),"")</f>
        <v>20260310</v>
      </c>
      <c r="F245" s="17">
        <f>SUMIFS(原始数据!$F$3:$F$1002,原始数据!$D$3:$D$1002,"HT20251129")</f>
        <v>3754.4990000000003</v>
      </c>
      <c r="G245" s="17">
        <f>SUMIFS(原始数据!$H$3:$H$1002,原始数据!$D$3:$D$1002,"HT20251129")</f>
        <v>2057.257</v>
      </c>
      <c r="H245" s="17">
        <f>SUMIFS(原始数据!$I$3:$I$1002,原始数据!$D$3:$D$1002,"HT20251129")</f>
        <v>1697.2420000000002</v>
      </c>
      <c r="I245" s="17">
        <f>SUMIFS(原始数据!$J$3:$J$1002,原始数据!$D$3:$D$1002,"HT20251129")</f>
        <v>1102.258</v>
      </c>
      <c r="J245" s="17">
        <f>SUMIFS(原始数据!$K$3:$K$1002,原始数据!$D$3:$D$1002,"HT20251129")</f>
        <v>594.984</v>
      </c>
      <c r="K245" s="14" t="str">
        <f>IFERROR(INDEX(原始数据!$L$3:$L$1002,MATCH(1,INDEX((原始数据!$D$3:$D$1002="HT20251129")*(原始数据!$L$3:$L$1002&lt;&gt;""),0),0)),"")</f>
        <v>九部</v>
      </c>
      <c r="L245" s="15" t="str">
        <f>IFERROR(INDEX(原始数据!$M$3:$M$1002,MATCH(1,INDEX((原始数据!$D$3:$D$1002="HT20251129")*(原始数据!$M$3:$M$1002&lt;&gt;""),0),0)),"")</f>
        <v>蔡明</v>
      </c>
      <c r="M245" s="14" t="str">
        <f>IFERROR(INDEX(原始数据!$N$3:$N$1002,MATCH(1,INDEX((原始数据!$D$3:$D$1002="HT20251129")*(原始数据!$N$3:$N$1002&lt;&gt;""),0),0)),"")</f>
        <v>2-3年</v>
      </c>
      <c r="N245" s="14" t="inlineStr"/>
    </row>
    <row r="246">
      <c r="A246" s="18">
        <f>ROW()-2</f>
        <v>244</v>
      </c>
      <c r="B246" s="19" t="str">
        <f>IFERROR(INDEX(原始数据!$B$3:$B$1002,MATCH(1,INDEX((原始数据!$D$3:$D$1002="HT20251130")*(原始数据!$B$3:$B$1002&lt;&gt;""),0),0)),"")</f>
        <v>华中-湖北</v>
      </c>
      <c r="C246" s="19" t="str">
        <f>IFERROR(INDEX(原始数据!$C$3:$C$1002,MATCH(1,INDEX((原始数据!$D$3:$D$1002="HT20251130")*(原始数据!$C$3:$C$1002&lt;&gt;""),0),0)),"")</f>
        <v>群团组织</v>
      </c>
      <c r="D246" s="20" t="inlineStr">
        <is>
          <t>HT20251130</t>
        </is>
      </c>
      <c r="E246" s="21">
        <f>IFERROR(INDEX(原始数据!$E$3:$E$1002,MATCH(1,INDEX((原始数据!$D$3:$D$1002="HT20251130")*(原始数据!$E$3:$E$1002&lt;&gt;""),0),0)),"")</f>
        <v>20260523</v>
      </c>
      <c r="F246" s="22">
        <f>SUMIFS(原始数据!$F$3:$F$1002,原始数据!$D$3:$D$1002,"HT20251130")</f>
        <v>3043.8950000000004</v>
      </c>
      <c r="G246" s="22">
        <f>SUMIFS(原始数据!$H$3:$H$1002,原始数据!$D$3:$D$1002,"HT20251130")</f>
        <v>1551.04</v>
      </c>
      <c r="H246" s="22">
        <f>SUMIFS(原始数据!$I$3:$I$1002,原始数据!$D$3:$D$1002,"HT20251130")</f>
        <v>1492.855</v>
      </c>
      <c r="I246" s="22">
        <f>SUMIFS(原始数据!$J$3:$J$1002,原始数据!$D$3:$D$1002,"HT20251130")</f>
        <v>596.3009999999999</v>
      </c>
      <c r="J246" s="22">
        <f>SUMIFS(原始数据!$K$3:$K$1002,原始数据!$D$3:$D$1002,"HT20251130")</f>
        <v>896.554</v>
      </c>
      <c r="K246" s="19" t="str">
        <f>IFERROR(INDEX(原始数据!$L$3:$L$1002,MATCH(1,INDEX((原始数据!$D$3:$D$1002="HT20251130")*(原始数据!$L$3:$L$1002&lt;&gt;""),0),0)),"")</f>
        <v>五部</v>
      </c>
      <c r="L246" s="20" t="str">
        <f>IFERROR(INDEX(原始数据!$M$3:$M$1002,MATCH(1,INDEX((原始数据!$D$3:$D$1002="HT20251130")*(原始数据!$M$3:$M$1002&lt;&gt;""),0),0)),"")</f>
        <v>谢峰</v>
      </c>
      <c r="M246" s="19" t="str">
        <f>IFERROR(INDEX(原始数据!$N$3:$N$1002,MATCH(1,INDEX((原始数据!$D$3:$D$1002="HT20251130")*(原始数据!$N$3:$N$1002&lt;&gt;""),0),0)),"")</f>
        <v>2-3年</v>
      </c>
      <c r="N246" s="19" t="inlineStr"/>
    </row>
    <row r="247">
      <c r="A247" s="13">
        <f>ROW()-2</f>
        <v>245</v>
      </c>
      <c r="B247" s="14" t="str">
        <f>IFERROR(INDEX(原始数据!$B$3:$B$1002,MATCH(1,INDEX((原始数据!$D$3:$D$1002="HT20251201")*(原始数据!$B$3:$B$1002&lt;&gt;""),0),0)),"")</f>
        <v>西北-甘肃</v>
      </c>
      <c r="C247" s="14" t="str">
        <f>IFERROR(INDEX(原始数据!$C$3:$C$1002,MATCH(1,INDEX((原始数据!$D$3:$D$1002="HT20251201")*(原始数据!$C$3:$C$1002&lt;&gt;""),0),0)),"")</f>
        <v>事业单位</v>
      </c>
      <c r="D247" s="15" t="inlineStr">
        <is>
          <t>HT20251201</t>
        </is>
      </c>
      <c r="E247" s="16">
        <f>IFERROR(INDEX(原始数据!$E$3:$E$1002,MATCH(1,INDEX((原始数据!$D$3:$D$1002="HT20251201")*(原始数据!$E$3:$E$1002&lt;&gt;""),0),0)),"")</f>
        <v>20260212</v>
      </c>
      <c r="F247" s="17">
        <f>SUMIFS(原始数据!$F$3:$F$1002,原始数据!$D$3:$D$1002,"HT20251201")</f>
        <v>6874.1410000000005</v>
      </c>
      <c r="G247" s="17">
        <f>SUMIFS(原始数据!$H$3:$H$1002,原始数据!$D$3:$D$1002,"HT20251201")</f>
        <v>3726.8419999999996</v>
      </c>
      <c r="H247" s="17">
        <f>SUMIFS(原始数据!$I$3:$I$1002,原始数据!$D$3:$D$1002,"HT20251201")</f>
        <v>3147.2990000000004</v>
      </c>
      <c r="I247" s="17">
        <f>SUMIFS(原始数据!$J$3:$J$1002,原始数据!$D$3:$D$1002,"HT20251201")</f>
        <v>704.254</v>
      </c>
      <c r="J247" s="17">
        <f>SUMIFS(原始数据!$K$3:$K$1002,原始数据!$D$3:$D$1002,"HT20251201")</f>
        <v>2443.045</v>
      </c>
      <c r="K247" s="14" t="str">
        <f>IFERROR(INDEX(原始数据!$L$3:$L$1002,MATCH(1,INDEX((原始数据!$D$3:$D$1002="HT20251201")*(原始数据!$L$3:$L$1002&lt;&gt;""),0),0)),"")</f>
        <v>七部</v>
      </c>
      <c r="L247" s="15" t="str">
        <f>IFERROR(INDEX(原始数据!$M$3:$M$1002,MATCH(1,INDEX((原始数据!$D$3:$D$1002="HT20251201")*(原始数据!$M$3:$M$1002&lt;&gt;""),0),0)),"")</f>
        <v>沈刚</v>
      </c>
      <c r="M247" s="14" t="str">
        <f>IFERROR(INDEX(原始数据!$N$3:$N$1002,MATCH(1,INDEX((原始数据!$D$3:$D$1002="HT20251201")*(原始数据!$N$3:$N$1002&lt;&gt;""),0),0)),"")</f>
        <v>1年以内</v>
      </c>
      <c r="N247" s="14" t="inlineStr"/>
    </row>
    <row r="248">
      <c r="A248" s="18">
        <f>ROW()-2</f>
        <v>246</v>
      </c>
      <c r="B248" s="19" t="str">
        <f>IFERROR(INDEX(原始数据!$B$3:$B$1002,MATCH(1,INDEX((原始数据!$D$3:$D$1002="HT20251202")*(原始数据!$B$3:$B$1002&lt;&gt;""),0),0)),"")</f>
        <v>华北-河北</v>
      </c>
      <c r="C248" s="19" t="str">
        <f>IFERROR(INDEX(原始数据!$C$3:$C$1002,MATCH(1,INDEX((原始数据!$D$3:$D$1002="HT20251202")*(原始数据!$C$3:$C$1002&lt;&gt;""),0),0)),"")</f>
        <v>人大政协</v>
      </c>
      <c r="D248" s="20" t="inlineStr">
        <is>
          <t>HT20251202</t>
        </is>
      </c>
      <c r="E248" s="21">
        <f>IFERROR(INDEX(原始数据!$E$3:$E$1002,MATCH(1,INDEX((原始数据!$D$3:$D$1002="HT20251202")*(原始数据!$E$3:$E$1002&lt;&gt;""),0),0)),"")</f>
        <v>20260509</v>
      </c>
      <c r="F248" s="22">
        <f>SUMIFS(原始数据!$F$3:$F$1002,原始数据!$D$3:$D$1002,"HT20251202")</f>
        <v>154.279</v>
      </c>
      <c r="G248" s="22">
        <f>SUMIFS(原始数据!$H$3:$H$1002,原始数据!$D$3:$D$1002,"HT20251202")</f>
        <v>73.102</v>
      </c>
      <c r="H248" s="22">
        <f>SUMIFS(原始数据!$I$3:$I$1002,原始数据!$D$3:$D$1002,"HT20251202")</f>
        <v>81.177</v>
      </c>
      <c r="I248" s="22">
        <f>SUMIFS(原始数据!$J$3:$J$1002,原始数据!$D$3:$D$1002,"HT20251202")</f>
        <v>32.276</v>
      </c>
      <c r="J248" s="22">
        <f>SUMIFS(原始数据!$K$3:$K$1002,原始数据!$D$3:$D$1002,"HT20251202")</f>
        <v>48.901</v>
      </c>
      <c r="K248" s="19" t="str">
        <f>IFERROR(INDEX(原始数据!$L$3:$L$1002,MATCH(1,INDEX((原始数据!$D$3:$D$1002="HT20251202")*(原始数据!$L$3:$L$1002&lt;&gt;""),0),0)),"")</f>
        <v>七部</v>
      </c>
      <c r="L248" s="20" t="str">
        <f>IFERROR(INDEX(原始数据!$M$3:$M$1002,MATCH(1,INDEX((原始数据!$D$3:$D$1002="HT20251202")*(原始数据!$M$3:$M$1002&lt;&gt;""),0),0)),"")</f>
        <v>沈刚</v>
      </c>
      <c r="M248" s="19" t="str">
        <f>IFERROR(INDEX(原始数据!$N$3:$N$1002,MATCH(1,INDEX((原始数据!$D$3:$D$1002="HT20251202")*(原始数据!$N$3:$N$1002&lt;&gt;""),0),0)),"")</f>
        <v>1年以内</v>
      </c>
      <c r="N248" s="19" t="inlineStr"/>
    </row>
    <row r="249">
      <c r="A249" s="13">
        <f>ROW()-2</f>
        <v>247</v>
      </c>
      <c r="B249" s="14" t="str">
        <f>IFERROR(INDEX(原始数据!$B$3:$B$1002,MATCH(1,INDEX((原始数据!$D$3:$D$1002="HT20251203")*(原始数据!$B$3:$B$1002&lt;&gt;""),0),0)),"")</f>
        <v>东北-吉林</v>
      </c>
      <c r="C249" s="14" t="str">
        <f>IFERROR(INDEX(原始数据!$C$3:$C$1002,MATCH(1,INDEX((原始数据!$D$3:$D$1002="HT20251203")*(原始数据!$C$3:$C$1002&lt;&gt;""),0),0)),"")</f>
        <v>政府机关</v>
      </c>
      <c r="D249" s="15" t="inlineStr">
        <is>
          <t>HT20251203</t>
        </is>
      </c>
      <c r="E249" s="16">
        <f>IFERROR(INDEX(原始数据!$E$3:$E$1002,MATCH(1,INDEX((原始数据!$D$3:$D$1002="HT20251203")*(原始数据!$E$3:$E$1002&lt;&gt;""),0),0)),"")</f>
        <v>20260403</v>
      </c>
      <c r="F249" s="17">
        <f>SUMIFS(原始数据!$F$3:$F$1002,原始数据!$D$3:$D$1002,"HT20251203")</f>
        <v>172.18</v>
      </c>
      <c r="G249" s="17">
        <f>SUMIFS(原始数据!$H$3:$H$1002,原始数据!$D$3:$D$1002,"HT20251203")</f>
        <v>167.142</v>
      </c>
      <c r="H249" s="17">
        <f>SUMIFS(原始数据!$I$3:$I$1002,原始数据!$D$3:$D$1002,"HT20251203")</f>
        <v>5.038</v>
      </c>
      <c r="I249" s="17">
        <f>SUMIFS(原始数据!$J$3:$J$1002,原始数据!$D$3:$D$1002,"HT20251203")</f>
        <v>2.643</v>
      </c>
      <c r="J249" s="17">
        <f>SUMIFS(原始数据!$K$3:$K$1002,原始数据!$D$3:$D$1002,"HT20251203")</f>
        <v>2.395</v>
      </c>
      <c r="K249" s="14" t="str">
        <f>IFERROR(INDEX(原始数据!$L$3:$L$1002,MATCH(1,INDEX((原始数据!$D$3:$D$1002="HT20251203")*(原始数据!$L$3:$L$1002&lt;&gt;""),0),0)),"")</f>
        <v>二部</v>
      </c>
      <c r="L249" s="15" t="str">
        <f>IFERROR(INDEX(原始数据!$M$3:$M$1002,MATCH(1,INDEX((原始数据!$D$3:$D$1002="HT20251203")*(原始数据!$M$3:$M$1002&lt;&gt;""),0),0)),"")</f>
        <v>杨磊</v>
      </c>
      <c r="M249" s="14" t="str">
        <f>IFERROR(INDEX(原始数据!$N$3:$N$1002,MATCH(1,INDEX((原始数据!$D$3:$D$1002="HT20251203")*(原始数据!$N$3:$N$1002&lt;&gt;""),0),0)),"")</f>
        <v>2-3年</v>
      </c>
      <c r="N249" s="14" t="inlineStr"/>
    </row>
    <row r="250">
      <c r="A250" s="18">
        <f>ROW()-2</f>
        <v>248</v>
      </c>
      <c r="B250" s="19" t="str">
        <f>IFERROR(INDEX(原始数据!$B$3:$B$1002,MATCH(1,INDEX((原始数据!$D$3:$D$1002="HT20251205")*(原始数据!$B$3:$B$1002&lt;&gt;""),0),0)),"")</f>
        <v>西南-四川</v>
      </c>
      <c r="C250" s="19" t="str">
        <f>IFERROR(INDEX(原始数据!$C$3:$C$1002,MATCH(1,INDEX((原始数据!$D$3:$D$1002="HT20251205")*(原始数据!$C$3:$C$1002&lt;&gt;""),0),0)),"")</f>
        <v>事业单位</v>
      </c>
      <c r="D250" s="20" t="inlineStr">
        <is>
          <t>HT20251205</t>
        </is>
      </c>
      <c r="E250" s="21">
        <f>IFERROR(INDEX(原始数据!$E$3:$E$1002,MATCH(1,INDEX((原始数据!$D$3:$D$1002="HT20251205")*(原始数据!$E$3:$E$1002&lt;&gt;""),0),0)),"")</f>
        <v>20260409</v>
      </c>
      <c r="F250" s="22">
        <f>SUMIFS(原始数据!$F$3:$F$1002,原始数据!$D$3:$D$1002,"HT20251205")</f>
        <v>892.613</v>
      </c>
      <c r="G250" s="22">
        <f>SUMIFS(原始数据!$H$3:$H$1002,原始数据!$D$3:$D$1002,"HT20251205")</f>
        <v>218.887</v>
      </c>
      <c r="H250" s="22">
        <f>SUMIFS(原始数据!$I$3:$I$1002,原始数据!$D$3:$D$1002,"HT20251205")</f>
        <v>673.726</v>
      </c>
      <c r="I250" s="22">
        <f>SUMIFS(原始数据!$J$3:$J$1002,原始数据!$D$3:$D$1002,"HT20251205")</f>
        <v>539.98</v>
      </c>
      <c r="J250" s="22">
        <f>SUMIFS(原始数据!$K$3:$K$1002,原始数据!$D$3:$D$1002,"HT20251205")</f>
        <v>133.746</v>
      </c>
      <c r="K250" s="19" t="str">
        <f>IFERROR(INDEX(原始数据!$L$3:$L$1002,MATCH(1,INDEX((原始数据!$D$3:$D$1002="HT20251205")*(原始数据!$L$3:$L$1002&lt;&gt;""),0),0)),"")</f>
        <v>三部</v>
      </c>
      <c r="L250" s="20" t="str">
        <f>IFERROR(INDEX(原始数据!$M$3:$M$1002,MATCH(1,INDEX((原始数据!$D$3:$D$1002="HT20251205")*(原始数据!$M$3:$M$1002&lt;&gt;""),0),0)),"")</f>
        <v>徐涛</v>
      </c>
      <c r="M250" s="19" t="str">
        <f>IFERROR(INDEX(原始数据!$N$3:$N$1002,MATCH(1,INDEX((原始数据!$D$3:$D$1002="HT20251205")*(原始数据!$N$3:$N$1002&lt;&gt;""),0),0)),"")</f>
        <v>1-2年</v>
      </c>
      <c r="N250" s="19" t="inlineStr"/>
    </row>
    <row r="251">
      <c r="A251" s="13">
        <f>ROW()-2</f>
        <v>249</v>
      </c>
      <c r="B251" s="14" t="str">
        <f>IFERROR(INDEX(原始数据!$B$3:$B$1002,MATCH(1,INDEX((原始数据!$D$3:$D$1002="HT20251207")*(原始数据!$B$3:$B$1002&lt;&gt;""),0),0)),"")</f>
        <v>华东-浙江</v>
      </c>
      <c r="C251" s="14" t="str">
        <f>IFERROR(INDEX(原始数据!$C$3:$C$1002,MATCH(1,INDEX((原始数据!$D$3:$D$1002="HT20251207")*(原始数据!$C$3:$C$1002&lt;&gt;""),0),0)),"")</f>
        <v>群团组织</v>
      </c>
      <c r="D251" s="15" t="inlineStr">
        <is>
          <t>HT20251207</t>
        </is>
      </c>
      <c r="E251" s="16">
        <f>IFERROR(INDEX(原始数据!$E$3:$E$1002,MATCH(1,INDEX((原始数据!$D$3:$D$1002="HT20251207")*(原始数据!$E$3:$E$1002&lt;&gt;""),0),0)),"")</f>
        <v>20260729</v>
      </c>
      <c r="F251" s="17">
        <f>SUMIFS(原始数据!$F$3:$F$1002,原始数据!$D$3:$D$1002,"HT20251207")</f>
        <v>1195.2759999999998</v>
      </c>
      <c r="G251" s="17">
        <f>SUMIFS(原始数据!$H$3:$H$1002,原始数据!$D$3:$D$1002,"HT20251207")</f>
        <v>506.41</v>
      </c>
      <c r="H251" s="17">
        <f>SUMIFS(原始数据!$I$3:$I$1002,原始数据!$D$3:$D$1002,"HT20251207")</f>
        <v>688.866</v>
      </c>
      <c r="I251" s="17">
        <f>SUMIFS(原始数据!$J$3:$J$1002,原始数据!$D$3:$D$1002,"HT20251207")</f>
        <v>300.191</v>
      </c>
      <c r="J251" s="17">
        <f>SUMIFS(原始数据!$K$3:$K$1002,原始数据!$D$3:$D$1002,"HT20251207")</f>
        <v>388.67499999999995</v>
      </c>
      <c r="K251" s="14" t="str">
        <f>IFERROR(INDEX(原始数据!$L$3:$L$1002,MATCH(1,INDEX((原始数据!$D$3:$D$1002="HT20251207")*(原始数据!$L$3:$L$1002&lt;&gt;""),0),0)),"")</f>
        <v>五部</v>
      </c>
      <c r="L251" s="15" t="str">
        <f>IFERROR(INDEX(原始数据!$M$3:$M$1002,MATCH(1,INDEX((原始数据!$D$3:$D$1002="HT20251207")*(原始数据!$M$3:$M$1002&lt;&gt;""),0),0)),"")</f>
        <v>郑浩</v>
      </c>
      <c r="M251" s="14" t="str">
        <f>IFERROR(INDEX(原始数据!$N$3:$N$1002,MATCH(1,INDEX((原始数据!$D$3:$D$1002="HT20251207")*(原始数据!$N$3:$N$1002&lt;&gt;""),0),0)),"")</f>
        <v>1-2年</v>
      </c>
      <c r="N251" s="14" t="inlineStr"/>
    </row>
    <row r="252">
      <c r="A252" s="18">
        <f>ROW()-2</f>
        <v>250</v>
      </c>
      <c r="B252" s="19" t="str">
        <f>IFERROR(INDEX(原始数据!$B$3:$B$1002,MATCH(1,INDEX((原始数据!$D$3:$D$1002="HT20251208")*(原始数据!$B$3:$B$1002&lt;&gt;""),0),0)),"")</f>
        <v>华南-广东</v>
      </c>
      <c r="C252" s="19" t="str">
        <f>IFERROR(INDEX(原始数据!$C$3:$C$1002,MATCH(1,INDEX((原始数据!$D$3:$D$1002="HT20251208")*(原始数据!$C$3:$C$1002&lt;&gt;""),0),0)),"")</f>
        <v>基层自治组织</v>
      </c>
      <c r="D252" s="20" t="inlineStr">
        <is>
          <t>HT20251208</t>
        </is>
      </c>
      <c r="E252" s="21">
        <f>IFERROR(INDEX(原始数据!$E$3:$E$1002,MATCH(1,INDEX((原始数据!$D$3:$D$1002="HT20251208")*(原始数据!$E$3:$E$1002&lt;&gt;""),0),0)),"")</f>
        <v>20260803</v>
      </c>
      <c r="F252" s="22">
        <f>SUMIFS(原始数据!$F$3:$F$1002,原始数据!$D$3:$D$1002,"HT20251208")</f>
        <v>2095.897</v>
      </c>
      <c r="G252" s="22">
        <f>SUMIFS(原始数据!$H$3:$H$1002,原始数据!$D$3:$D$1002,"HT20251208")</f>
        <v>1171.982</v>
      </c>
      <c r="H252" s="22">
        <f>SUMIFS(原始数据!$I$3:$I$1002,原始数据!$D$3:$D$1002,"HT20251208")</f>
        <v>923.9150000000001</v>
      </c>
      <c r="I252" s="22">
        <f>SUMIFS(原始数据!$J$3:$J$1002,原始数据!$D$3:$D$1002,"HT20251208")</f>
        <v>542.422</v>
      </c>
      <c r="J252" s="22">
        <f>SUMIFS(原始数据!$K$3:$K$1002,原始数据!$D$3:$D$1002,"HT20251208")</f>
        <v>381.493</v>
      </c>
      <c r="K252" s="19" t="str">
        <f>IFERROR(INDEX(原始数据!$L$3:$L$1002,MATCH(1,INDEX((原始数据!$D$3:$D$1002="HT20251208")*(原始数据!$L$3:$L$1002&lt;&gt;""),0),0)),"")</f>
        <v>六部</v>
      </c>
      <c r="L252" s="20" t="str">
        <f>IFERROR(INDEX(原始数据!$M$3:$M$1002,MATCH(1,INDEX((原始数据!$D$3:$D$1002="HT20251208")*(原始数据!$M$3:$M$1002&lt;&gt;""),0),0)),"")</f>
        <v>唐亮</v>
      </c>
      <c r="M252" s="19" t="str">
        <f>IFERROR(INDEX(原始数据!$N$3:$N$1002,MATCH(1,INDEX((原始数据!$D$3:$D$1002="HT20251208")*(原始数据!$N$3:$N$1002&lt;&gt;""),0),0)),"")</f>
        <v>1-2年</v>
      </c>
      <c r="N252" s="19" t="inlineStr"/>
    </row>
    <row r="253">
      <c r="A253" s="13">
        <f>ROW()-2</f>
        <v>251</v>
      </c>
      <c r="B253" s="14" t="str">
        <f>IFERROR(INDEX(原始数据!$B$3:$B$1002,MATCH(1,INDEX((原始数据!$D$3:$D$1002="HT20251209")*(原始数据!$B$3:$B$1002&lt;&gt;""),0),0)),"")</f>
        <v>西北-新疆</v>
      </c>
      <c r="C253" s="14" t="str">
        <f>IFERROR(INDEX(原始数据!$C$3:$C$1002,MATCH(1,INDEX((原始数据!$D$3:$D$1002="HT20251209")*(原始数据!$C$3:$C$1002&lt;&gt;""),0),0)),"")</f>
        <v>群团组织</v>
      </c>
      <c r="D253" s="15" t="inlineStr">
        <is>
          <t>HT20251209</t>
        </is>
      </c>
      <c r="E253" s="16">
        <f>IFERROR(INDEX(原始数据!$E$3:$E$1002,MATCH(1,INDEX((原始数据!$D$3:$D$1002="HT20251209")*(原始数据!$E$3:$E$1002&lt;&gt;""),0),0)),"")</f>
        <v>20260530</v>
      </c>
      <c r="F253" s="17">
        <f>SUMIFS(原始数据!$F$3:$F$1002,原始数据!$D$3:$D$1002,"HT20251209")</f>
        <v>761.9749999999999</v>
      </c>
      <c r="G253" s="17">
        <f>SUMIFS(原始数据!$H$3:$H$1002,原始数据!$D$3:$D$1002,"HT20251209")</f>
        <v>396.751</v>
      </c>
      <c r="H253" s="17">
        <f>SUMIFS(原始数据!$I$3:$I$1002,原始数据!$D$3:$D$1002,"HT20251209")</f>
        <v>365.224</v>
      </c>
      <c r="I253" s="17">
        <f>SUMIFS(原始数据!$J$3:$J$1002,原始数据!$D$3:$D$1002,"HT20251209")</f>
        <v>260.565</v>
      </c>
      <c r="J253" s="17">
        <f>SUMIFS(原始数据!$K$3:$K$1002,原始数据!$D$3:$D$1002,"HT20251209")</f>
        <v>104.659</v>
      </c>
      <c r="K253" s="14" t="str">
        <f>IFERROR(INDEX(原始数据!$L$3:$L$1002,MATCH(1,INDEX((原始数据!$D$3:$D$1002="HT20251209")*(原始数据!$L$3:$L$1002&lt;&gt;""),0),0)),"")</f>
        <v>七部</v>
      </c>
      <c r="L253" s="15" t="str">
        <f>IFERROR(INDEX(原始数据!$M$3:$M$1002,MATCH(1,INDEX((原始数据!$D$3:$D$1002="HT20251209")*(原始数据!$M$3:$M$1002&lt;&gt;""),0),0)),"")</f>
        <v>邓丽</v>
      </c>
      <c r="M253" s="14" t="str">
        <f>IFERROR(INDEX(原始数据!$N$3:$N$1002,MATCH(1,INDEX((原始数据!$D$3:$D$1002="HT20251209")*(原始数据!$N$3:$N$1002&lt;&gt;""),0),0)),"")</f>
        <v>2-3年</v>
      </c>
      <c r="N253" s="14" t="inlineStr"/>
    </row>
    <row r="254">
      <c r="A254" s="18">
        <f>ROW()-2</f>
        <v>252</v>
      </c>
      <c r="B254" s="19" t="str">
        <f>IFERROR(INDEX(原始数据!$B$3:$B$1002,MATCH(1,INDEX((原始数据!$D$3:$D$1002="HT20251211")*(原始数据!$B$3:$B$1002&lt;&gt;""),0),0)),"")</f>
        <v>华东-江苏</v>
      </c>
      <c r="C254" s="19" t="str">
        <f>IFERROR(INDEX(原始数据!$C$3:$C$1002,MATCH(1,INDEX((原始数据!$D$3:$D$1002="HT20251211")*(原始数据!$C$3:$C$1002&lt;&gt;""),0),0)),"")</f>
        <v>人大政协</v>
      </c>
      <c r="D254" s="20" t="inlineStr">
        <is>
          <t>HT20251211</t>
        </is>
      </c>
      <c r="E254" s="21">
        <f>IFERROR(INDEX(原始数据!$E$3:$E$1002,MATCH(1,INDEX((原始数据!$D$3:$D$1002="HT20251211")*(原始数据!$E$3:$E$1002&lt;&gt;""),0),0)),"")</f>
        <v>20260826</v>
      </c>
      <c r="F254" s="22">
        <f>SUMIFS(原始数据!$F$3:$F$1002,原始数据!$D$3:$D$1002,"HT20251211")</f>
        <v>79.732</v>
      </c>
      <c r="G254" s="22">
        <f>SUMIFS(原始数据!$H$3:$H$1002,原始数据!$D$3:$D$1002,"HT20251211")</f>
        <v>5.23</v>
      </c>
      <c r="H254" s="22">
        <f>SUMIFS(原始数据!$I$3:$I$1002,原始数据!$D$3:$D$1002,"HT20251211")</f>
        <v>74.502</v>
      </c>
      <c r="I254" s="22">
        <f>SUMIFS(原始数据!$J$3:$J$1002,原始数据!$D$3:$D$1002,"HT20251211")</f>
        <v>22.544</v>
      </c>
      <c r="J254" s="22">
        <f>SUMIFS(原始数据!$K$3:$K$1002,原始数据!$D$3:$D$1002,"HT20251211")</f>
        <v>51.958</v>
      </c>
      <c r="K254" s="19" t="str">
        <f>IFERROR(INDEX(原始数据!$L$3:$L$1002,MATCH(1,INDEX((原始数据!$D$3:$D$1002="HT20251211")*(原始数据!$L$3:$L$1002&lt;&gt;""),0),0)),"")</f>
        <v>九部</v>
      </c>
      <c r="L254" s="20" t="str">
        <f>IFERROR(INDEX(原始数据!$M$3:$M$1002,MATCH(1,INDEX((原始数据!$D$3:$D$1002="HT20251211")*(原始数据!$M$3:$M$1002&lt;&gt;""),0),0)),"")</f>
        <v>魏红</v>
      </c>
      <c r="M254" s="19" t="str">
        <f>IFERROR(INDEX(原始数据!$N$3:$N$1002,MATCH(1,INDEX((原始数据!$D$3:$D$1002="HT20251211")*(原始数据!$N$3:$N$1002&lt;&gt;""),0),0)),"")</f>
        <v>1-2年</v>
      </c>
      <c r="N254" s="19" t="inlineStr"/>
    </row>
    <row r="255">
      <c r="A255" s="13">
        <f>ROW()-2</f>
        <v>253</v>
      </c>
      <c r="B255" s="14" t="str">
        <f>IFERROR(INDEX(原始数据!$B$3:$B$1002,MATCH(1,INDEX((原始数据!$D$3:$D$1002="HT20251212")*(原始数据!$B$3:$B$1002&lt;&gt;""),0),0)),"")</f>
        <v>华东-上海</v>
      </c>
      <c r="C255" s="14" t="str">
        <f>IFERROR(INDEX(原始数据!$C$3:$C$1002,MATCH(1,INDEX((原始数据!$D$3:$D$1002="HT20251212")*(原始数据!$C$3:$C$1002&lt;&gt;""),0),0)),"")</f>
        <v>人大政协</v>
      </c>
      <c r="D255" s="15" t="inlineStr">
        <is>
          <t>HT20251212</t>
        </is>
      </c>
      <c r="E255" s="16">
        <f>IFERROR(INDEX(原始数据!$E$3:$E$1002,MATCH(1,INDEX((原始数据!$D$3:$D$1002="HT20251212")*(原始数据!$E$3:$E$1002&lt;&gt;""),0),0)),"")</f>
        <v>20260813</v>
      </c>
      <c r="F255" s="17">
        <f>SUMIFS(原始数据!$F$3:$F$1002,原始数据!$D$3:$D$1002,"HT20251212")</f>
        <v>880.412</v>
      </c>
      <c r="G255" s="17">
        <f>SUMIFS(原始数据!$H$3:$H$1002,原始数据!$D$3:$D$1002,"HT20251212")</f>
        <v>827.755</v>
      </c>
      <c r="H255" s="17">
        <f>SUMIFS(原始数据!$I$3:$I$1002,原始数据!$D$3:$D$1002,"HT20251212")</f>
        <v>52.657</v>
      </c>
      <c r="I255" s="17">
        <f>SUMIFS(原始数据!$J$3:$J$1002,原始数据!$D$3:$D$1002,"HT20251212")</f>
        <v>12.996</v>
      </c>
      <c r="J255" s="17">
        <f>SUMIFS(原始数据!$K$3:$K$1002,原始数据!$D$3:$D$1002,"HT20251212")</f>
        <v>39.661</v>
      </c>
      <c r="K255" s="14" t="str">
        <f>IFERROR(INDEX(原始数据!$L$3:$L$1002,MATCH(1,INDEX((原始数据!$D$3:$D$1002="HT20251212")*(原始数据!$L$3:$L$1002&lt;&gt;""),0),0)),"")</f>
        <v>八部</v>
      </c>
      <c r="L255" s="15" t="str">
        <f>IFERROR(INDEX(原始数据!$M$3:$M$1002,MATCH(1,INDEX((原始数据!$D$3:$D$1002="HT20251212")*(原始数据!$M$3:$M$1002&lt;&gt;""),0),0)),"")</f>
        <v>吕强</v>
      </c>
      <c r="M255" s="14" t="str">
        <f>IFERROR(INDEX(原始数据!$N$3:$N$1002,MATCH(1,INDEX((原始数据!$D$3:$D$1002="HT20251212")*(原始数据!$N$3:$N$1002&lt;&gt;""),0),0)),"")</f>
        <v>2-3年</v>
      </c>
      <c r="N255" s="14" t="inlineStr"/>
    </row>
    <row r="256">
      <c r="A256" s="18">
        <f>ROW()-2</f>
        <v>254</v>
      </c>
      <c r="B256" s="19" t="str">
        <f>IFERROR(INDEX(原始数据!$B$3:$B$1002,MATCH(1,INDEX((原始数据!$D$3:$D$1002="HT20251213")*(原始数据!$B$3:$B$1002&lt;&gt;""),0),0)),"")</f>
        <v>华南-海南</v>
      </c>
      <c r="C256" s="19" t="str">
        <f>IFERROR(INDEX(原始数据!$C$3:$C$1002,MATCH(1,INDEX((原始数据!$D$3:$D$1002="HT20251213")*(原始数据!$C$3:$C$1002&lt;&gt;""),0),0)),"")</f>
        <v>事业单位</v>
      </c>
      <c r="D256" s="20" t="inlineStr">
        <is>
          <t>HT20251213</t>
        </is>
      </c>
      <c r="E256" s="21">
        <f>IFERROR(INDEX(原始数据!$E$3:$E$1002,MATCH(1,INDEX((原始数据!$D$3:$D$1002="HT20251213")*(原始数据!$E$3:$E$1002&lt;&gt;""),0),0)),"")</f>
        <v>20260404</v>
      </c>
      <c r="F256" s="22">
        <f>SUMIFS(原始数据!$F$3:$F$1002,原始数据!$D$3:$D$1002,"HT20251213")</f>
        <v>4861.593</v>
      </c>
      <c r="G256" s="22">
        <f>SUMIFS(原始数据!$H$3:$H$1002,原始数据!$D$3:$D$1002,"HT20251213")</f>
        <v>766.081</v>
      </c>
      <c r="H256" s="22">
        <f>SUMIFS(原始数据!$I$3:$I$1002,原始数据!$D$3:$D$1002,"HT20251213")</f>
        <v>4095.512</v>
      </c>
      <c r="I256" s="22">
        <f>SUMIFS(原始数据!$J$3:$J$1002,原始数据!$D$3:$D$1002,"HT20251213")</f>
        <v>1432.0910000000001</v>
      </c>
      <c r="J256" s="22">
        <f>SUMIFS(原始数据!$K$3:$K$1002,原始数据!$D$3:$D$1002,"HT20251213")</f>
        <v>2663.421</v>
      </c>
      <c r="K256" s="19" t="str">
        <f>IFERROR(INDEX(原始数据!$L$3:$L$1002,MATCH(1,INDEX((原始数据!$D$3:$D$1002="HT20251213")*(原始数据!$L$3:$L$1002&lt;&gt;""),0),0)),"")</f>
        <v>九部</v>
      </c>
      <c r="L256" s="20" t="str">
        <f>IFERROR(INDEX(原始数据!$M$3:$M$1002,MATCH(1,INDEX((原始数据!$D$3:$D$1002="HT20251213")*(原始数据!$M$3:$M$1002&lt;&gt;""),0),0)),"")</f>
        <v>贾静</v>
      </c>
      <c r="M256" s="19" t="str">
        <f>IFERROR(INDEX(原始数据!$N$3:$N$1002,MATCH(1,INDEX((原始数据!$D$3:$D$1002="HT20251213")*(原始数据!$N$3:$N$1002&lt;&gt;""),0),0)),"")</f>
        <v>1-2年</v>
      </c>
      <c r="N256" s="19" t="inlineStr"/>
    </row>
    <row r="257">
      <c r="A257" s="13">
        <f>ROW()-2</f>
        <v>255</v>
      </c>
      <c r="B257" s="14" t="str">
        <f>IFERROR(INDEX(原始数据!$B$3:$B$1002,MATCH(1,INDEX((原始数据!$D$3:$D$1002="HT20251214")*(原始数据!$B$3:$B$1002&lt;&gt;""),0),0)),"")</f>
        <v>西北-新疆</v>
      </c>
      <c r="C257" s="14" t="str">
        <f>IFERROR(INDEX(原始数据!$C$3:$C$1002,MATCH(1,INDEX((原始数据!$D$3:$D$1002="HT20251214")*(原始数据!$C$3:$C$1002&lt;&gt;""),0),0)),"")</f>
        <v>人大政协</v>
      </c>
      <c r="D257" s="15" t="inlineStr">
        <is>
          <t>HT20251214</t>
        </is>
      </c>
      <c r="E257" s="16">
        <f>IFERROR(INDEX(原始数据!$E$3:$E$1002,MATCH(1,INDEX((原始数据!$D$3:$D$1002="HT20251214")*(原始数据!$E$3:$E$1002&lt;&gt;""),0),0)),"")</f>
        <v>20260810</v>
      </c>
      <c r="F257" s="17">
        <f>SUMIFS(原始数据!$F$3:$F$1002,原始数据!$D$3:$D$1002,"HT20251214")</f>
        <v>6597.585</v>
      </c>
      <c r="G257" s="17">
        <f>SUMIFS(原始数据!$H$3:$H$1002,原始数据!$D$3:$D$1002,"HT20251214")</f>
        <v>5554.195</v>
      </c>
      <c r="H257" s="17">
        <f>SUMIFS(原始数据!$I$3:$I$1002,原始数据!$D$3:$D$1002,"HT20251214")</f>
        <v>1043.3899999999999</v>
      </c>
      <c r="I257" s="17">
        <f>SUMIFS(原始数据!$J$3:$J$1002,原始数据!$D$3:$D$1002,"HT20251214")</f>
        <v>714.8649999999999</v>
      </c>
      <c r="J257" s="17">
        <f>SUMIFS(原始数据!$K$3:$K$1002,原始数据!$D$3:$D$1002,"HT20251214")</f>
        <v>328.525</v>
      </c>
      <c r="K257" s="14" t="str">
        <f>IFERROR(INDEX(原始数据!$L$3:$L$1002,MATCH(1,INDEX((原始数据!$D$3:$D$1002="HT20251214")*(原始数据!$L$3:$L$1002&lt;&gt;""),0),0)),"")</f>
        <v>七部</v>
      </c>
      <c r="L257" s="15" t="str">
        <f>IFERROR(INDEX(原始数据!$M$3:$M$1002,MATCH(1,INDEX((原始数据!$D$3:$D$1002="HT20251214")*(原始数据!$M$3:$M$1002&lt;&gt;""),0),0)),"")</f>
        <v>许涛</v>
      </c>
      <c r="M257" s="14" t="str">
        <f>IFERROR(INDEX(原始数据!$N$3:$N$1002,MATCH(1,INDEX((原始数据!$D$3:$D$1002="HT20251214")*(原始数据!$N$3:$N$1002&lt;&gt;""),0),0)),"")</f>
        <v>1年以内</v>
      </c>
      <c r="N257" s="14" t="inlineStr"/>
    </row>
    <row r="258">
      <c r="A258" s="18">
        <f>ROW()-2</f>
        <v>256</v>
      </c>
      <c r="B258" s="19" t="str">
        <f>IFERROR(INDEX(原始数据!$B$3:$B$1002,MATCH(1,INDEX((原始数据!$D$3:$D$1002="HT20251215")*(原始数据!$B$3:$B$1002&lt;&gt;""),0),0)),"")</f>
        <v>西南-贵州</v>
      </c>
      <c r="C258" s="19" t="str">
        <f>IFERROR(INDEX(原始数据!$C$3:$C$1002,MATCH(1,INDEX((原始数据!$D$3:$D$1002="HT20251215")*(原始数据!$C$3:$C$1002&lt;&gt;""),0),0)),"")</f>
        <v>事业单位</v>
      </c>
      <c r="D258" s="20" t="inlineStr">
        <is>
          <t>HT20251215</t>
        </is>
      </c>
      <c r="E258" s="21">
        <f>IFERROR(INDEX(原始数据!$E$3:$E$1002,MATCH(1,INDEX((原始数据!$D$3:$D$1002="HT20251215")*(原始数据!$E$3:$E$1002&lt;&gt;""),0),0)),"")</f>
        <v>20260129</v>
      </c>
      <c r="F258" s="22">
        <f>SUMIFS(原始数据!$F$3:$F$1002,原始数据!$D$3:$D$1002,"HT20251215")</f>
        <v>3307.355</v>
      </c>
      <c r="G258" s="22">
        <f>SUMIFS(原始数据!$H$3:$H$1002,原始数据!$D$3:$D$1002,"HT20251215")</f>
        <v>1589.903</v>
      </c>
      <c r="H258" s="22">
        <f>SUMIFS(原始数据!$I$3:$I$1002,原始数据!$D$3:$D$1002,"HT20251215")</f>
        <v>1717.4520000000002</v>
      </c>
      <c r="I258" s="22">
        <f>SUMIFS(原始数据!$J$3:$J$1002,原始数据!$D$3:$D$1002,"HT20251215")</f>
        <v>1073.909</v>
      </c>
      <c r="J258" s="22">
        <f>SUMIFS(原始数据!$K$3:$K$1002,原始数据!$D$3:$D$1002,"HT20251215")</f>
        <v>643.543</v>
      </c>
      <c r="K258" s="19" t="str">
        <f>IFERROR(INDEX(原始数据!$L$3:$L$1002,MATCH(1,INDEX((原始数据!$D$3:$D$1002="HT20251215")*(原始数据!$L$3:$L$1002&lt;&gt;""),0),0)),"")</f>
        <v>二部</v>
      </c>
      <c r="L258" s="20" t="str">
        <f>IFERROR(INDEX(原始数据!$M$3:$M$1002,MATCH(1,INDEX((原始数据!$D$3:$D$1002="HT20251215")*(原始数据!$M$3:$M$1002&lt;&gt;""),0),0)),"")</f>
        <v>黄强</v>
      </c>
      <c r="M258" s="19" t="str">
        <f>IFERROR(INDEX(原始数据!$N$3:$N$1002,MATCH(1,INDEX((原始数据!$D$3:$D$1002="HT20251215")*(原始数据!$N$3:$N$1002&lt;&gt;""),0),0)),"")</f>
        <v>2-3年</v>
      </c>
      <c r="N258" s="19" t="inlineStr"/>
    </row>
    <row r="259">
      <c r="A259" s="13">
        <f>ROW()-2</f>
        <v>257</v>
      </c>
      <c r="B259" s="14" t="str">
        <f>IFERROR(INDEX(原始数据!$B$3:$B$1002,MATCH(1,INDEX((原始数据!$D$3:$D$1002="HT20251216")*(原始数据!$B$3:$B$1002&lt;&gt;""),0),0)),"")</f>
        <v>华中-河南</v>
      </c>
      <c r="C259" s="14" t="str">
        <f>IFERROR(INDEX(原始数据!$C$3:$C$1002,MATCH(1,INDEX((原始数据!$D$3:$D$1002="HT20251216")*(原始数据!$C$3:$C$1002&lt;&gt;""),0),0)),"")</f>
        <v>人大政协</v>
      </c>
      <c r="D259" s="15" t="inlineStr">
        <is>
          <t>HT20251216</t>
        </is>
      </c>
      <c r="E259" s="16">
        <f>IFERROR(INDEX(原始数据!$E$3:$E$1002,MATCH(1,INDEX((原始数据!$D$3:$D$1002="HT20251216")*(原始数据!$E$3:$E$1002&lt;&gt;""),0),0)),"")</f>
        <v>20260106</v>
      </c>
      <c r="F259" s="17">
        <f>SUMIFS(原始数据!$F$3:$F$1002,原始数据!$D$3:$D$1002,"HT20251216")</f>
        <v>405.464</v>
      </c>
      <c r="G259" s="17">
        <f>SUMIFS(原始数据!$H$3:$H$1002,原始数据!$D$3:$D$1002,"HT20251216")</f>
        <v>375.516</v>
      </c>
      <c r="H259" s="17">
        <f>SUMIFS(原始数据!$I$3:$I$1002,原始数据!$D$3:$D$1002,"HT20251216")</f>
        <v>29.948</v>
      </c>
      <c r="I259" s="17">
        <f>SUMIFS(原始数据!$J$3:$J$1002,原始数据!$D$3:$D$1002,"HT20251216")</f>
        <v>7.673</v>
      </c>
      <c r="J259" s="17">
        <f>SUMIFS(原始数据!$K$3:$K$1002,原始数据!$D$3:$D$1002,"HT20251216")</f>
        <v>22.275</v>
      </c>
      <c r="K259" s="14" t="str">
        <f>IFERROR(INDEX(原始数据!$L$3:$L$1002,MATCH(1,INDEX((原始数据!$D$3:$D$1002="HT20251216")*(原始数据!$L$3:$L$1002&lt;&gt;""),0),0)),"")</f>
        <v>十部</v>
      </c>
      <c r="L259" s="15" t="str">
        <f>IFERROR(INDEX(原始数据!$M$3:$M$1002,MATCH(1,INDEX((原始数据!$D$3:$D$1002="HT20251216")*(原始数据!$M$3:$M$1002&lt;&gt;""),0),0)),"")</f>
        <v>雷声</v>
      </c>
      <c r="M259" s="14" t="str">
        <f>IFERROR(INDEX(原始数据!$N$3:$N$1002,MATCH(1,INDEX((原始数据!$D$3:$D$1002="HT20251216")*(原始数据!$N$3:$N$1002&lt;&gt;""),0),0)),"")</f>
        <v>2-3年</v>
      </c>
      <c r="N259" s="14" t="inlineStr"/>
    </row>
    <row r="260">
      <c r="A260" s="18">
        <f>ROW()-2</f>
        <v>258</v>
      </c>
      <c r="B260" s="19" t="str">
        <f>IFERROR(INDEX(原始数据!$B$3:$B$1002,MATCH(1,INDEX((原始数据!$D$3:$D$1002="HT20251218")*(原始数据!$B$3:$B$1002&lt;&gt;""),0),0)),"")</f>
        <v>西北-宁夏</v>
      </c>
      <c r="C260" s="19" t="str">
        <f>IFERROR(INDEX(原始数据!$C$3:$C$1002,MATCH(1,INDEX((原始数据!$D$3:$D$1002="HT20251218")*(原始数据!$C$3:$C$1002&lt;&gt;""),0),0)),"")</f>
        <v>监察司法机关</v>
      </c>
      <c r="D260" s="20" t="inlineStr">
        <is>
          <t>HT20251218</t>
        </is>
      </c>
      <c r="E260" s="21">
        <f>IFERROR(INDEX(原始数据!$E$3:$E$1002,MATCH(1,INDEX((原始数据!$D$3:$D$1002="HT20251218")*(原始数据!$E$3:$E$1002&lt;&gt;""),0),0)),"")</f>
        <v>20260420</v>
      </c>
      <c r="F260" s="22">
        <f>SUMIFS(原始数据!$F$3:$F$1002,原始数据!$D$3:$D$1002,"HT20251218")</f>
        <v>1066.976</v>
      </c>
      <c r="G260" s="22">
        <f>SUMIFS(原始数据!$H$3:$H$1002,原始数据!$D$3:$D$1002,"HT20251218")</f>
        <v>394.904</v>
      </c>
      <c r="H260" s="22">
        <f>SUMIFS(原始数据!$I$3:$I$1002,原始数据!$D$3:$D$1002,"HT20251218")</f>
        <v>672.072</v>
      </c>
      <c r="I260" s="22">
        <f>SUMIFS(原始数据!$J$3:$J$1002,原始数据!$D$3:$D$1002,"HT20251218")</f>
        <v>214.16199999999998</v>
      </c>
      <c r="J260" s="22">
        <f>SUMIFS(原始数据!$K$3:$K$1002,原始数据!$D$3:$D$1002,"HT20251218")</f>
        <v>457.90999999999997</v>
      </c>
      <c r="K260" s="19" t="str">
        <f>IFERROR(INDEX(原始数据!$L$3:$L$1002,MATCH(1,INDEX((原始数据!$D$3:$D$1002="HT20251218")*(原始数据!$L$3:$L$1002&lt;&gt;""),0),0)),"")</f>
        <v>二部</v>
      </c>
      <c r="L260" s="20" t="str">
        <f>IFERROR(INDEX(原始数据!$M$3:$M$1002,MATCH(1,INDEX((原始数据!$D$3:$D$1002="HT20251218")*(原始数据!$M$3:$M$1002&lt;&gt;""),0),0)),"")</f>
        <v>赵敏</v>
      </c>
      <c r="M260" s="19" t="str">
        <f>IFERROR(INDEX(原始数据!$N$3:$N$1002,MATCH(1,INDEX((原始数据!$D$3:$D$1002="HT20251218")*(原始数据!$N$3:$N$1002&lt;&gt;""),0),0)),"")</f>
        <v>1年以内</v>
      </c>
      <c r="N260" s="19" t="inlineStr"/>
    </row>
    <row r="261">
      <c r="A261" s="13">
        <f>ROW()-2</f>
        <v>259</v>
      </c>
      <c r="B261" s="14" t="str">
        <f>IFERROR(INDEX(原始数据!$B$3:$B$1002,MATCH(1,INDEX((原始数据!$D$3:$D$1002="HT20251222")*(原始数据!$B$3:$B$1002&lt;&gt;""),0),0)),"")</f>
        <v>华中-河南</v>
      </c>
      <c r="C261" s="14" t="str">
        <f>IFERROR(INDEX(原始数据!$C$3:$C$1002,MATCH(1,INDEX((原始数据!$D$3:$D$1002="HT20251222")*(原始数据!$C$3:$C$1002&lt;&gt;""),0),0)),"")</f>
        <v>政府机关</v>
      </c>
      <c r="D261" s="15" t="inlineStr">
        <is>
          <t>HT20251222</t>
        </is>
      </c>
      <c r="E261" s="16">
        <f>IFERROR(INDEX(原始数据!$E$3:$E$1002,MATCH(1,INDEX((原始数据!$D$3:$D$1002="HT20251222")*(原始数据!$E$3:$E$1002&lt;&gt;""),0),0)),"")</f>
        <v>20260218</v>
      </c>
      <c r="F261" s="17">
        <f>SUMIFS(原始数据!$F$3:$F$1002,原始数据!$D$3:$D$1002,"HT20251222")</f>
        <v>1249.708</v>
      </c>
      <c r="G261" s="17">
        <f>SUMIFS(原始数据!$H$3:$H$1002,原始数据!$D$3:$D$1002,"HT20251222")</f>
        <v>686.0989999999999</v>
      </c>
      <c r="H261" s="17">
        <f>SUMIFS(原始数据!$I$3:$I$1002,原始数据!$D$3:$D$1002,"HT20251222")</f>
        <v>563.609</v>
      </c>
      <c r="I261" s="17">
        <f>SUMIFS(原始数据!$J$3:$J$1002,原始数据!$D$3:$D$1002,"HT20251222")</f>
        <v>288.401</v>
      </c>
      <c r="J261" s="17">
        <f>SUMIFS(原始数据!$K$3:$K$1002,原始数据!$D$3:$D$1002,"HT20251222")</f>
        <v>275.208</v>
      </c>
      <c r="K261" s="14" t="str">
        <f>IFERROR(INDEX(原始数据!$L$3:$L$1002,MATCH(1,INDEX((原始数据!$D$3:$D$1002="HT20251222")*(原始数据!$L$3:$L$1002&lt;&gt;""),0),0)),"")</f>
        <v>八部</v>
      </c>
      <c r="L261" s="15" t="str">
        <f>IFERROR(INDEX(原始数据!$M$3:$M$1002,MATCH(1,INDEX((原始数据!$D$3:$D$1002="HT20251222")*(原始数据!$M$3:$M$1002&lt;&gt;""),0),0)),"")</f>
        <v>彭燕</v>
      </c>
      <c r="M261" s="14" t="str">
        <f>IFERROR(INDEX(原始数据!$N$3:$N$1002,MATCH(1,INDEX((原始数据!$D$3:$D$1002="HT20251222")*(原始数据!$N$3:$N$1002&lt;&gt;""),0),0)),"")</f>
        <v>2-3年</v>
      </c>
      <c r="N261" s="14" t="inlineStr"/>
    </row>
    <row r="262">
      <c r="A262" s="18">
        <f>ROW()-2</f>
        <v>260</v>
      </c>
      <c r="B262" s="19" t="str">
        <f>IFERROR(INDEX(原始数据!$B$3:$B$1002,MATCH(1,INDEX((原始数据!$D$3:$D$1002="HT20251223")*(原始数据!$B$3:$B$1002&lt;&gt;""),0),0)),"")</f>
        <v>华东-江苏</v>
      </c>
      <c r="C262" s="19" t="str">
        <f>IFERROR(INDEX(原始数据!$C$3:$C$1002,MATCH(1,INDEX((原始数据!$D$3:$D$1002="HT20251223")*(原始数据!$C$3:$C$1002&lt;&gt;""),0),0)),"")</f>
        <v>事业单位</v>
      </c>
      <c r="D262" s="20" t="inlineStr">
        <is>
          <t>HT20251223</t>
        </is>
      </c>
      <c r="E262" s="21">
        <f>IFERROR(INDEX(原始数据!$E$3:$E$1002,MATCH(1,INDEX((原始数据!$D$3:$D$1002="HT20251223")*(原始数据!$E$3:$E$1002&lt;&gt;""),0),0)),"")</f>
        <v>20260108</v>
      </c>
      <c r="F262" s="22">
        <f>SUMIFS(原始数据!$F$3:$F$1002,原始数据!$D$3:$D$1002,"HT20251223")</f>
        <v>938.354</v>
      </c>
      <c r="G262" s="22">
        <f>SUMIFS(原始数据!$H$3:$H$1002,原始数据!$D$3:$D$1002,"HT20251223")</f>
        <v>645.985</v>
      </c>
      <c r="H262" s="22">
        <f>SUMIFS(原始数据!$I$3:$I$1002,原始数据!$D$3:$D$1002,"HT20251223")</f>
        <v>292.369</v>
      </c>
      <c r="I262" s="22">
        <f>SUMIFS(原始数据!$J$3:$J$1002,原始数据!$D$3:$D$1002,"HT20251223")</f>
        <v>179.12199999999999</v>
      </c>
      <c r="J262" s="22">
        <f>SUMIFS(原始数据!$K$3:$K$1002,原始数据!$D$3:$D$1002,"HT20251223")</f>
        <v>113.247</v>
      </c>
      <c r="K262" s="19" t="str">
        <f>IFERROR(INDEX(原始数据!$L$3:$L$1002,MATCH(1,INDEX((原始数据!$D$3:$D$1002="HT20251223")*(原始数据!$L$3:$L$1002&lt;&gt;""),0),0)),"")</f>
        <v>一部</v>
      </c>
      <c r="L262" s="20" t="str">
        <f>IFERROR(INDEX(原始数据!$M$3:$M$1002,MATCH(1,INDEX((原始数据!$D$3:$D$1002="HT20251223")*(原始数据!$M$3:$M$1002&lt;&gt;""),0),0)),"")</f>
        <v>陈静</v>
      </c>
      <c r="M262" s="19" t="str">
        <f>IFERROR(INDEX(原始数据!$N$3:$N$1002,MATCH(1,INDEX((原始数据!$D$3:$D$1002="HT20251223")*(原始数据!$N$3:$N$1002&lt;&gt;""),0),0)),"")</f>
        <v>2-3年</v>
      </c>
      <c r="N262" s="19" t="inlineStr"/>
    </row>
    <row r="263">
      <c r="A263" s="13">
        <f>ROW()-2</f>
        <v>261</v>
      </c>
      <c r="B263" s="14" t="str">
        <f>IFERROR(INDEX(原始数据!$B$3:$B$1002,MATCH(1,INDEX((原始数据!$D$3:$D$1002="HT20251224")*(原始数据!$B$3:$B$1002&lt;&gt;""),0),0)),"")</f>
        <v>华中-河南</v>
      </c>
      <c r="C263" s="14" t="str">
        <f>IFERROR(INDEX(原始数据!$C$3:$C$1002,MATCH(1,INDEX((原始数据!$D$3:$D$1002="HT20251224")*(原始数据!$C$3:$C$1002&lt;&gt;""),0),0)),"")</f>
        <v>政府机关</v>
      </c>
      <c r="D263" s="15" t="inlineStr">
        <is>
          <t>HT20251224</t>
        </is>
      </c>
      <c r="E263" s="16">
        <f>IFERROR(INDEX(原始数据!$E$3:$E$1002,MATCH(1,INDEX((原始数据!$D$3:$D$1002="HT20251224")*(原始数据!$E$3:$E$1002&lt;&gt;""),0),0)),"")</f>
        <v>20260820</v>
      </c>
      <c r="F263" s="17">
        <f>SUMIFS(原始数据!$F$3:$F$1002,原始数据!$D$3:$D$1002,"HT20251224")</f>
        <v>805.717</v>
      </c>
      <c r="G263" s="17">
        <f>SUMIFS(原始数据!$H$3:$H$1002,原始数据!$D$3:$D$1002,"HT20251224")</f>
        <v>442.742</v>
      </c>
      <c r="H263" s="17">
        <f>SUMIFS(原始数据!$I$3:$I$1002,原始数据!$D$3:$D$1002,"HT20251224")</f>
        <v>362.975</v>
      </c>
      <c r="I263" s="17">
        <f>SUMIFS(原始数据!$J$3:$J$1002,原始数据!$D$3:$D$1002,"HT20251224")</f>
        <v>167.214</v>
      </c>
      <c r="J263" s="17">
        <f>SUMIFS(原始数据!$K$3:$K$1002,原始数据!$D$3:$D$1002,"HT20251224")</f>
        <v>195.761</v>
      </c>
      <c r="K263" s="14" t="str">
        <f>IFERROR(INDEX(原始数据!$L$3:$L$1002,MATCH(1,INDEX((原始数据!$D$3:$D$1002="HT20251224")*(原始数据!$L$3:$L$1002&lt;&gt;""),0),0)),"")</f>
        <v>九部</v>
      </c>
      <c r="L263" s="15" t="str">
        <f>IFERROR(INDEX(原始数据!$M$3:$M$1002,MATCH(1,INDEX((原始数据!$D$3:$D$1002="HT20251224")*(原始数据!$M$3:$M$1002&lt;&gt;""),0),0)),"")</f>
        <v>蔡明</v>
      </c>
      <c r="M263" s="14" t="str">
        <f>IFERROR(INDEX(原始数据!$N$3:$N$1002,MATCH(1,INDEX((原始数据!$D$3:$D$1002="HT20251224")*(原始数据!$N$3:$N$1002&lt;&gt;""),0),0)),"")</f>
        <v>1年以内</v>
      </c>
      <c r="N263" s="14" t="inlineStr"/>
    </row>
    <row r="264">
      <c r="A264" s="18">
        <f>ROW()-2</f>
        <v>262</v>
      </c>
      <c r="B264" s="19" t="str">
        <f>IFERROR(INDEX(原始数据!$B$3:$B$1002,MATCH(1,INDEX((原始数据!$D$3:$D$1002="HT20251225")*(原始数据!$B$3:$B$1002&lt;&gt;""),0),0)),"")</f>
        <v>西南-贵州</v>
      </c>
      <c r="C264" s="19" t="str">
        <f>IFERROR(INDEX(原始数据!$C$3:$C$1002,MATCH(1,INDEX((原始数据!$D$3:$D$1002="HT20251225")*(原始数据!$C$3:$C$1002&lt;&gt;""),0),0)),"")</f>
        <v>国有企业</v>
      </c>
      <c r="D264" s="20" t="inlineStr">
        <is>
          <t>HT20251225</t>
        </is>
      </c>
      <c r="E264" s="21">
        <f>IFERROR(INDEX(原始数据!$E$3:$E$1002,MATCH(1,INDEX((原始数据!$D$3:$D$1002="HT20251225")*(原始数据!$E$3:$E$1002&lt;&gt;""),0),0)),"")</f>
        <v>20260311</v>
      </c>
      <c r="F264" s="22">
        <f>SUMIFS(原始数据!$F$3:$F$1002,原始数据!$D$3:$D$1002,"HT20251225")</f>
        <v>159.67</v>
      </c>
      <c r="G264" s="22">
        <f>SUMIFS(原始数据!$H$3:$H$1002,原始数据!$D$3:$D$1002,"HT20251225")</f>
        <v>46.754</v>
      </c>
      <c r="H264" s="22">
        <f>SUMIFS(原始数据!$I$3:$I$1002,原始数据!$D$3:$D$1002,"HT20251225")</f>
        <v>112.916</v>
      </c>
      <c r="I264" s="22">
        <f>SUMIFS(原始数据!$J$3:$J$1002,原始数据!$D$3:$D$1002,"HT20251225")</f>
        <v>88.864</v>
      </c>
      <c r="J264" s="22">
        <f>SUMIFS(原始数据!$K$3:$K$1002,原始数据!$D$3:$D$1002,"HT20251225")</f>
        <v>24.052</v>
      </c>
      <c r="K264" s="19" t="str">
        <f>IFERROR(INDEX(原始数据!$L$3:$L$1002,MATCH(1,INDEX((原始数据!$D$3:$D$1002="HT20251225")*(原始数据!$L$3:$L$1002&lt;&gt;""),0),0)),"")</f>
        <v>八部</v>
      </c>
      <c r="L264" s="20" t="str">
        <f>IFERROR(INDEX(原始数据!$M$3:$M$1002,MATCH(1,INDEX((原始数据!$D$3:$D$1002="HT20251225")*(原始数据!$M$3:$M$1002&lt;&gt;""),0),0)),"")</f>
        <v>彭燕</v>
      </c>
      <c r="M264" s="19" t="str">
        <f>IFERROR(INDEX(原始数据!$N$3:$N$1002,MATCH(1,INDEX((原始数据!$D$3:$D$1002="HT20251225")*(原始数据!$N$3:$N$1002&lt;&gt;""),0),0)),"")</f>
        <v>1-2年</v>
      </c>
      <c r="N264" s="19" t="inlineStr"/>
    </row>
    <row r="265">
      <c r="A265" s="13">
        <f>ROW()-2</f>
        <v>263</v>
      </c>
      <c r="B265" s="14" t="str">
        <f>IFERROR(INDEX(原始数据!$B$3:$B$1002,MATCH(1,INDEX((原始数据!$D$3:$D$1002="HT20251226")*(原始数据!$B$3:$B$1002&lt;&gt;""),0),0)),"")</f>
        <v>华南-香港</v>
      </c>
      <c r="C265" s="14" t="str">
        <f>IFERROR(INDEX(原始数据!$C$3:$C$1002,MATCH(1,INDEX((原始数据!$D$3:$D$1002="HT20251226")*(原始数据!$C$3:$C$1002&lt;&gt;""),0),0)),"")</f>
        <v>事业单位</v>
      </c>
      <c r="D265" s="15" t="inlineStr">
        <is>
          <t>HT20251226</t>
        </is>
      </c>
      <c r="E265" s="16">
        <f>IFERROR(INDEX(原始数据!$E$3:$E$1002,MATCH(1,INDEX((原始数据!$D$3:$D$1002="HT20251226")*(原始数据!$E$3:$E$1002&lt;&gt;""),0),0)),"")</f>
        <v>20260723</v>
      </c>
      <c r="F265" s="17">
        <f>SUMIFS(原始数据!$F$3:$F$1002,原始数据!$D$3:$D$1002,"HT20251226")</f>
        <v>1596.097</v>
      </c>
      <c r="G265" s="17">
        <f>SUMIFS(原始数据!$H$3:$H$1002,原始数据!$D$3:$D$1002,"HT20251226")</f>
        <v>1322.5639999999999</v>
      </c>
      <c r="H265" s="17">
        <f>SUMIFS(原始数据!$I$3:$I$1002,原始数据!$D$3:$D$1002,"HT20251226")</f>
        <v>273.53299999999996</v>
      </c>
      <c r="I265" s="17">
        <f>SUMIFS(原始数据!$J$3:$J$1002,原始数据!$D$3:$D$1002,"HT20251226")</f>
        <v>84.767</v>
      </c>
      <c r="J265" s="17">
        <f>SUMIFS(原始数据!$K$3:$K$1002,原始数据!$D$3:$D$1002,"HT20251226")</f>
        <v>188.766</v>
      </c>
      <c r="K265" s="14" t="str">
        <f>IFERROR(INDEX(原始数据!$L$3:$L$1002,MATCH(1,INDEX((原始数据!$D$3:$D$1002="HT20251226")*(原始数据!$L$3:$L$1002&lt;&gt;""),0),0)),"")</f>
        <v>七部</v>
      </c>
      <c r="L265" s="15" t="str">
        <f>IFERROR(INDEX(原始数据!$M$3:$M$1002,MATCH(1,INDEX((原始数据!$D$3:$D$1002="HT20251226")*(原始数据!$M$3:$M$1002&lt;&gt;""),0),0)),"")</f>
        <v>袁博</v>
      </c>
      <c r="M265" s="14" t="str">
        <f>IFERROR(INDEX(原始数据!$N$3:$N$1002,MATCH(1,INDEX((原始数据!$D$3:$D$1002="HT20251226")*(原始数据!$N$3:$N$1002&lt;&gt;""),0),0)),"")</f>
        <v>1-2年</v>
      </c>
      <c r="N265" s="14" t="inlineStr"/>
    </row>
    <row r="266">
      <c r="A266" s="18">
        <f>ROW()-2</f>
        <v>264</v>
      </c>
      <c r="B266" s="19" t="str">
        <f>IFERROR(INDEX(原始数据!$B$3:$B$1002,MATCH(1,INDEX((原始数据!$D$3:$D$1002="HT20251227")*(原始数据!$B$3:$B$1002&lt;&gt;""),0),0)),"")</f>
        <v>华东-福建</v>
      </c>
      <c r="C266" s="19" t="str">
        <f>IFERROR(INDEX(原始数据!$C$3:$C$1002,MATCH(1,INDEX((原始数据!$D$3:$D$1002="HT20251227")*(原始数据!$C$3:$C$1002&lt;&gt;""),0),0)),"")</f>
        <v>监察司法机关</v>
      </c>
      <c r="D266" s="20" t="inlineStr">
        <is>
          <t>HT20251227</t>
        </is>
      </c>
      <c r="E266" s="21">
        <f>IFERROR(INDEX(原始数据!$E$3:$E$1002,MATCH(1,INDEX((原始数据!$D$3:$D$1002="HT20251227")*(原始数据!$E$3:$E$1002&lt;&gt;""),0),0)),"")</f>
        <v>20260112</v>
      </c>
      <c r="F266" s="22">
        <f>SUMIFS(原始数据!$F$3:$F$1002,原始数据!$D$3:$D$1002,"HT20251227")</f>
        <v>1509.116</v>
      </c>
      <c r="G266" s="22">
        <f>SUMIFS(原始数据!$H$3:$H$1002,原始数据!$D$3:$D$1002,"HT20251227")</f>
        <v>586.17</v>
      </c>
      <c r="H266" s="22">
        <f>SUMIFS(原始数据!$I$3:$I$1002,原始数据!$D$3:$D$1002,"HT20251227")</f>
        <v>922.946</v>
      </c>
      <c r="I266" s="22">
        <f>SUMIFS(原始数据!$J$3:$J$1002,原始数据!$D$3:$D$1002,"HT20251227")</f>
        <v>196.115</v>
      </c>
      <c r="J266" s="22">
        <f>SUMIFS(原始数据!$K$3:$K$1002,原始数据!$D$3:$D$1002,"HT20251227")</f>
        <v>726.831</v>
      </c>
      <c r="K266" s="19" t="str">
        <f>IFERROR(INDEX(原始数据!$L$3:$L$1002,MATCH(1,INDEX((原始数据!$D$3:$D$1002="HT20251227")*(原始数据!$L$3:$L$1002&lt;&gt;""),0),0)),"")</f>
        <v>十部</v>
      </c>
      <c r="L266" s="20" t="str">
        <f>IFERROR(INDEX(原始数据!$M$3:$M$1002,MATCH(1,INDEX((原始数据!$D$3:$D$1002="HT20251227")*(原始数据!$M$3:$M$1002&lt;&gt;""),0),0)),"")</f>
        <v>薛峰</v>
      </c>
      <c r="M266" s="19" t="str">
        <f>IFERROR(INDEX(原始数据!$N$3:$N$1002,MATCH(1,INDEX((原始数据!$D$3:$D$1002="HT20251227")*(原始数据!$N$3:$N$1002&lt;&gt;""),0),0)),"")</f>
        <v>1-2年</v>
      </c>
      <c r="N266" s="19" t="inlineStr"/>
    </row>
    <row r="267">
      <c r="A267" s="13">
        <f>ROW()-2</f>
        <v>265</v>
      </c>
      <c r="B267" s="14" t="str">
        <f>IFERROR(INDEX(原始数据!$B$3:$B$1002,MATCH(1,INDEX((原始数据!$D$3:$D$1002="HT20251228")*(原始数据!$B$3:$B$1002&lt;&gt;""),0),0)),"")</f>
        <v>东北-吉林</v>
      </c>
      <c r="C267" s="14" t="str">
        <f>IFERROR(INDEX(原始数据!$C$3:$C$1002,MATCH(1,INDEX((原始数据!$D$3:$D$1002="HT20251228")*(原始数据!$C$3:$C$1002&lt;&gt;""),0),0)),"")</f>
        <v>人大政协</v>
      </c>
      <c r="D267" s="15" t="inlineStr">
        <is>
          <t>HT20251228</t>
        </is>
      </c>
      <c r="E267" s="16">
        <f>IFERROR(INDEX(原始数据!$E$3:$E$1002,MATCH(1,INDEX((原始数据!$D$3:$D$1002="HT20251228")*(原始数据!$E$3:$E$1002&lt;&gt;""),0),0)),"")</f>
        <v>20260830</v>
      </c>
      <c r="F267" s="17">
        <f>SUMIFS(原始数据!$F$3:$F$1002,原始数据!$D$3:$D$1002,"HT20251228")</f>
        <v>2616.038</v>
      </c>
      <c r="G267" s="17">
        <f>SUMIFS(原始数据!$H$3:$H$1002,原始数据!$D$3:$D$1002,"HT20251228")</f>
        <v>1363.598</v>
      </c>
      <c r="H267" s="17">
        <f>SUMIFS(原始数据!$I$3:$I$1002,原始数据!$D$3:$D$1002,"HT20251228")</f>
        <v>1252.44</v>
      </c>
      <c r="I267" s="17">
        <f>SUMIFS(原始数据!$J$3:$J$1002,原始数据!$D$3:$D$1002,"HT20251228")</f>
        <v>789.942</v>
      </c>
      <c r="J267" s="17">
        <f>SUMIFS(原始数据!$K$3:$K$1002,原始数据!$D$3:$D$1002,"HT20251228")</f>
        <v>462.49800000000005</v>
      </c>
      <c r="K267" s="14" t="str">
        <f>IFERROR(INDEX(原始数据!$L$3:$L$1002,MATCH(1,INDEX((原始数据!$D$3:$D$1002="HT20251228")*(原始数据!$L$3:$L$1002&lt;&gt;""),0),0)),"")</f>
        <v>十部</v>
      </c>
      <c r="L267" s="15" t="str">
        <f>IFERROR(INDEX(原始数据!$M$3:$M$1002,MATCH(1,INDEX((原始数据!$D$3:$D$1002="HT20251228")*(原始数据!$M$3:$M$1002&lt;&gt;""),0),0)),"")</f>
        <v>侯敏</v>
      </c>
      <c r="M267" s="14" t="str">
        <f>IFERROR(INDEX(原始数据!$N$3:$N$1002,MATCH(1,INDEX((原始数据!$D$3:$D$1002="HT20251228")*(原始数据!$N$3:$N$1002&lt;&gt;""),0),0)),"")</f>
        <v>2-3年</v>
      </c>
      <c r="N267" s="14" t="inlineStr"/>
    </row>
    <row r="268">
      <c r="A268" s="18">
        <f>ROW()-2</f>
        <v>266</v>
      </c>
      <c r="B268" s="19" t="str">
        <f>IFERROR(INDEX(原始数据!$B$3:$B$1002,MATCH(1,INDEX((原始数据!$D$3:$D$1002="HT20251230")*(原始数据!$B$3:$B$1002&lt;&gt;""),0),0)),"")</f>
        <v>华南-广西</v>
      </c>
      <c r="C268" s="19" t="str">
        <f>IFERROR(INDEX(原始数据!$C$3:$C$1002,MATCH(1,INDEX((原始数据!$D$3:$D$1002="HT20251230")*(原始数据!$C$3:$C$1002&lt;&gt;""),0),0)),"")</f>
        <v>政府机关</v>
      </c>
      <c r="D268" s="20" t="inlineStr">
        <is>
          <t>HT20251230</t>
        </is>
      </c>
      <c r="E268" s="21">
        <f>IFERROR(INDEX(原始数据!$E$3:$E$1002,MATCH(1,INDEX((原始数据!$D$3:$D$1002="HT20251230")*(原始数据!$E$3:$E$1002&lt;&gt;""),0),0)),"")</f>
        <v>20260529</v>
      </c>
      <c r="F268" s="22">
        <f>SUMIFS(原始数据!$F$3:$F$1002,原始数据!$D$3:$D$1002,"HT20251230")</f>
        <v>8292.523000000001</v>
      </c>
      <c r="G268" s="22">
        <f>SUMIFS(原始数据!$H$3:$H$1002,原始数据!$D$3:$D$1002,"HT20251230")</f>
        <v>1590.2</v>
      </c>
      <c r="H268" s="22">
        <f>SUMIFS(原始数据!$I$3:$I$1002,原始数据!$D$3:$D$1002,"HT20251230")</f>
        <v>6702.323</v>
      </c>
      <c r="I268" s="22">
        <f>SUMIFS(原始数据!$J$3:$J$1002,原始数据!$D$3:$D$1002,"HT20251230")</f>
        <v>3300.91</v>
      </c>
      <c r="J268" s="22">
        <f>SUMIFS(原始数据!$K$3:$K$1002,原始数据!$D$3:$D$1002,"HT20251230")</f>
        <v>3401.413</v>
      </c>
      <c r="K268" s="19" t="str">
        <f>IFERROR(INDEX(原始数据!$L$3:$L$1002,MATCH(1,INDEX((原始数据!$D$3:$D$1002="HT20251230")*(原始数据!$L$3:$L$1002&lt;&gt;""),0),0)),"")</f>
        <v>二部</v>
      </c>
      <c r="L268" s="20" t="str">
        <f>IFERROR(INDEX(原始数据!$M$3:$M$1002,MATCH(1,INDEX((原始数据!$D$3:$D$1002="HT20251230")*(原始数据!$M$3:$M$1002&lt;&gt;""),0),0)),"")</f>
        <v>吴丽</v>
      </c>
      <c r="M268" s="19" t="str">
        <f>IFERROR(INDEX(原始数据!$N$3:$N$1002,MATCH(1,INDEX((原始数据!$D$3:$D$1002="HT20251230")*(原始数据!$N$3:$N$1002&lt;&gt;""),0),0)),"")</f>
        <v>1-2年</v>
      </c>
      <c r="N268" s="19" t="inlineStr"/>
    </row>
    <row r="269">
      <c r="A269" s="13">
        <f>ROW()-2</f>
        <v>267</v>
      </c>
      <c r="B269" s="14" t="str">
        <f>IFERROR(INDEX(原始数据!$B$3:$B$1002,MATCH(1,INDEX((原始数据!$D$3:$D$1002="HT20251231")*(原始数据!$B$3:$B$1002&lt;&gt;""),0),0)),"")</f>
        <v>西北-青海</v>
      </c>
      <c r="C269" s="14" t="str">
        <f>IFERROR(INDEX(原始数据!$C$3:$C$1002,MATCH(1,INDEX((原始数据!$D$3:$D$1002="HT20251231")*(原始数据!$C$3:$C$1002&lt;&gt;""),0),0)),"")</f>
        <v>人大政协</v>
      </c>
      <c r="D269" s="15" t="inlineStr">
        <is>
          <t>HT20251231</t>
        </is>
      </c>
      <c r="E269" s="16">
        <f>IFERROR(INDEX(原始数据!$E$3:$E$1002,MATCH(1,INDEX((原始数据!$D$3:$D$1002="HT20251231")*(原始数据!$E$3:$E$1002&lt;&gt;""),0),0)),"")</f>
        <v>20260324</v>
      </c>
      <c r="F269" s="17">
        <f>SUMIFS(原始数据!$F$3:$F$1002,原始数据!$D$3:$D$1002,"HT20251231")</f>
        <v>672.224</v>
      </c>
      <c r="G269" s="17">
        <f>SUMIFS(原始数据!$H$3:$H$1002,原始数据!$D$3:$D$1002,"HT20251231")</f>
        <v>604.659</v>
      </c>
      <c r="H269" s="17">
        <f>SUMIFS(原始数据!$I$3:$I$1002,原始数据!$D$3:$D$1002,"HT20251231")</f>
        <v>67.565</v>
      </c>
      <c r="I269" s="17">
        <f>SUMIFS(原始数据!$J$3:$J$1002,原始数据!$D$3:$D$1002,"HT20251231")</f>
        <v>22.614</v>
      </c>
      <c r="J269" s="17">
        <f>SUMIFS(原始数据!$K$3:$K$1002,原始数据!$D$3:$D$1002,"HT20251231")</f>
        <v>44.951</v>
      </c>
      <c r="K269" s="14" t="str">
        <f>IFERROR(INDEX(原始数据!$L$3:$L$1002,MATCH(1,INDEX((原始数据!$D$3:$D$1002="HT20251231")*(原始数据!$L$3:$L$1002&lt;&gt;""),0),0)),"")</f>
        <v>九部</v>
      </c>
      <c r="L269" s="15" t="str">
        <f>IFERROR(INDEX(原始数据!$M$3:$M$1002,MATCH(1,INDEX((原始数据!$D$3:$D$1002="HT20251231")*(原始数据!$M$3:$M$1002&lt;&gt;""),0),0)),"")</f>
        <v>蔡明</v>
      </c>
      <c r="M269" s="14" t="str">
        <f>IFERROR(INDEX(原始数据!$N$3:$N$1002,MATCH(1,INDEX((原始数据!$D$3:$D$1002="HT20251231")*(原始数据!$N$3:$N$1002&lt;&gt;""),0),0)),"")</f>
        <v>1-2年</v>
      </c>
      <c r="N269" s="14" t="inlineStr"/>
    </row>
    <row r="270">
      <c r="A270" s="18">
        <f>ROW()-2</f>
        <v>268</v>
      </c>
      <c r="B270" s="19" t="str">
        <f>IFERROR(INDEX(原始数据!$B$3:$B$1002,MATCH(1,INDEX((原始数据!$D$3:$D$1002="HT20260101")*(原始数据!$B$3:$B$1002&lt;&gt;""),0),0)),"")</f>
        <v>华北-河北</v>
      </c>
      <c r="C270" s="19" t="str">
        <f>IFERROR(INDEX(原始数据!$C$3:$C$1002,MATCH(1,INDEX((原始数据!$D$3:$D$1002="HT20260101")*(原始数据!$C$3:$C$1002&lt;&gt;""),0),0)),"")</f>
        <v>基层自治组织</v>
      </c>
      <c r="D270" s="20" t="inlineStr">
        <is>
          <t>HT20260101</t>
        </is>
      </c>
      <c r="E270" s="21">
        <f>IFERROR(INDEX(原始数据!$E$3:$E$1002,MATCH(1,INDEX((原始数据!$D$3:$D$1002="HT20260101")*(原始数据!$E$3:$E$1002&lt;&gt;""),0),0)),"")</f>
        <v>20260714</v>
      </c>
      <c r="F270" s="22">
        <f>SUMIFS(原始数据!$F$3:$F$1002,原始数据!$D$3:$D$1002,"HT20260101")</f>
        <v>1934.781</v>
      </c>
      <c r="G270" s="22">
        <f>SUMIFS(原始数据!$H$3:$H$1002,原始数据!$D$3:$D$1002,"HT20260101")</f>
        <v>1132.566</v>
      </c>
      <c r="H270" s="22">
        <f>SUMIFS(原始数据!$I$3:$I$1002,原始数据!$D$3:$D$1002,"HT20260101")</f>
        <v>802.2149999999999</v>
      </c>
      <c r="I270" s="22">
        <f>SUMIFS(原始数据!$J$3:$J$1002,原始数据!$D$3:$D$1002,"HT20260101")</f>
        <v>467.16099999999994</v>
      </c>
      <c r="J270" s="22">
        <f>SUMIFS(原始数据!$K$3:$K$1002,原始数据!$D$3:$D$1002,"HT20260101")</f>
        <v>335.054</v>
      </c>
      <c r="K270" s="19" t="str">
        <f>IFERROR(INDEX(原始数据!$L$3:$L$1002,MATCH(1,INDEX((原始数据!$D$3:$D$1002="HT20260101")*(原始数据!$L$3:$L$1002&lt;&gt;""),0),0)),"")</f>
        <v>五部</v>
      </c>
      <c r="L270" s="20" t="str">
        <f>IFERROR(INDEX(原始数据!$M$3:$M$1002,MATCH(1,INDEX((原始数据!$D$3:$D$1002="HT20260101")*(原始数据!$M$3:$M$1002&lt;&gt;""),0),0)),"")</f>
        <v>宋佳</v>
      </c>
      <c r="M270" s="19" t="str">
        <f>IFERROR(INDEX(原始数据!$N$3:$N$1002,MATCH(1,INDEX((原始数据!$D$3:$D$1002="HT20260101")*(原始数据!$N$3:$N$1002&lt;&gt;""),0),0)),"")</f>
        <v>1年以内</v>
      </c>
      <c r="N270" s="19" t="inlineStr"/>
    </row>
    <row r="271">
      <c r="A271" s="13">
        <f>ROW()-2</f>
        <v>269</v>
      </c>
      <c r="B271" s="14" t="str">
        <f>IFERROR(INDEX(原始数据!$B$3:$B$1002,MATCH(1,INDEX((原始数据!$D$3:$D$1002="HT20260103")*(原始数据!$B$3:$B$1002&lt;&gt;""),0),0)),"")</f>
        <v>华中-湖北</v>
      </c>
      <c r="C271" s="14" t="str">
        <f>IFERROR(INDEX(原始数据!$C$3:$C$1002,MATCH(1,INDEX((原始数据!$D$3:$D$1002="HT20260103")*(原始数据!$C$3:$C$1002&lt;&gt;""),0),0)),"")</f>
        <v>人大政协</v>
      </c>
      <c r="D271" s="15" t="inlineStr">
        <is>
          <t>HT20260103</t>
        </is>
      </c>
      <c r="E271" s="16">
        <f>IFERROR(INDEX(原始数据!$E$3:$E$1002,MATCH(1,INDEX((原始数据!$D$3:$D$1002="HT20260103")*(原始数据!$E$3:$E$1002&lt;&gt;""),0),0)),"")</f>
        <v>20260612</v>
      </c>
      <c r="F271" s="17">
        <f>SUMIFS(原始数据!$F$3:$F$1002,原始数据!$D$3:$D$1002,"HT20260103")</f>
        <v>10026.152</v>
      </c>
      <c r="G271" s="17">
        <f>SUMIFS(原始数据!$H$3:$H$1002,原始数据!$D$3:$D$1002,"HT20260103")</f>
        <v>4325.238</v>
      </c>
      <c r="H271" s="17">
        <f>SUMIFS(原始数据!$I$3:$I$1002,原始数据!$D$3:$D$1002,"HT20260103")</f>
        <v>5700.914</v>
      </c>
      <c r="I271" s="17">
        <f>SUMIFS(原始数据!$J$3:$J$1002,原始数据!$D$3:$D$1002,"HT20260103")</f>
        <v>2808.9610000000002</v>
      </c>
      <c r="J271" s="17">
        <f>SUMIFS(原始数据!$K$3:$K$1002,原始数据!$D$3:$D$1002,"HT20260103")</f>
        <v>2891.9529999999995</v>
      </c>
      <c r="K271" s="14" t="str">
        <f>IFERROR(INDEX(原始数据!$L$3:$L$1002,MATCH(1,INDEX((原始数据!$D$3:$D$1002="HT20260103")*(原始数据!$L$3:$L$1002&lt;&gt;""),0),0)),"")</f>
        <v>一部</v>
      </c>
      <c r="L271" s="15" t="str">
        <f>IFERROR(INDEX(原始数据!$M$3:$M$1002,MATCH(1,INDEX((原始数据!$D$3:$D$1002="HT20260103")*(原始数据!$M$3:$M$1002&lt;&gt;""),0),0)),"")</f>
        <v>张伟</v>
      </c>
      <c r="M271" s="14" t="str">
        <f>IFERROR(INDEX(原始数据!$N$3:$N$1002,MATCH(1,INDEX((原始数据!$D$3:$D$1002="HT20260103")*(原始数据!$N$3:$N$1002&lt;&gt;""),0),0)),"")</f>
        <v>1-2年</v>
      </c>
      <c r="N271" s="14" t="inlineStr"/>
    </row>
    <row r="272">
      <c r="A272" s="18">
        <f>ROW()-2</f>
        <v>270</v>
      </c>
      <c r="B272" s="19" t="str">
        <f>IFERROR(INDEX(原始数据!$B$3:$B$1002,MATCH(1,INDEX((原始数据!$D$3:$D$1002="HT20260104")*(原始数据!$B$3:$B$1002&lt;&gt;""),0),0)),"")</f>
        <v>华中-河南</v>
      </c>
      <c r="C272" s="19" t="str">
        <f>IFERROR(INDEX(原始数据!$C$3:$C$1002,MATCH(1,INDEX((原始数据!$D$3:$D$1002="HT20260104")*(原始数据!$C$3:$C$1002&lt;&gt;""),0),0)),"")</f>
        <v>政府机关</v>
      </c>
      <c r="D272" s="20" t="inlineStr">
        <is>
          <t>HT20260104</t>
        </is>
      </c>
      <c r="E272" s="21">
        <f>IFERROR(INDEX(原始数据!$E$3:$E$1002,MATCH(1,INDEX((原始数据!$D$3:$D$1002="HT20260104")*(原始数据!$E$3:$E$1002&lt;&gt;""),0),0)),"")</f>
        <v>20260603</v>
      </c>
      <c r="F272" s="22">
        <f>SUMIFS(原始数据!$F$3:$F$1002,原始数据!$D$3:$D$1002,"HT20260104")</f>
        <v>1322.637</v>
      </c>
      <c r="G272" s="22">
        <f>SUMIFS(原始数据!$H$3:$H$1002,原始数据!$D$3:$D$1002,"HT20260104")</f>
        <v>835.746</v>
      </c>
      <c r="H272" s="22">
        <f>SUMIFS(原始数据!$I$3:$I$1002,原始数据!$D$3:$D$1002,"HT20260104")</f>
        <v>486.891</v>
      </c>
      <c r="I272" s="22">
        <f>SUMIFS(原始数据!$J$3:$J$1002,原始数据!$D$3:$D$1002,"HT20260104")</f>
        <v>218.291</v>
      </c>
      <c r="J272" s="22">
        <f>SUMIFS(原始数据!$K$3:$K$1002,原始数据!$D$3:$D$1002,"HT20260104")</f>
        <v>268.6</v>
      </c>
      <c r="K272" s="19" t="str">
        <f>IFERROR(INDEX(原始数据!$L$3:$L$1002,MATCH(1,INDEX((原始数据!$D$3:$D$1002="HT20260104")*(原始数据!$L$3:$L$1002&lt;&gt;""),0),0)),"")</f>
        <v>十部</v>
      </c>
      <c r="L272" s="20" t="str">
        <f>IFERROR(INDEX(原始数据!$M$3:$M$1002,MATCH(1,INDEX((原始数据!$D$3:$D$1002="HT20260104")*(原始数据!$M$3:$M$1002&lt;&gt;""),0),0)),"")</f>
        <v>阎莉</v>
      </c>
      <c r="M272" s="19" t="str">
        <f>IFERROR(INDEX(原始数据!$N$3:$N$1002,MATCH(1,INDEX((原始数据!$D$3:$D$1002="HT20260104")*(原始数据!$N$3:$N$1002&lt;&gt;""),0),0)),"")</f>
        <v>1-2年</v>
      </c>
      <c r="N272" s="19" t="inlineStr"/>
    </row>
    <row r="273">
      <c r="A273" s="13">
        <f>ROW()-2</f>
        <v>271</v>
      </c>
      <c r="B273" s="14" t="str">
        <f>IFERROR(INDEX(原始数据!$B$3:$B$1002,MATCH(1,INDEX((原始数据!$D$3:$D$1002="HT20260105")*(原始数据!$B$3:$B$1002&lt;&gt;""),0),0)),"")</f>
        <v>华东-上海</v>
      </c>
      <c r="C273" s="14" t="str">
        <f>IFERROR(INDEX(原始数据!$C$3:$C$1002,MATCH(1,INDEX((原始数据!$D$3:$D$1002="HT20260105")*(原始数据!$C$3:$C$1002&lt;&gt;""),0),0)),"")</f>
        <v>政府机关</v>
      </c>
      <c r="D273" s="15" t="inlineStr">
        <is>
          <t>HT20260105</t>
        </is>
      </c>
      <c r="E273" s="16">
        <f>IFERROR(INDEX(原始数据!$E$3:$E$1002,MATCH(1,INDEX((原始数据!$D$3:$D$1002="HT20260105")*(原始数据!$E$3:$E$1002&lt;&gt;""),0),0)),"")</f>
        <v>20260210</v>
      </c>
      <c r="F273" s="17">
        <f>SUMIFS(原始数据!$F$3:$F$1002,原始数据!$D$3:$D$1002,"HT20260105")</f>
        <v>483.36</v>
      </c>
      <c r="G273" s="17">
        <f>SUMIFS(原始数据!$H$3:$H$1002,原始数据!$D$3:$D$1002,"HT20260105")</f>
        <v>210.135</v>
      </c>
      <c r="H273" s="17">
        <f>SUMIFS(原始数据!$I$3:$I$1002,原始数据!$D$3:$D$1002,"HT20260105")</f>
        <v>273.225</v>
      </c>
      <c r="I273" s="17">
        <f>SUMIFS(原始数据!$J$3:$J$1002,原始数据!$D$3:$D$1002,"HT20260105")</f>
        <v>123.067</v>
      </c>
      <c r="J273" s="17">
        <f>SUMIFS(原始数据!$K$3:$K$1002,原始数据!$D$3:$D$1002,"HT20260105")</f>
        <v>150.158</v>
      </c>
      <c r="K273" s="14" t="str">
        <f>IFERROR(INDEX(原始数据!$L$3:$L$1002,MATCH(1,INDEX((原始数据!$D$3:$D$1002="HT20260105")*(原始数据!$L$3:$L$1002&lt;&gt;""),0),0)),"")</f>
        <v>二部</v>
      </c>
      <c r="L273" s="15" t="str">
        <f>IFERROR(INDEX(原始数据!$M$3:$M$1002,MATCH(1,INDEX((原始数据!$D$3:$D$1002="HT20260105")*(原始数据!$M$3:$M$1002&lt;&gt;""),0),0)),"")</f>
        <v>杨磊</v>
      </c>
      <c r="M273" s="14" t="str">
        <f>IFERROR(INDEX(原始数据!$N$3:$N$1002,MATCH(1,INDEX((原始数据!$D$3:$D$1002="HT20260105")*(原始数据!$N$3:$N$1002&lt;&gt;""),0),0)),"")</f>
        <v>2-3年</v>
      </c>
      <c r="N273" s="14" t="inlineStr"/>
    </row>
    <row r="274">
      <c r="A274" s="18">
        <f>ROW()-2</f>
        <v>272</v>
      </c>
      <c r="B274" s="19" t="str">
        <f>IFERROR(INDEX(原始数据!$B$3:$B$1002,MATCH(1,INDEX((原始数据!$D$3:$D$1002="HT20260108")*(原始数据!$B$3:$B$1002&lt;&gt;""),0),0)),"")</f>
        <v>西北-甘肃</v>
      </c>
      <c r="C274" s="19" t="str">
        <f>IFERROR(INDEX(原始数据!$C$3:$C$1002,MATCH(1,INDEX((原始数据!$D$3:$D$1002="HT20260108")*(原始数据!$C$3:$C$1002&lt;&gt;""),0),0)),"")</f>
        <v>基层自治组织</v>
      </c>
      <c r="D274" s="20" t="inlineStr">
        <is>
          <t>HT20260108</t>
        </is>
      </c>
      <c r="E274" s="21">
        <f>IFERROR(INDEX(原始数据!$E$3:$E$1002,MATCH(1,INDEX((原始数据!$D$3:$D$1002="HT20260108")*(原始数据!$E$3:$E$1002&lt;&gt;""),0),0)),"")</f>
        <v>20260528</v>
      </c>
      <c r="F274" s="22">
        <f>SUMIFS(原始数据!$F$3:$F$1002,原始数据!$D$3:$D$1002,"HT20260108")</f>
        <v>1010.8109999999999</v>
      </c>
      <c r="G274" s="22">
        <f>SUMIFS(原始数据!$H$3:$H$1002,原始数据!$D$3:$D$1002,"HT20260108")</f>
        <v>122.619</v>
      </c>
      <c r="H274" s="22">
        <f>SUMIFS(原始数据!$I$3:$I$1002,原始数据!$D$3:$D$1002,"HT20260108")</f>
        <v>888.192</v>
      </c>
      <c r="I274" s="22">
        <f>SUMIFS(原始数据!$J$3:$J$1002,原始数据!$D$3:$D$1002,"HT20260108")</f>
        <v>406.527</v>
      </c>
      <c r="J274" s="22">
        <f>SUMIFS(原始数据!$K$3:$K$1002,原始数据!$D$3:$D$1002,"HT20260108")</f>
        <v>481.66499999999996</v>
      </c>
      <c r="K274" s="19" t="str">
        <f>IFERROR(INDEX(原始数据!$L$3:$L$1002,MATCH(1,INDEX((原始数据!$D$3:$D$1002="HT20260108")*(原始数据!$L$3:$L$1002&lt;&gt;""),0),0)),"")</f>
        <v>九部</v>
      </c>
      <c r="L274" s="20" t="str">
        <f>IFERROR(INDEX(原始数据!$M$3:$M$1002,MATCH(1,INDEX((原始数据!$D$3:$D$1002="HT20260108")*(原始数据!$M$3:$M$1002&lt;&gt;""),0),0)),"")</f>
        <v>魏红</v>
      </c>
      <c r="M274" s="19" t="str">
        <f>IFERROR(INDEX(原始数据!$N$3:$N$1002,MATCH(1,INDEX((原始数据!$D$3:$D$1002="HT20260108")*(原始数据!$N$3:$N$1002&lt;&gt;""),0),0)),"")</f>
        <v>1-2年</v>
      </c>
      <c r="N274" s="19" t="inlineStr"/>
    </row>
    <row r="275">
      <c r="A275" s="13">
        <f>ROW()-2</f>
        <v>273</v>
      </c>
      <c r="B275" s="14" t="str">
        <f>IFERROR(INDEX(原始数据!$B$3:$B$1002,MATCH(1,INDEX((原始数据!$D$3:$D$1002="HT20260109")*(原始数据!$B$3:$B$1002&lt;&gt;""),0),0)),"")</f>
        <v>东北-吉林</v>
      </c>
      <c r="C275" s="14" t="str">
        <f>IFERROR(INDEX(原始数据!$C$3:$C$1002,MATCH(1,INDEX((原始数据!$D$3:$D$1002="HT20260109")*(原始数据!$C$3:$C$1002&lt;&gt;""),0),0)),"")</f>
        <v>群团组织</v>
      </c>
      <c r="D275" s="15" t="inlineStr">
        <is>
          <t>HT20260109</t>
        </is>
      </c>
      <c r="E275" s="16">
        <f>IFERROR(INDEX(原始数据!$E$3:$E$1002,MATCH(1,INDEX((原始数据!$D$3:$D$1002="HT20260109")*(原始数据!$E$3:$E$1002&lt;&gt;""),0),0)),"")</f>
        <v>20260617</v>
      </c>
      <c r="F275" s="17">
        <f>SUMIFS(原始数据!$F$3:$F$1002,原始数据!$D$3:$D$1002,"HT20260109")</f>
        <v>757.043</v>
      </c>
      <c r="G275" s="17">
        <f>SUMIFS(原始数据!$H$3:$H$1002,原始数据!$D$3:$D$1002,"HT20260109")</f>
        <v>269.625</v>
      </c>
      <c r="H275" s="17">
        <f>SUMIFS(原始数据!$I$3:$I$1002,原始数据!$D$3:$D$1002,"HT20260109")</f>
        <v>487.418</v>
      </c>
      <c r="I275" s="17">
        <f>SUMIFS(原始数据!$J$3:$J$1002,原始数据!$D$3:$D$1002,"HT20260109")</f>
        <v>157.612</v>
      </c>
      <c r="J275" s="17">
        <f>SUMIFS(原始数据!$K$3:$K$1002,原始数据!$D$3:$D$1002,"HT20260109")</f>
        <v>329.806</v>
      </c>
      <c r="K275" s="14" t="str">
        <f>IFERROR(INDEX(原始数据!$L$3:$L$1002,MATCH(1,INDEX((原始数据!$D$3:$D$1002="HT20260109")*(原始数据!$L$3:$L$1002&lt;&gt;""),0),0)),"")</f>
        <v>十部</v>
      </c>
      <c r="L275" s="15" t="str">
        <f>IFERROR(INDEX(原始数据!$M$3:$M$1002,MATCH(1,INDEX((原始数据!$D$3:$D$1002="HT20260109")*(原始数据!$M$3:$M$1002&lt;&gt;""),0),0)),"")</f>
        <v>雷声</v>
      </c>
      <c r="M275" s="14" t="str">
        <f>IFERROR(INDEX(原始数据!$N$3:$N$1002,MATCH(1,INDEX((原始数据!$D$3:$D$1002="HT20260109")*(原始数据!$N$3:$N$1002&lt;&gt;""),0),0)),"")</f>
        <v>1-2年</v>
      </c>
      <c r="N275" s="14" t="inlineStr"/>
    </row>
    <row r="276">
      <c r="A276" s="18">
        <f>ROW()-2</f>
        <v>274</v>
      </c>
      <c r="B276" s="19" t="str">
        <f>IFERROR(INDEX(原始数据!$B$3:$B$1002,MATCH(1,INDEX((原始数据!$D$3:$D$1002="HT20260110")*(原始数据!$B$3:$B$1002&lt;&gt;""),0),0)),"")</f>
        <v>华东-山东</v>
      </c>
      <c r="C276" s="19" t="str">
        <f>IFERROR(INDEX(原始数据!$C$3:$C$1002,MATCH(1,INDEX((原始数据!$D$3:$D$1002="HT20260110")*(原始数据!$C$3:$C$1002&lt;&gt;""),0),0)),"")</f>
        <v>政府机关</v>
      </c>
      <c r="D276" s="20" t="inlineStr">
        <is>
          <t>HT20260110</t>
        </is>
      </c>
      <c r="E276" s="21">
        <f>IFERROR(INDEX(原始数据!$E$3:$E$1002,MATCH(1,INDEX((原始数据!$D$3:$D$1002="HT20260110")*(原始数据!$E$3:$E$1002&lt;&gt;""),0),0)),"")</f>
        <v>20260403</v>
      </c>
      <c r="F276" s="22">
        <f>SUMIFS(原始数据!$F$3:$F$1002,原始数据!$D$3:$D$1002,"HT20260110")</f>
        <v>1790.048</v>
      </c>
      <c r="G276" s="22">
        <f>SUMIFS(原始数据!$H$3:$H$1002,原始数据!$D$3:$D$1002,"HT20260110")</f>
        <v>1140.0140000000001</v>
      </c>
      <c r="H276" s="22">
        <f>SUMIFS(原始数据!$I$3:$I$1002,原始数据!$D$3:$D$1002,"HT20260110")</f>
        <v>650.034</v>
      </c>
      <c r="I276" s="22">
        <f>SUMIFS(原始数据!$J$3:$J$1002,原始数据!$D$3:$D$1002,"HT20260110")</f>
        <v>417.887</v>
      </c>
      <c r="J276" s="22">
        <f>SUMIFS(原始数据!$K$3:$K$1002,原始数据!$D$3:$D$1002,"HT20260110")</f>
        <v>232.147</v>
      </c>
      <c r="K276" s="19" t="str">
        <f>IFERROR(INDEX(原始数据!$L$3:$L$1002,MATCH(1,INDEX((原始数据!$D$3:$D$1002="HT20260110")*(原始数据!$L$3:$L$1002&lt;&gt;""),0),0)),"")</f>
        <v>四部</v>
      </c>
      <c r="L276" s="20" t="str">
        <f>IFERROR(INDEX(原始数据!$M$3:$M$1002,MATCH(1,INDEX((原始数据!$D$3:$D$1002="HT20260110")*(原始数据!$M$3:$M$1002&lt;&gt;""),0),0)),"")</f>
        <v>何萍</v>
      </c>
      <c r="M276" s="19" t="str">
        <f>IFERROR(INDEX(原始数据!$N$3:$N$1002,MATCH(1,INDEX((原始数据!$D$3:$D$1002="HT20260110")*(原始数据!$N$3:$N$1002&lt;&gt;""),0),0)),"")</f>
        <v>1年以内</v>
      </c>
      <c r="N276" s="19" t="inlineStr"/>
    </row>
    <row r="277">
      <c r="A277" s="13">
        <f>ROW()-2</f>
        <v>275</v>
      </c>
      <c r="B277" s="14" t="str">
        <f>IFERROR(INDEX(原始数据!$B$3:$B$1002,MATCH(1,INDEX((原始数据!$D$3:$D$1002="HT20260111")*(原始数据!$B$3:$B$1002&lt;&gt;""),0),0)),"")</f>
        <v>华南-香港</v>
      </c>
      <c r="C277" s="14" t="str">
        <f>IFERROR(INDEX(原始数据!$C$3:$C$1002,MATCH(1,INDEX((原始数据!$D$3:$D$1002="HT20260111")*(原始数据!$C$3:$C$1002&lt;&gt;""),0),0)),"")</f>
        <v>党委机关</v>
      </c>
      <c r="D277" s="15" t="inlineStr">
        <is>
          <t>HT20260111</t>
        </is>
      </c>
      <c r="E277" s="16">
        <f>IFERROR(INDEX(原始数据!$E$3:$E$1002,MATCH(1,INDEX((原始数据!$D$3:$D$1002="HT20260111")*(原始数据!$E$3:$E$1002&lt;&gt;""),0),0)),"")</f>
        <v>20260904</v>
      </c>
      <c r="F277" s="17">
        <f>SUMIFS(原始数据!$F$3:$F$1002,原始数据!$D$3:$D$1002,"HT20260111")</f>
        <v>180.939</v>
      </c>
      <c r="G277" s="17">
        <f>SUMIFS(原始数据!$H$3:$H$1002,原始数据!$D$3:$D$1002,"HT20260111")</f>
        <v>131.543</v>
      </c>
      <c r="H277" s="17">
        <f>SUMIFS(原始数据!$I$3:$I$1002,原始数据!$D$3:$D$1002,"HT20260111")</f>
        <v>49.396</v>
      </c>
      <c r="I277" s="17">
        <f>SUMIFS(原始数据!$J$3:$J$1002,原始数据!$D$3:$D$1002,"HT20260111")</f>
        <v>6.674</v>
      </c>
      <c r="J277" s="17">
        <f>SUMIFS(原始数据!$K$3:$K$1002,原始数据!$D$3:$D$1002,"HT20260111")</f>
        <v>42.722</v>
      </c>
      <c r="K277" s="14" t="str">
        <f>IFERROR(INDEX(原始数据!$L$3:$L$1002,MATCH(1,INDEX((原始数据!$D$3:$D$1002="HT20260111")*(原始数据!$L$3:$L$1002&lt;&gt;""),0),0)),"")</f>
        <v>二部</v>
      </c>
      <c r="L277" s="15" t="str">
        <f>IFERROR(INDEX(原始数据!$M$3:$M$1002,MATCH(1,INDEX((原始数据!$D$3:$D$1002="HT20260111")*(原始数据!$M$3:$M$1002&lt;&gt;""),0),0)),"")</f>
        <v>周杰</v>
      </c>
      <c r="M277" s="14" t="str">
        <f>IFERROR(INDEX(原始数据!$N$3:$N$1002,MATCH(1,INDEX((原始数据!$D$3:$D$1002="HT20260111")*(原始数据!$N$3:$N$1002&lt;&gt;""),0),0)),"")</f>
        <v>2-3年</v>
      </c>
      <c r="N277" s="14" t="inlineStr"/>
    </row>
    <row r="278">
      <c r="A278" s="18">
        <f>ROW()-2</f>
        <v>276</v>
      </c>
      <c r="B278" s="19" t="str">
        <f>IFERROR(INDEX(原始数据!$B$3:$B$1002,MATCH(1,INDEX((原始数据!$D$3:$D$1002="HT20260112")*(原始数据!$B$3:$B$1002&lt;&gt;""),0),0)),"")</f>
        <v>华东-安徽</v>
      </c>
      <c r="C278" s="19" t="str">
        <f>IFERROR(INDEX(原始数据!$C$3:$C$1002,MATCH(1,INDEX((原始数据!$D$3:$D$1002="HT20260112")*(原始数据!$C$3:$C$1002&lt;&gt;""),0),0)),"")</f>
        <v>监察司法机关</v>
      </c>
      <c r="D278" s="20" t="inlineStr">
        <is>
          <t>HT20260112</t>
        </is>
      </c>
      <c r="E278" s="21">
        <f>IFERROR(INDEX(原始数据!$E$3:$E$1002,MATCH(1,INDEX((原始数据!$D$3:$D$1002="HT20260112")*(原始数据!$E$3:$E$1002&lt;&gt;""),0),0)),"")</f>
        <v>20260724</v>
      </c>
      <c r="F278" s="22">
        <f>SUMIFS(原始数据!$F$3:$F$1002,原始数据!$D$3:$D$1002,"HT20260112")</f>
        <v>1507.383</v>
      </c>
      <c r="G278" s="22">
        <f>SUMIFS(原始数据!$H$3:$H$1002,原始数据!$D$3:$D$1002,"HT20260112")</f>
        <v>824.9110000000001</v>
      </c>
      <c r="H278" s="22">
        <f>SUMIFS(原始数据!$I$3:$I$1002,原始数据!$D$3:$D$1002,"HT20260112")</f>
        <v>682.472</v>
      </c>
      <c r="I278" s="22">
        <f>SUMIFS(原始数据!$J$3:$J$1002,原始数据!$D$3:$D$1002,"HT20260112")</f>
        <v>376.95</v>
      </c>
      <c r="J278" s="22">
        <f>SUMIFS(原始数据!$K$3:$K$1002,原始数据!$D$3:$D$1002,"HT20260112")</f>
        <v>305.522</v>
      </c>
      <c r="K278" s="19" t="str">
        <f>IFERROR(INDEX(原始数据!$L$3:$L$1002,MATCH(1,INDEX((原始数据!$D$3:$D$1002="HT20260112")*(原始数据!$L$3:$L$1002&lt;&gt;""),0),0)),"")</f>
        <v>八部</v>
      </c>
      <c r="L278" s="20" t="str">
        <f>IFERROR(INDEX(原始数据!$M$3:$M$1002,MATCH(1,INDEX((原始数据!$D$3:$D$1002="HT20260112")*(原始数据!$M$3:$M$1002&lt;&gt;""),0),0)),"")</f>
        <v>吕强</v>
      </c>
      <c r="M278" s="19" t="str">
        <f>IFERROR(INDEX(原始数据!$N$3:$N$1002,MATCH(1,INDEX((原始数据!$D$3:$D$1002="HT20260112")*(原始数据!$N$3:$N$1002&lt;&gt;""),0),0)),"")</f>
        <v>2-3年</v>
      </c>
      <c r="N278" s="19" t="inlineStr"/>
    </row>
    <row r="279">
      <c r="A279" s="13">
        <f>ROW()-2</f>
        <v>277</v>
      </c>
      <c r="B279" s="14" t="str">
        <f>IFERROR(INDEX(原始数据!$B$3:$B$1002,MATCH(1,INDEX((原始数据!$D$3:$D$1002="HT20260113")*(原始数据!$B$3:$B$1002&lt;&gt;""),0),0)),"")</f>
        <v>华东-山东</v>
      </c>
      <c r="C279" s="14" t="str">
        <f>IFERROR(INDEX(原始数据!$C$3:$C$1002,MATCH(1,INDEX((原始数据!$D$3:$D$1002="HT20260113")*(原始数据!$C$3:$C$1002&lt;&gt;""),0),0)),"")</f>
        <v>群团组织</v>
      </c>
      <c r="D279" s="15" t="inlineStr">
        <is>
          <t>HT20260113</t>
        </is>
      </c>
      <c r="E279" s="16">
        <f>IFERROR(INDEX(原始数据!$E$3:$E$1002,MATCH(1,INDEX((原始数据!$D$3:$D$1002="HT20260113")*(原始数据!$E$3:$E$1002&lt;&gt;""),0),0)),"")</f>
        <v>20260424</v>
      </c>
      <c r="F279" s="17">
        <f>SUMIFS(原始数据!$F$3:$F$1002,原始数据!$D$3:$D$1002,"HT20260113")</f>
        <v>1193.001</v>
      </c>
      <c r="G279" s="17">
        <f>SUMIFS(原始数据!$H$3:$H$1002,原始数据!$D$3:$D$1002,"HT20260113")</f>
        <v>729.3720000000001</v>
      </c>
      <c r="H279" s="17">
        <f>SUMIFS(原始数据!$I$3:$I$1002,原始数据!$D$3:$D$1002,"HT20260113")</f>
        <v>463.629</v>
      </c>
      <c r="I279" s="17">
        <f>SUMIFS(原始数据!$J$3:$J$1002,原始数据!$D$3:$D$1002,"HT20260113")</f>
        <v>402.967</v>
      </c>
      <c r="J279" s="17">
        <f>SUMIFS(原始数据!$K$3:$K$1002,原始数据!$D$3:$D$1002,"HT20260113")</f>
        <v>60.662</v>
      </c>
      <c r="K279" s="14" t="str">
        <f>IFERROR(INDEX(原始数据!$L$3:$L$1002,MATCH(1,INDEX((原始数据!$D$3:$D$1002="HT20260113")*(原始数据!$L$3:$L$1002&lt;&gt;""),0),0)),"")</f>
        <v>六部</v>
      </c>
      <c r="L279" s="15" t="str">
        <f>IFERROR(INDEX(原始数据!$M$3:$M$1002,MATCH(1,INDEX((原始数据!$D$3:$D$1002="HT20260113")*(原始数据!$M$3:$M$1002&lt;&gt;""),0),0)),"")</f>
        <v>曹阳</v>
      </c>
      <c r="M279" s="14" t="str">
        <f>IFERROR(INDEX(原始数据!$N$3:$N$1002,MATCH(1,INDEX((原始数据!$D$3:$D$1002="HT20260113")*(原始数据!$N$3:$N$1002&lt;&gt;""),0),0)),"")</f>
        <v>1年以内</v>
      </c>
      <c r="N279" s="14" t="inlineStr"/>
    </row>
    <row r="280">
      <c r="A280" s="18">
        <f>ROW()-2</f>
        <v>278</v>
      </c>
      <c r="B280" s="19" t="str">
        <f>IFERROR(INDEX(原始数据!$B$3:$B$1002,MATCH(1,INDEX((原始数据!$D$3:$D$1002="HT20260117")*(原始数据!$B$3:$B$1002&lt;&gt;""),0),0)),"")</f>
        <v>华东-台湾</v>
      </c>
      <c r="C280" s="19" t="str">
        <f>IFERROR(INDEX(原始数据!$C$3:$C$1002,MATCH(1,INDEX((原始数据!$D$3:$D$1002="HT20260117")*(原始数据!$C$3:$C$1002&lt;&gt;""),0),0)),"")</f>
        <v>人大政协</v>
      </c>
      <c r="D280" s="20" t="inlineStr">
        <is>
          <t>HT20260117</t>
        </is>
      </c>
      <c r="E280" s="21">
        <f>IFERROR(INDEX(原始数据!$E$3:$E$1002,MATCH(1,INDEX((原始数据!$D$3:$D$1002="HT20260117")*(原始数据!$E$3:$E$1002&lt;&gt;""),0),0)),"")</f>
        <v>20260529</v>
      </c>
      <c r="F280" s="22">
        <f>SUMIFS(原始数据!$F$3:$F$1002,原始数据!$D$3:$D$1002,"HT20260117")</f>
        <v>319.851</v>
      </c>
      <c r="G280" s="22">
        <f>SUMIFS(原始数据!$H$3:$H$1002,原始数据!$D$3:$D$1002,"HT20260117")</f>
        <v>263.89</v>
      </c>
      <c r="H280" s="22">
        <f>SUMIFS(原始数据!$I$3:$I$1002,原始数据!$D$3:$D$1002,"HT20260117")</f>
        <v>55.96099999999999</v>
      </c>
      <c r="I280" s="22">
        <f>SUMIFS(原始数据!$J$3:$J$1002,原始数据!$D$3:$D$1002,"HT20260117")</f>
        <v>40.504</v>
      </c>
      <c r="J280" s="22">
        <f>SUMIFS(原始数据!$K$3:$K$1002,原始数据!$D$3:$D$1002,"HT20260117")</f>
        <v>15.457</v>
      </c>
      <c r="K280" s="19" t="str">
        <f>IFERROR(INDEX(原始数据!$L$3:$L$1002,MATCH(1,INDEX((原始数据!$D$3:$D$1002="HT20260117")*(原始数据!$L$3:$L$1002&lt;&gt;""),0),0)),"")</f>
        <v>五部</v>
      </c>
      <c r="L280" s="20" t="str">
        <f>IFERROR(INDEX(原始数据!$M$3:$M$1002,MATCH(1,INDEX((原始数据!$D$3:$D$1002="HT20260117")*(原始数据!$M$3:$M$1002&lt;&gt;""),0),0)),"")</f>
        <v>梁雪</v>
      </c>
      <c r="M280" s="19" t="str">
        <f>IFERROR(INDEX(原始数据!$N$3:$N$1002,MATCH(1,INDEX((原始数据!$D$3:$D$1002="HT20260117")*(原始数据!$N$3:$N$1002&lt;&gt;""),0),0)),"")</f>
        <v>1年以内</v>
      </c>
      <c r="N280" s="19" t="inlineStr"/>
    </row>
    <row r="281">
      <c r="A281" s="13">
        <f>ROW()-2</f>
        <v>279</v>
      </c>
      <c r="B281" s="14" t="str">
        <f>IFERROR(INDEX(原始数据!$B$3:$B$1002,MATCH(1,INDEX((原始数据!$D$3:$D$1002="HT20260120")*(原始数据!$B$3:$B$1002&lt;&gt;""),0),0)),"")</f>
        <v>西南-四川</v>
      </c>
      <c r="C281" s="14" t="str">
        <f>IFERROR(INDEX(原始数据!$C$3:$C$1002,MATCH(1,INDEX((原始数据!$D$3:$D$1002="HT20260120")*(原始数据!$C$3:$C$1002&lt;&gt;""),0),0)),"")</f>
        <v>人大政协</v>
      </c>
      <c r="D281" s="15" t="inlineStr">
        <is>
          <t>HT20260120</t>
        </is>
      </c>
      <c r="E281" s="16">
        <f>IFERROR(INDEX(原始数据!$E$3:$E$1002,MATCH(1,INDEX((原始数据!$D$3:$D$1002="HT20260120")*(原始数据!$E$3:$E$1002&lt;&gt;""),0),0)),"")</f>
        <v>20260512</v>
      </c>
      <c r="F281" s="17">
        <f>SUMIFS(原始数据!$F$3:$F$1002,原始数据!$D$3:$D$1002,"HT20260120")</f>
        <v>3822.705</v>
      </c>
      <c r="G281" s="17">
        <f>SUMIFS(原始数据!$H$3:$H$1002,原始数据!$D$3:$D$1002,"HT20260120")</f>
        <v>3286.6599999999994</v>
      </c>
      <c r="H281" s="17">
        <f>SUMIFS(原始数据!$I$3:$I$1002,原始数据!$D$3:$D$1002,"HT20260120")</f>
        <v>536.045</v>
      </c>
      <c r="I281" s="17">
        <f>SUMIFS(原始数据!$J$3:$J$1002,原始数据!$D$3:$D$1002,"HT20260120")</f>
        <v>415.08599999999996</v>
      </c>
      <c r="J281" s="17">
        <f>SUMIFS(原始数据!$K$3:$K$1002,原始数据!$D$3:$D$1002,"HT20260120")</f>
        <v>120.959</v>
      </c>
      <c r="K281" s="14" t="str">
        <f>IFERROR(INDEX(原始数据!$L$3:$L$1002,MATCH(1,INDEX((原始数据!$D$3:$D$1002="HT20260120")*(原始数据!$L$3:$L$1002&lt;&gt;""),0),0)),"")</f>
        <v>二部</v>
      </c>
      <c r="L281" s="15" t="str">
        <f>IFERROR(INDEX(原始数据!$M$3:$M$1002,MATCH(1,INDEX((原始数据!$D$3:$D$1002="HT20260120")*(原始数据!$M$3:$M$1002&lt;&gt;""),0),0)),"")</f>
        <v>吴丽</v>
      </c>
      <c r="M281" s="14" t="str">
        <f>IFERROR(INDEX(原始数据!$N$3:$N$1002,MATCH(1,INDEX((原始数据!$D$3:$D$1002="HT20260120")*(原始数据!$N$3:$N$1002&lt;&gt;""),0),0)),"")</f>
        <v>2-3年</v>
      </c>
      <c r="N281" s="14" t="inlineStr"/>
    </row>
    <row r="282">
      <c r="A282" s="18">
        <f>ROW()-2</f>
        <v>280</v>
      </c>
      <c r="B282" s="19" t="str">
        <f>IFERROR(INDEX(原始数据!$B$3:$B$1002,MATCH(1,INDEX((原始数据!$D$3:$D$1002="HT20260121")*(原始数据!$B$3:$B$1002&lt;&gt;""),0),0)),"")</f>
        <v>华东-上海</v>
      </c>
      <c r="C282" s="19" t="str">
        <f>IFERROR(INDEX(原始数据!$C$3:$C$1002,MATCH(1,INDEX((原始数据!$D$3:$D$1002="HT20260121")*(原始数据!$C$3:$C$1002&lt;&gt;""),0),0)),"")</f>
        <v>事业单位</v>
      </c>
      <c r="D282" s="20" t="inlineStr">
        <is>
          <t>HT20260121</t>
        </is>
      </c>
      <c r="E282" s="21">
        <f>IFERROR(INDEX(原始数据!$E$3:$E$1002,MATCH(1,INDEX((原始数据!$D$3:$D$1002="HT20260121")*(原始数据!$E$3:$E$1002&lt;&gt;""),0),0)),"")</f>
        <v>20260507</v>
      </c>
      <c r="F282" s="22">
        <f>SUMIFS(原始数据!$F$3:$F$1002,原始数据!$D$3:$D$1002,"HT20260121")</f>
        <v>336.662</v>
      </c>
      <c r="G282" s="22">
        <f>SUMIFS(原始数据!$H$3:$H$1002,原始数据!$D$3:$D$1002,"HT20260121")</f>
        <v>272.443</v>
      </c>
      <c r="H282" s="22">
        <f>SUMIFS(原始数据!$I$3:$I$1002,原始数据!$D$3:$D$1002,"HT20260121")</f>
        <v>64.219</v>
      </c>
      <c r="I282" s="22">
        <f>SUMIFS(原始数据!$J$3:$J$1002,原始数据!$D$3:$D$1002,"HT20260121")</f>
        <v>50.09</v>
      </c>
      <c r="J282" s="22">
        <f>SUMIFS(原始数据!$K$3:$K$1002,原始数据!$D$3:$D$1002,"HT20260121")</f>
        <v>14.129</v>
      </c>
      <c r="K282" s="19" t="str">
        <f>IFERROR(INDEX(原始数据!$L$3:$L$1002,MATCH(1,INDEX((原始数据!$D$3:$D$1002="HT20260121")*(原始数据!$L$3:$L$1002&lt;&gt;""),0),0)),"")</f>
        <v>十部</v>
      </c>
      <c r="L282" s="20" t="str">
        <f>IFERROR(INDEX(原始数据!$M$3:$M$1002,MATCH(1,INDEX((原始数据!$D$3:$D$1002="HT20260121")*(原始数据!$M$3:$M$1002&lt;&gt;""),0),0)),"")</f>
        <v>薛峰</v>
      </c>
      <c r="M282" s="19" t="str">
        <f>IFERROR(INDEX(原始数据!$N$3:$N$1002,MATCH(1,INDEX((原始数据!$D$3:$D$1002="HT20260121")*(原始数据!$N$3:$N$1002&lt;&gt;""),0),0)),"")</f>
        <v>1年以内</v>
      </c>
      <c r="N282" s="19" t="inlineStr"/>
    </row>
    <row r="283">
      <c r="A283" s="13">
        <f>ROW()-2</f>
        <v>281</v>
      </c>
      <c r="B283" s="14" t="str">
        <f>IFERROR(INDEX(原始数据!$B$3:$B$1002,MATCH(1,INDEX((原始数据!$D$3:$D$1002="HT20260122")*(原始数据!$B$3:$B$1002&lt;&gt;""),0),0)),"")</f>
        <v>华东-江苏</v>
      </c>
      <c r="C283" s="14" t="str">
        <f>IFERROR(INDEX(原始数据!$C$3:$C$1002,MATCH(1,INDEX((原始数据!$D$3:$D$1002="HT20260122")*(原始数据!$C$3:$C$1002&lt;&gt;""),0),0)),"")</f>
        <v>党委机关</v>
      </c>
      <c r="D283" s="15" t="inlineStr">
        <is>
          <t>HT20260122</t>
        </is>
      </c>
      <c r="E283" s="16">
        <f>IFERROR(INDEX(原始数据!$E$3:$E$1002,MATCH(1,INDEX((原始数据!$D$3:$D$1002="HT20260122")*(原始数据!$E$3:$E$1002&lt;&gt;""),0),0)),"")</f>
        <v>20260804</v>
      </c>
      <c r="F283" s="17">
        <f>SUMIFS(原始数据!$F$3:$F$1002,原始数据!$D$3:$D$1002,"HT20260122")</f>
        <v>2580.044</v>
      </c>
      <c r="G283" s="17">
        <f>SUMIFS(原始数据!$H$3:$H$1002,原始数据!$D$3:$D$1002,"HT20260122")</f>
        <v>1164.46</v>
      </c>
      <c r="H283" s="17">
        <f>SUMIFS(原始数据!$I$3:$I$1002,原始数据!$D$3:$D$1002,"HT20260122")</f>
        <v>1415.5840000000003</v>
      </c>
      <c r="I283" s="17">
        <f>SUMIFS(原始数据!$J$3:$J$1002,原始数据!$D$3:$D$1002,"HT20260122")</f>
        <v>1288.45</v>
      </c>
      <c r="J283" s="17">
        <f>SUMIFS(原始数据!$K$3:$K$1002,原始数据!$D$3:$D$1002,"HT20260122")</f>
        <v>127.13399999999999</v>
      </c>
      <c r="K283" s="14" t="str">
        <f>IFERROR(INDEX(原始数据!$L$3:$L$1002,MATCH(1,INDEX((原始数据!$D$3:$D$1002="HT20260122")*(原始数据!$L$3:$L$1002&lt;&gt;""),0),0)),"")</f>
        <v>九部</v>
      </c>
      <c r="L283" s="15" t="str">
        <f>IFERROR(INDEX(原始数据!$M$3:$M$1002,MATCH(1,INDEX((原始数据!$D$3:$D$1002="HT20260122")*(原始数据!$M$3:$M$1002&lt;&gt;""),0),0)),"")</f>
        <v>丁磊</v>
      </c>
      <c r="M283" s="14" t="str">
        <f>IFERROR(INDEX(原始数据!$N$3:$N$1002,MATCH(1,INDEX((原始数据!$D$3:$D$1002="HT20260122")*(原始数据!$N$3:$N$1002&lt;&gt;""),0),0)),"")</f>
        <v>2-3年</v>
      </c>
      <c r="N283" s="14" t="inlineStr"/>
    </row>
    <row r="284">
      <c r="A284" s="18">
        <f>ROW()-2</f>
        <v>282</v>
      </c>
      <c r="B284" s="19" t="str">
        <f>IFERROR(INDEX(原始数据!$B$3:$B$1002,MATCH(1,INDEX((原始数据!$D$3:$D$1002="HT20260123")*(原始数据!$B$3:$B$1002&lt;&gt;""),0),0)),"")</f>
        <v>西北-青海</v>
      </c>
      <c r="C284" s="19" t="str">
        <f>IFERROR(INDEX(原始数据!$C$3:$C$1002,MATCH(1,INDEX((原始数据!$D$3:$D$1002="HT20260123")*(原始数据!$C$3:$C$1002&lt;&gt;""),0),0)),"")</f>
        <v>政府机关</v>
      </c>
      <c r="D284" s="20" t="inlineStr">
        <is>
          <t>HT20260123</t>
        </is>
      </c>
      <c r="E284" s="21">
        <f>IFERROR(INDEX(原始数据!$E$3:$E$1002,MATCH(1,INDEX((原始数据!$D$3:$D$1002="HT20260123")*(原始数据!$E$3:$E$1002&lt;&gt;""),0),0)),"")</f>
        <v>20260810</v>
      </c>
      <c r="F284" s="22">
        <f>SUMIFS(原始数据!$F$3:$F$1002,原始数据!$D$3:$D$1002,"HT20260123")</f>
        <v>548.248</v>
      </c>
      <c r="G284" s="22">
        <f>SUMIFS(原始数据!$H$3:$H$1002,原始数据!$D$3:$D$1002,"HT20260123")</f>
        <v>441.087</v>
      </c>
      <c r="H284" s="22">
        <f>SUMIFS(原始数据!$I$3:$I$1002,原始数据!$D$3:$D$1002,"HT20260123")</f>
        <v>107.161</v>
      </c>
      <c r="I284" s="22">
        <f>SUMIFS(原始数据!$J$3:$J$1002,原始数据!$D$3:$D$1002,"HT20260123")</f>
        <v>45.346000000000004</v>
      </c>
      <c r="J284" s="22">
        <f>SUMIFS(原始数据!$K$3:$K$1002,原始数据!$D$3:$D$1002,"HT20260123")</f>
        <v>61.815000000000005</v>
      </c>
      <c r="K284" s="19" t="str">
        <f>IFERROR(INDEX(原始数据!$L$3:$L$1002,MATCH(1,INDEX((原始数据!$D$3:$D$1002="HT20260123")*(原始数据!$L$3:$L$1002&lt;&gt;""),0),0)),"")</f>
        <v>八部</v>
      </c>
      <c r="L284" s="20" t="str">
        <f>IFERROR(INDEX(原始数据!$M$3:$M$1002,MATCH(1,INDEX((原始数据!$D$3:$D$1002="HT20260123")*(原始数据!$M$3:$M$1002&lt;&gt;""),0),0)),"")</f>
        <v>卢俊</v>
      </c>
      <c r="M284" s="19" t="str">
        <f>IFERROR(INDEX(原始数据!$N$3:$N$1002,MATCH(1,INDEX((原始数据!$D$3:$D$1002="HT20260123")*(原始数据!$N$3:$N$1002&lt;&gt;""),0),0)),"")</f>
        <v>2-3年</v>
      </c>
      <c r="N284" s="19" t="inlineStr"/>
    </row>
    <row r="285">
      <c r="A285" s="13">
        <f>ROW()-2</f>
        <v>283</v>
      </c>
      <c r="B285" s="14" t="str">
        <f>IFERROR(INDEX(原始数据!$B$3:$B$1002,MATCH(1,INDEX((原始数据!$D$3:$D$1002="HT20260124")*(原始数据!$B$3:$B$1002&lt;&gt;""),0),0)),"")</f>
        <v>西南-四川</v>
      </c>
      <c r="C285" s="14" t="str">
        <f>IFERROR(INDEX(原始数据!$C$3:$C$1002,MATCH(1,INDEX((原始数据!$D$3:$D$1002="HT20260124")*(原始数据!$C$3:$C$1002&lt;&gt;""),0),0)),"")</f>
        <v>政府机关</v>
      </c>
      <c r="D285" s="15" t="inlineStr">
        <is>
          <t>HT20260124</t>
        </is>
      </c>
      <c r="E285" s="16">
        <f>IFERROR(INDEX(原始数据!$E$3:$E$1002,MATCH(1,INDEX((原始数据!$D$3:$D$1002="HT20260124")*(原始数据!$E$3:$E$1002&lt;&gt;""),0),0)),"")</f>
        <v>20260819</v>
      </c>
      <c r="F285" s="17">
        <f>SUMIFS(原始数据!$F$3:$F$1002,原始数据!$D$3:$D$1002,"HT20260124")</f>
        <v>3756.817</v>
      </c>
      <c r="G285" s="17">
        <f>SUMIFS(原始数据!$H$3:$H$1002,原始数据!$D$3:$D$1002,"HT20260124")</f>
        <v>2153.308</v>
      </c>
      <c r="H285" s="17">
        <f>SUMIFS(原始数据!$I$3:$I$1002,原始数据!$D$3:$D$1002,"HT20260124")</f>
        <v>1603.509</v>
      </c>
      <c r="I285" s="17">
        <f>SUMIFS(原始数据!$J$3:$J$1002,原始数据!$D$3:$D$1002,"HT20260124")</f>
        <v>682.597</v>
      </c>
      <c r="J285" s="17">
        <f>SUMIFS(原始数据!$K$3:$K$1002,原始数据!$D$3:$D$1002,"HT20260124")</f>
        <v>920.912</v>
      </c>
      <c r="K285" s="14" t="str">
        <f>IFERROR(INDEX(原始数据!$L$3:$L$1002,MATCH(1,INDEX((原始数据!$D$3:$D$1002="HT20260124")*(原始数据!$L$3:$L$1002&lt;&gt;""),0),0)),"")</f>
        <v>九部</v>
      </c>
      <c r="L285" s="15" t="str">
        <f>IFERROR(INDEX(原始数据!$M$3:$M$1002,MATCH(1,INDEX((原始数据!$D$3:$D$1002="HT20260124")*(原始数据!$M$3:$M$1002&lt;&gt;""),0),0)),"")</f>
        <v>魏红</v>
      </c>
      <c r="M285" s="14" t="str">
        <f>IFERROR(INDEX(原始数据!$N$3:$N$1002,MATCH(1,INDEX((原始数据!$D$3:$D$1002="HT20260124")*(原始数据!$N$3:$N$1002&lt;&gt;""),0),0)),"")</f>
        <v>2-3年</v>
      </c>
      <c r="N285" s="14" t="inlineStr"/>
    </row>
    <row r="286">
      <c r="A286" s="18">
        <f>ROW()-2</f>
        <v>284</v>
      </c>
      <c r="B286" s="19" t="str">
        <f>IFERROR(INDEX(原始数据!$B$3:$B$1002,MATCH(1,INDEX((原始数据!$D$3:$D$1002="HT20260125")*(原始数据!$B$3:$B$1002&lt;&gt;""),0),0)),"")</f>
        <v>西北-新疆</v>
      </c>
      <c r="C286" s="19" t="str">
        <f>IFERROR(INDEX(原始数据!$C$3:$C$1002,MATCH(1,INDEX((原始数据!$D$3:$D$1002="HT20260125")*(原始数据!$C$3:$C$1002&lt;&gt;""),0),0)),"")</f>
        <v>政府机关</v>
      </c>
      <c r="D286" s="20" t="inlineStr">
        <is>
          <t>HT20260125</t>
        </is>
      </c>
      <c r="E286" s="21">
        <f>IFERROR(INDEX(原始数据!$E$3:$E$1002,MATCH(1,INDEX((原始数据!$D$3:$D$1002="HT20260125")*(原始数据!$E$3:$E$1002&lt;&gt;""),0),0)),"")</f>
        <v>20260113</v>
      </c>
      <c r="F286" s="22">
        <f>SUMIFS(原始数据!$F$3:$F$1002,原始数据!$D$3:$D$1002,"HT20260125")</f>
        <v>227.037</v>
      </c>
      <c r="G286" s="22">
        <f>SUMIFS(原始数据!$H$3:$H$1002,原始数据!$D$3:$D$1002,"HT20260125")</f>
        <v>134.594</v>
      </c>
      <c r="H286" s="22">
        <f>SUMIFS(原始数据!$I$3:$I$1002,原始数据!$D$3:$D$1002,"HT20260125")</f>
        <v>92.443</v>
      </c>
      <c r="I286" s="22">
        <f>SUMIFS(原始数据!$J$3:$J$1002,原始数据!$D$3:$D$1002,"HT20260125")</f>
        <v>16.473</v>
      </c>
      <c r="J286" s="22">
        <f>SUMIFS(原始数据!$K$3:$K$1002,原始数据!$D$3:$D$1002,"HT20260125")</f>
        <v>75.97</v>
      </c>
      <c r="K286" s="19" t="str">
        <f>IFERROR(INDEX(原始数据!$L$3:$L$1002,MATCH(1,INDEX((原始数据!$D$3:$D$1002="HT20260125")*(原始数据!$L$3:$L$1002&lt;&gt;""),0),0)),"")</f>
        <v>八部</v>
      </c>
      <c r="L286" s="20" t="str">
        <f>IFERROR(INDEX(原始数据!$M$3:$M$1002,MATCH(1,INDEX((原始数据!$D$3:$D$1002="HT20260125")*(原始数据!$M$3:$M$1002&lt;&gt;""),0),0)),"")</f>
        <v>曾辉</v>
      </c>
      <c r="M286" s="19" t="str">
        <f>IFERROR(INDEX(原始数据!$N$3:$N$1002,MATCH(1,INDEX((原始数据!$D$3:$D$1002="HT20260125")*(原始数据!$N$3:$N$1002&lt;&gt;""),0),0)),"")</f>
        <v>1-2年</v>
      </c>
      <c r="N286" s="19" t="inlineStr"/>
    </row>
    <row r="287">
      <c r="A287" s="13">
        <f>ROW()-2</f>
        <v>285</v>
      </c>
      <c r="B287" s="14" t="str">
        <f>IFERROR(INDEX(原始数据!$B$3:$B$1002,MATCH(1,INDEX((原始数据!$D$3:$D$1002="HT20260126")*(原始数据!$B$3:$B$1002&lt;&gt;""),0),0)),"")</f>
        <v>华北-北京</v>
      </c>
      <c r="C287" s="14" t="str">
        <f>IFERROR(INDEX(原始数据!$C$3:$C$1002,MATCH(1,INDEX((原始数据!$D$3:$D$1002="HT20260126")*(原始数据!$C$3:$C$1002&lt;&gt;""),0),0)),"")</f>
        <v>人大政协</v>
      </c>
      <c r="D287" s="15" t="inlineStr">
        <is>
          <t>HT20260126</t>
        </is>
      </c>
      <c r="E287" s="16">
        <f>IFERROR(INDEX(原始数据!$E$3:$E$1002,MATCH(1,INDEX((原始数据!$D$3:$D$1002="HT20260126")*(原始数据!$E$3:$E$1002&lt;&gt;""),0),0)),"")</f>
        <v>20260613</v>
      </c>
      <c r="F287" s="17">
        <f>SUMIFS(原始数据!$F$3:$F$1002,原始数据!$D$3:$D$1002,"HT20260126")</f>
        <v>250.183</v>
      </c>
      <c r="G287" s="17">
        <f>SUMIFS(原始数据!$H$3:$H$1002,原始数据!$D$3:$D$1002,"HT20260126")</f>
        <v>33.779</v>
      </c>
      <c r="H287" s="17">
        <f>SUMIFS(原始数据!$I$3:$I$1002,原始数据!$D$3:$D$1002,"HT20260126")</f>
        <v>216.404</v>
      </c>
      <c r="I287" s="17">
        <f>SUMIFS(原始数据!$J$3:$J$1002,原始数据!$D$3:$D$1002,"HT20260126")</f>
        <v>37.722</v>
      </c>
      <c r="J287" s="17">
        <f>SUMIFS(原始数据!$K$3:$K$1002,原始数据!$D$3:$D$1002,"HT20260126")</f>
        <v>178.682</v>
      </c>
      <c r="K287" s="14" t="str">
        <f>IFERROR(INDEX(原始数据!$L$3:$L$1002,MATCH(1,INDEX((原始数据!$D$3:$D$1002="HT20260126")*(原始数据!$L$3:$L$1002&lt;&gt;""),0),0)),"")</f>
        <v>三部</v>
      </c>
      <c r="L287" s="15" t="str">
        <f>IFERROR(INDEX(原始数据!$M$3:$M$1002,MATCH(1,INDEX((原始数据!$D$3:$D$1002="HT20260126")*(原始数据!$M$3:$M$1002&lt;&gt;""),0),0)),"")</f>
        <v>胡蓉</v>
      </c>
      <c r="M287" s="14" t="str">
        <f>IFERROR(INDEX(原始数据!$N$3:$N$1002,MATCH(1,INDEX((原始数据!$D$3:$D$1002="HT20260126")*(原始数据!$N$3:$N$1002&lt;&gt;""),0),0)),"")</f>
        <v>2-3年</v>
      </c>
      <c r="N287" s="14" t="inlineStr"/>
    </row>
    <row r="288">
      <c r="A288" s="18">
        <f>ROW()-2</f>
        <v>286</v>
      </c>
      <c r="B288" s="19" t="str">
        <f>IFERROR(INDEX(原始数据!$B$3:$B$1002,MATCH(1,INDEX((原始数据!$D$3:$D$1002="HT20260128")*(原始数据!$B$3:$B$1002&lt;&gt;""),0),0)),"")</f>
        <v>西北-青海</v>
      </c>
      <c r="C288" s="19" t="str">
        <f>IFERROR(INDEX(原始数据!$C$3:$C$1002,MATCH(1,INDEX((原始数据!$D$3:$D$1002="HT20260128")*(原始数据!$C$3:$C$1002&lt;&gt;""),0),0)),"")</f>
        <v>国有企业</v>
      </c>
      <c r="D288" s="20" t="inlineStr">
        <is>
          <t>HT20260128</t>
        </is>
      </c>
      <c r="E288" s="21">
        <f>IFERROR(INDEX(原始数据!$E$3:$E$1002,MATCH(1,INDEX((原始数据!$D$3:$D$1002="HT20260128")*(原始数据!$E$3:$E$1002&lt;&gt;""),0),0)),"")</f>
        <v>20260127</v>
      </c>
      <c r="F288" s="22">
        <f>SUMIFS(原始数据!$F$3:$F$1002,原始数据!$D$3:$D$1002,"HT20260128")</f>
        <v>29.811</v>
      </c>
      <c r="G288" s="22">
        <f>SUMIFS(原始数据!$H$3:$H$1002,原始数据!$D$3:$D$1002,"HT20260128")</f>
        <v>7.763</v>
      </c>
      <c r="H288" s="22">
        <f>SUMIFS(原始数据!$I$3:$I$1002,原始数据!$D$3:$D$1002,"HT20260128")</f>
        <v>22.048</v>
      </c>
      <c r="I288" s="22">
        <f>SUMIFS(原始数据!$J$3:$J$1002,原始数据!$D$3:$D$1002,"HT20260128")</f>
        <v>8.477</v>
      </c>
      <c r="J288" s="22">
        <f>SUMIFS(原始数据!$K$3:$K$1002,原始数据!$D$3:$D$1002,"HT20260128")</f>
        <v>13.571</v>
      </c>
      <c r="K288" s="19" t="str">
        <f>IFERROR(INDEX(原始数据!$L$3:$L$1002,MATCH(1,INDEX((原始数据!$D$3:$D$1002="HT20260128")*(原始数据!$L$3:$L$1002&lt;&gt;""),0),0)),"")</f>
        <v>一部</v>
      </c>
      <c r="L288" s="20" t="str">
        <f>IFERROR(INDEX(原始数据!$M$3:$M$1002,MATCH(1,INDEX((原始数据!$D$3:$D$1002="HT20260128")*(原始数据!$M$3:$M$1002&lt;&gt;""),0),0)),"")</f>
        <v>李娜</v>
      </c>
      <c r="M288" s="19" t="str">
        <f>IFERROR(INDEX(原始数据!$N$3:$N$1002,MATCH(1,INDEX((原始数据!$D$3:$D$1002="HT20260128")*(原始数据!$N$3:$N$1002&lt;&gt;""),0),0)),"")</f>
        <v>2-3年</v>
      </c>
      <c r="N288" s="19" t="inlineStr"/>
    </row>
    <row r="289">
      <c r="A289" s="13">
        <f>ROW()-2</f>
        <v>287</v>
      </c>
      <c r="B289" s="14" t="str">
        <f>IFERROR(INDEX(原始数据!$B$3:$B$1002,MATCH(1,INDEX((原始数据!$D$3:$D$1002="HT20260129")*(原始数据!$B$3:$B$1002&lt;&gt;""),0),0)),"")</f>
        <v>西北-宁夏</v>
      </c>
      <c r="C289" s="14" t="str">
        <f>IFERROR(INDEX(原始数据!$C$3:$C$1002,MATCH(1,INDEX((原始数据!$D$3:$D$1002="HT20260129")*(原始数据!$C$3:$C$1002&lt;&gt;""),0),0)),"")</f>
        <v>事业单位</v>
      </c>
      <c r="D289" s="15" t="inlineStr">
        <is>
          <t>HT20260129</t>
        </is>
      </c>
      <c r="E289" s="16">
        <f>IFERROR(INDEX(原始数据!$E$3:$E$1002,MATCH(1,INDEX((原始数据!$D$3:$D$1002="HT20260129")*(原始数据!$E$3:$E$1002&lt;&gt;""),0),0)),"")</f>
        <v>20260328</v>
      </c>
      <c r="F289" s="17">
        <f>SUMIFS(原始数据!$F$3:$F$1002,原始数据!$D$3:$D$1002,"HT20260129")</f>
        <v>358.897</v>
      </c>
      <c r="G289" s="17">
        <f>SUMIFS(原始数据!$H$3:$H$1002,原始数据!$D$3:$D$1002,"HT20260129")</f>
        <v>290.1</v>
      </c>
      <c r="H289" s="17">
        <f>SUMIFS(原始数据!$I$3:$I$1002,原始数据!$D$3:$D$1002,"HT20260129")</f>
        <v>68.797</v>
      </c>
      <c r="I289" s="17">
        <f>SUMIFS(原始数据!$J$3:$J$1002,原始数据!$D$3:$D$1002,"HT20260129")</f>
        <v>56.097</v>
      </c>
      <c r="J289" s="17">
        <f>SUMIFS(原始数据!$K$3:$K$1002,原始数据!$D$3:$D$1002,"HT20260129")</f>
        <v>12.7</v>
      </c>
      <c r="K289" s="14" t="str">
        <f>IFERROR(INDEX(原始数据!$L$3:$L$1002,MATCH(1,INDEX((原始数据!$D$3:$D$1002="HT20260129")*(原始数据!$L$3:$L$1002&lt;&gt;""),0),0)),"")</f>
        <v>十部</v>
      </c>
      <c r="L289" s="15" t="str">
        <f>IFERROR(INDEX(原始数据!$M$3:$M$1002,MATCH(1,INDEX((原始数据!$D$3:$D$1002="HT20260129")*(原始数据!$M$3:$M$1002&lt;&gt;""),0),0)),"")</f>
        <v>段勇</v>
      </c>
      <c r="M289" s="14" t="str">
        <f>IFERROR(INDEX(原始数据!$N$3:$N$1002,MATCH(1,INDEX((原始数据!$D$3:$D$1002="HT20260129")*(原始数据!$N$3:$N$1002&lt;&gt;""),0),0)),"")</f>
        <v>2-3年</v>
      </c>
      <c r="N289" s="14" t="inlineStr"/>
    </row>
    <row r="290">
      <c r="A290" s="18">
        <f>ROW()-2</f>
        <v>288</v>
      </c>
      <c r="B290" s="19" t="str">
        <f>IFERROR(INDEX(原始数据!$B$3:$B$1002,MATCH(1,INDEX((原始数据!$D$3:$D$1002="HT20260130")*(原始数据!$B$3:$B$1002&lt;&gt;""),0),0)),"")</f>
        <v>华北-山西</v>
      </c>
      <c r="C290" s="19" t="str">
        <f>IFERROR(INDEX(原始数据!$C$3:$C$1002,MATCH(1,INDEX((原始数据!$D$3:$D$1002="HT20260130")*(原始数据!$C$3:$C$1002&lt;&gt;""),0),0)),"")</f>
        <v>党委机关</v>
      </c>
      <c r="D290" s="20" t="inlineStr">
        <is>
          <t>HT20260130</t>
        </is>
      </c>
      <c r="E290" s="21">
        <f>IFERROR(INDEX(原始数据!$E$3:$E$1002,MATCH(1,INDEX((原始数据!$D$3:$D$1002="HT20260130")*(原始数据!$E$3:$E$1002&lt;&gt;""),0),0)),"")</f>
        <v>20260619</v>
      </c>
      <c r="F290" s="22">
        <f>SUMIFS(原始数据!$F$3:$F$1002,原始数据!$D$3:$D$1002,"HT20260130")</f>
        <v>503.898</v>
      </c>
      <c r="G290" s="22">
        <f>SUMIFS(原始数据!$H$3:$H$1002,原始数据!$D$3:$D$1002,"HT20260130")</f>
        <v>482.888</v>
      </c>
      <c r="H290" s="22">
        <f>SUMIFS(原始数据!$I$3:$I$1002,原始数据!$D$3:$D$1002,"HT20260130")</f>
        <v>21.01</v>
      </c>
      <c r="I290" s="22">
        <f>SUMIFS(原始数据!$J$3:$J$1002,原始数据!$D$3:$D$1002,"HT20260130")</f>
        <v>4.664</v>
      </c>
      <c r="J290" s="22">
        <f>SUMIFS(原始数据!$K$3:$K$1002,原始数据!$D$3:$D$1002,"HT20260130")</f>
        <v>16.346</v>
      </c>
      <c r="K290" s="19" t="str">
        <f>IFERROR(INDEX(原始数据!$L$3:$L$1002,MATCH(1,INDEX((原始数据!$D$3:$D$1002="HT20260130")*(原始数据!$L$3:$L$1002&lt;&gt;""),0),0)),"")</f>
        <v>七部</v>
      </c>
      <c r="L290" s="20" t="str">
        <f>IFERROR(INDEX(原始数据!$M$3:$M$1002,MATCH(1,INDEX((原始数据!$D$3:$D$1002="HT20260130")*(原始数据!$M$3:$M$1002&lt;&gt;""),0),0)),"")</f>
        <v>袁博</v>
      </c>
      <c r="M290" s="19" t="str">
        <f>IFERROR(INDEX(原始数据!$N$3:$N$1002,MATCH(1,INDEX((原始数据!$D$3:$D$1002="HT20260130")*(原始数据!$N$3:$N$1002&lt;&gt;""),0),0)),"")</f>
        <v>2-3年</v>
      </c>
      <c r="N290" s="19" t="inlineStr"/>
    </row>
    <row r="291">
      <c r="A291" s="13">
        <f>ROW()-2</f>
        <v>289</v>
      </c>
      <c r="B291" s="14" t="str">
        <f>IFERROR(INDEX(原始数据!$B$3:$B$1002,MATCH(1,INDEX((原始数据!$D$3:$D$1002="HT20260201")*(原始数据!$B$3:$B$1002&lt;&gt;""),0),0)),"")</f>
        <v>华北-天津</v>
      </c>
      <c r="C291" s="14" t="str">
        <f>IFERROR(INDEX(原始数据!$C$3:$C$1002,MATCH(1,INDEX((原始数据!$D$3:$D$1002="HT20260201")*(原始数据!$C$3:$C$1002&lt;&gt;""),0),0)),"")</f>
        <v>国有企业</v>
      </c>
      <c r="D291" s="15" t="inlineStr">
        <is>
          <t>HT20260201</t>
        </is>
      </c>
      <c r="E291" s="16">
        <f>IFERROR(INDEX(原始数据!$E$3:$E$1002,MATCH(1,INDEX((原始数据!$D$3:$D$1002="HT20260201")*(原始数据!$E$3:$E$1002&lt;&gt;""),0),0)),"")</f>
        <v>20260310</v>
      </c>
      <c r="F291" s="17">
        <f>SUMIFS(原始数据!$F$3:$F$1002,原始数据!$D$3:$D$1002,"HT20260201")</f>
        <v>426.399</v>
      </c>
      <c r="G291" s="17">
        <f>SUMIFS(原始数据!$H$3:$H$1002,原始数据!$D$3:$D$1002,"HT20260201")</f>
        <v>367.405</v>
      </c>
      <c r="H291" s="17">
        <f>SUMIFS(原始数据!$I$3:$I$1002,原始数据!$D$3:$D$1002,"HT20260201")</f>
        <v>58.994</v>
      </c>
      <c r="I291" s="17">
        <f>SUMIFS(原始数据!$J$3:$J$1002,原始数据!$D$3:$D$1002,"HT20260201")</f>
        <v>6.366</v>
      </c>
      <c r="J291" s="17">
        <f>SUMIFS(原始数据!$K$3:$K$1002,原始数据!$D$3:$D$1002,"HT20260201")</f>
        <v>52.628</v>
      </c>
      <c r="K291" s="14" t="str">
        <f>IFERROR(INDEX(原始数据!$L$3:$L$1002,MATCH(1,INDEX((原始数据!$D$3:$D$1002="HT20260201")*(原始数据!$L$3:$L$1002&lt;&gt;""),0),0)),"")</f>
        <v>十部</v>
      </c>
      <c r="L291" s="15" t="str">
        <f>IFERROR(INDEX(原始数据!$M$3:$M$1002,MATCH(1,INDEX((原始数据!$D$3:$D$1002="HT20260201")*(原始数据!$M$3:$M$1002&lt;&gt;""),0),0)),"")</f>
        <v>侯敏</v>
      </c>
      <c r="M291" s="14" t="str">
        <f>IFERROR(INDEX(原始数据!$N$3:$N$1002,MATCH(1,INDEX((原始数据!$D$3:$D$1002="HT20260201")*(原始数据!$N$3:$N$1002&lt;&gt;""),0),0)),"")</f>
        <v>1-2年</v>
      </c>
      <c r="N291" s="14" t="inlineStr"/>
    </row>
    <row r="292">
      <c r="A292" s="18">
        <f>ROW()-2</f>
        <v>290</v>
      </c>
      <c r="B292" s="19" t="str">
        <f>IFERROR(INDEX(原始数据!$B$3:$B$1002,MATCH(1,INDEX((原始数据!$D$3:$D$1002="HT20260202")*(原始数据!$B$3:$B$1002&lt;&gt;""),0),0)),"")</f>
        <v>西北-甘肃</v>
      </c>
      <c r="C292" s="19" t="str">
        <f>IFERROR(INDEX(原始数据!$C$3:$C$1002,MATCH(1,INDEX((原始数据!$D$3:$D$1002="HT20260202")*(原始数据!$C$3:$C$1002&lt;&gt;""),0),0)),"")</f>
        <v>党委机关</v>
      </c>
      <c r="D292" s="20" t="inlineStr">
        <is>
          <t>HT20260202</t>
        </is>
      </c>
      <c r="E292" s="21">
        <f>IFERROR(INDEX(原始数据!$E$3:$E$1002,MATCH(1,INDEX((原始数据!$D$3:$D$1002="HT20260202")*(原始数据!$E$3:$E$1002&lt;&gt;""),0),0)),"")</f>
        <v>20260610</v>
      </c>
      <c r="F292" s="22">
        <f>SUMIFS(原始数据!$F$3:$F$1002,原始数据!$D$3:$D$1002,"HT20260202")</f>
        <v>1713.67</v>
      </c>
      <c r="G292" s="22">
        <f>SUMIFS(原始数据!$H$3:$H$1002,原始数据!$D$3:$D$1002,"HT20260202")</f>
        <v>1004.577</v>
      </c>
      <c r="H292" s="22">
        <f>SUMIFS(原始数据!$I$3:$I$1002,原始数据!$D$3:$D$1002,"HT20260202")</f>
        <v>709.093</v>
      </c>
      <c r="I292" s="22">
        <f>SUMIFS(原始数据!$J$3:$J$1002,原始数据!$D$3:$D$1002,"HT20260202")</f>
        <v>267.445</v>
      </c>
      <c r="J292" s="22">
        <f>SUMIFS(原始数据!$K$3:$K$1002,原始数据!$D$3:$D$1002,"HT20260202")</f>
        <v>441.64799999999997</v>
      </c>
      <c r="K292" s="19" t="str">
        <f>IFERROR(INDEX(原始数据!$L$3:$L$1002,MATCH(1,INDEX((原始数据!$D$3:$D$1002="HT20260202")*(原始数据!$L$3:$L$1002&lt;&gt;""),0),0)),"")</f>
        <v>十部</v>
      </c>
      <c r="L292" s="20" t="str">
        <f>IFERROR(INDEX(原始数据!$M$3:$M$1002,MATCH(1,INDEX((原始数据!$D$3:$D$1002="HT20260202")*(原始数据!$M$3:$M$1002&lt;&gt;""),0),0)),"")</f>
        <v>薛峰</v>
      </c>
      <c r="M292" s="19" t="str">
        <f>IFERROR(INDEX(原始数据!$N$3:$N$1002,MATCH(1,INDEX((原始数据!$D$3:$D$1002="HT20260202")*(原始数据!$N$3:$N$1002&lt;&gt;""),0),0)),"")</f>
        <v>2-3年</v>
      </c>
      <c r="N292" s="19" t="inlineStr"/>
    </row>
    <row r="293">
      <c r="A293" s="13">
        <f>ROW()-2</f>
        <v>291</v>
      </c>
      <c r="B293" s="14" t="str">
        <f>IFERROR(INDEX(原始数据!$B$3:$B$1002,MATCH(1,INDEX((原始数据!$D$3:$D$1002="HT20260203")*(原始数据!$B$3:$B$1002&lt;&gt;""),0),0)),"")</f>
        <v>华东-山东</v>
      </c>
      <c r="C293" s="14" t="str">
        <f>IFERROR(INDEX(原始数据!$C$3:$C$1002,MATCH(1,INDEX((原始数据!$D$3:$D$1002="HT20260203")*(原始数据!$C$3:$C$1002&lt;&gt;""),0),0)),"")</f>
        <v>政府机关</v>
      </c>
      <c r="D293" s="15" t="inlineStr">
        <is>
          <t>HT20260203</t>
        </is>
      </c>
      <c r="E293" s="16">
        <f>IFERROR(INDEX(原始数据!$E$3:$E$1002,MATCH(1,INDEX((原始数据!$D$3:$D$1002="HT20260203")*(原始数据!$E$3:$E$1002&lt;&gt;""),0),0)),"")</f>
        <v>20260809</v>
      </c>
      <c r="F293" s="17">
        <f>SUMIFS(原始数据!$F$3:$F$1002,原始数据!$D$3:$D$1002,"HT20260203")</f>
        <v>683.703</v>
      </c>
      <c r="G293" s="17">
        <f>SUMIFS(原始数据!$H$3:$H$1002,原始数据!$D$3:$D$1002,"HT20260203")</f>
        <v>121.943</v>
      </c>
      <c r="H293" s="17">
        <f>SUMIFS(原始数据!$I$3:$I$1002,原始数据!$D$3:$D$1002,"HT20260203")</f>
        <v>561.76</v>
      </c>
      <c r="I293" s="17">
        <f>SUMIFS(原始数据!$J$3:$J$1002,原始数据!$D$3:$D$1002,"HT20260203")</f>
        <v>69.495</v>
      </c>
      <c r="J293" s="17">
        <f>SUMIFS(原始数据!$K$3:$K$1002,原始数据!$D$3:$D$1002,"HT20260203")</f>
        <v>492.265</v>
      </c>
      <c r="K293" s="14" t="str">
        <f>IFERROR(INDEX(原始数据!$L$3:$L$1002,MATCH(1,INDEX((原始数据!$D$3:$D$1002="HT20260203")*(原始数据!$L$3:$L$1002&lt;&gt;""),0),0)),"")</f>
        <v>六部</v>
      </c>
      <c r="L293" s="15" t="str">
        <f>IFERROR(INDEX(原始数据!$M$3:$M$1002,MATCH(1,INDEX((原始数据!$D$3:$D$1002="HT20260203")*(原始数据!$M$3:$M$1002&lt;&gt;""),0),0)),"")</f>
        <v>曹阳</v>
      </c>
      <c r="M293" s="14" t="str">
        <f>IFERROR(INDEX(原始数据!$N$3:$N$1002,MATCH(1,INDEX((原始数据!$D$3:$D$1002="HT20260203")*(原始数据!$N$3:$N$1002&lt;&gt;""),0),0)),"")</f>
        <v>1-2年</v>
      </c>
      <c r="N293" s="14" t="inlineStr"/>
    </row>
    <row r="294">
      <c r="A294" s="18">
        <f>ROW()-2</f>
        <v>292</v>
      </c>
      <c r="B294" s="19" t="str">
        <f>IFERROR(INDEX(原始数据!$B$3:$B$1002,MATCH(1,INDEX((原始数据!$D$3:$D$1002="HT20260204")*(原始数据!$B$3:$B$1002&lt;&gt;""),0),0)),"")</f>
        <v>东北-吉林</v>
      </c>
      <c r="C294" s="19" t="str">
        <f>IFERROR(INDEX(原始数据!$C$3:$C$1002,MATCH(1,INDEX((原始数据!$D$3:$D$1002="HT20260204")*(原始数据!$C$3:$C$1002&lt;&gt;""),0),0)),"")</f>
        <v>事业单位</v>
      </c>
      <c r="D294" s="20" t="inlineStr">
        <is>
          <t>HT20260204</t>
        </is>
      </c>
      <c r="E294" s="21">
        <f>IFERROR(INDEX(原始数据!$E$3:$E$1002,MATCH(1,INDEX((原始数据!$D$3:$D$1002="HT20260204")*(原始数据!$E$3:$E$1002&lt;&gt;""),0),0)),"")</f>
        <v>20260718</v>
      </c>
      <c r="F294" s="22">
        <f>SUMIFS(原始数据!$F$3:$F$1002,原始数据!$D$3:$D$1002,"HT20260204")</f>
        <v>240.30599999999998</v>
      </c>
      <c r="G294" s="22">
        <f>SUMIFS(原始数据!$H$3:$H$1002,原始数据!$D$3:$D$1002,"HT20260204")</f>
        <v>205.323</v>
      </c>
      <c r="H294" s="22">
        <f>SUMIFS(原始数据!$I$3:$I$1002,原始数据!$D$3:$D$1002,"HT20260204")</f>
        <v>34.983000000000004</v>
      </c>
      <c r="I294" s="22">
        <f>SUMIFS(原始数据!$J$3:$J$1002,原始数据!$D$3:$D$1002,"HT20260204")</f>
        <v>19.963</v>
      </c>
      <c r="J294" s="22">
        <f>SUMIFS(原始数据!$K$3:$K$1002,原始数据!$D$3:$D$1002,"HT20260204")</f>
        <v>15.02</v>
      </c>
      <c r="K294" s="19" t="str">
        <f>IFERROR(INDEX(原始数据!$L$3:$L$1002,MATCH(1,INDEX((原始数据!$D$3:$D$1002="HT20260204")*(原始数据!$L$3:$L$1002&lt;&gt;""),0),0)),"")</f>
        <v>二部</v>
      </c>
      <c r="L294" s="20" t="str">
        <f>IFERROR(INDEX(原始数据!$M$3:$M$1002,MATCH(1,INDEX((原始数据!$D$3:$D$1002="HT20260204")*(原始数据!$M$3:$M$1002&lt;&gt;""),0),0)),"")</f>
        <v>赵敏</v>
      </c>
      <c r="M294" s="19" t="str">
        <f>IFERROR(INDEX(原始数据!$N$3:$N$1002,MATCH(1,INDEX((原始数据!$D$3:$D$1002="HT20260204")*(原始数据!$N$3:$N$1002&lt;&gt;""),0),0)),"")</f>
        <v>1-2年</v>
      </c>
      <c r="N294" s="19" t="inlineStr"/>
    </row>
    <row r="295">
      <c r="A295" s="13">
        <f>ROW()-2</f>
        <v>293</v>
      </c>
      <c r="B295" s="14" t="str">
        <f>IFERROR(INDEX(原始数据!$B$3:$B$1002,MATCH(1,INDEX((原始数据!$D$3:$D$1002="HT20260205")*(原始数据!$B$3:$B$1002&lt;&gt;""),0),0)),"")</f>
        <v>西北-甘肃</v>
      </c>
      <c r="C295" s="14" t="str">
        <f>IFERROR(INDEX(原始数据!$C$3:$C$1002,MATCH(1,INDEX((原始数据!$D$3:$D$1002="HT20260205")*(原始数据!$C$3:$C$1002&lt;&gt;""),0),0)),"")</f>
        <v>群团组织</v>
      </c>
      <c r="D295" s="15" t="inlineStr">
        <is>
          <t>HT20260205</t>
        </is>
      </c>
      <c r="E295" s="16">
        <f>IFERROR(INDEX(原始数据!$E$3:$E$1002,MATCH(1,INDEX((原始数据!$D$3:$D$1002="HT20260205")*(原始数据!$E$3:$E$1002&lt;&gt;""),0),0)),"")</f>
        <v>20260331</v>
      </c>
      <c r="F295" s="17">
        <f>SUMIFS(原始数据!$F$3:$F$1002,原始数据!$D$3:$D$1002,"HT20260205")</f>
        <v>3035.0609999999997</v>
      </c>
      <c r="G295" s="17">
        <f>SUMIFS(原始数据!$H$3:$H$1002,原始数据!$D$3:$D$1002,"HT20260205")</f>
        <v>1006.9259999999999</v>
      </c>
      <c r="H295" s="17">
        <f>SUMIFS(原始数据!$I$3:$I$1002,原始数据!$D$3:$D$1002,"HT20260205")</f>
        <v>2028.1350000000002</v>
      </c>
      <c r="I295" s="17">
        <f>SUMIFS(原始数据!$J$3:$J$1002,原始数据!$D$3:$D$1002,"HT20260205")</f>
        <v>943.51</v>
      </c>
      <c r="J295" s="17">
        <f>SUMIFS(原始数据!$K$3:$K$1002,原始数据!$D$3:$D$1002,"HT20260205")</f>
        <v>1084.625</v>
      </c>
      <c r="K295" s="14" t="str">
        <f>IFERROR(INDEX(原始数据!$L$3:$L$1002,MATCH(1,INDEX((原始数据!$D$3:$D$1002="HT20260205")*(原始数据!$L$3:$L$1002&lt;&gt;""),0),0)),"")</f>
        <v>八部</v>
      </c>
      <c r="L295" s="15" t="str">
        <f>IFERROR(INDEX(原始数据!$M$3:$M$1002,MATCH(1,INDEX((原始数据!$D$3:$D$1002="HT20260205")*(原始数据!$M$3:$M$1002&lt;&gt;""),0),0)),"")</f>
        <v>苏珊</v>
      </c>
      <c r="M295" s="14" t="str">
        <f>IFERROR(INDEX(原始数据!$N$3:$N$1002,MATCH(1,INDEX((原始数据!$D$3:$D$1002="HT20260205")*(原始数据!$N$3:$N$1002&lt;&gt;""),0),0)),"")</f>
        <v>1年以内</v>
      </c>
      <c r="N295" s="14" t="inlineStr"/>
    </row>
    <row r="296">
      <c r="A296" s="18">
        <f>ROW()-2</f>
        <v>294</v>
      </c>
      <c r="B296" s="19" t="str">
        <f>IFERROR(INDEX(原始数据!$B$3:$B$1002,MATCH(1,INDEX((原始数据!$D$3:$D$1002="HT20260206")*(原始数据!$B$3:$B$1002&lt;&gt;""),0),0)),"")</f>
        <v>华南-广西</v>
      </c>
      <c r="C296" s="19" t="str">
        <f>IFERROR(INDEX(原始数据!$C$3:$C$1002,MATCH(1,INDEX((原始数据!$D$3:$D$1002="HT20260206")*(原始数据!$C$3:$C$1002&lt;&gt;""),0),0)),"")</f>
        <v>基层自治组织</v>
      </c>
      <c r="D296" s="20" t="inlineStr">
        <is>
          <t>HT20260206</t>
        </is>
      </c>
      <c r="E296" s="21">
        <f>IFERROR(INDEX(原始数据!$E$3:$E$1002,MATCH(1,INDEX((原始数据!$D$3:$D$1002="HT20260206")*(原始数据!$E$3:$E$1002&lt;&gt;""),0),0)),"")</f>
        <v>20260801</v>
      </c>
      <c r="F296" s="22">
        <f>SUMIFS(原始数据!$F$3:$F$1002,原始数据!$D$3:$D$1002,"HT20260206")</f>
        <v>1008.0319999999999</v>
      </c>
      <c r="G296" s="22">
        <f>SUMIFS(原始数据!$H$3:$H$1002,原始数据!$D$3:$D$1002,"HT20260206")</f>
        <v>648.749</v>
      </c>
      <c r="H296" s="22">
        <f>SUMIFS(原始数据!$I$3:$I$1002,原始数据!$D$3:$D$1002,"HT20260206")</f>
        <v>359.283</v>
      </c>
      <c r="I296" s="22">
        <f>SUMIFS(原始数据!$J$3:$J$1002,原始数据!$D$3:$D$1002,"HT20260206")</f>
        <v>58.876000000000005</v>
      </c>
      <c r="J296" s="22">
        <f>SUMIFS(原始数据!$K$3:$K$1002,原始数据!$D$3:$D$1002,"HT20260206")</f>
        <v>300.407</v>
      </c>
      <c r="K296" s="19" t="str">
        <f>IFERROR(INDEX(原始数据!$L$3:$L$1002,MATCH(1,INDEX((原始数据!$D$3:$D$1002="HT20260206")*(原始数据!$L$3:$L$1002&lt;&gt;""),0),0)),"")</f>
        <v>一部</v>
      </c>
      <c r="L296" s="20" t="str">
        <f>IFERROR(INDEX(原始数据!$M$3:$M$1002,MATCH(1,INDEX((原始数据!$D$3:$D$1002="HT20260206")*(原始数据!$M$3:$M$1002&lt;&gt;""),0),0)),"")</f>
        <v>刘洋</v>
      </c>
      <c r="M296" s="19" t="str">
        <f>IFERROR(INDEX(原始数据!$N$3:$N$1002,MATCH(1,INDEX((原始数据!$D$3:$D$1002="HT20260206")*(原始数据!$N$3:$N$1002&lt;&gt;""),0),0)),"")</f>
        <v>2-3年</v>
      </c>
      <c r="N296" s="19" t="inlineStr"/>
    </row>
    <row r="297">
      <c r="A297" s="13">
        <f>ROW()-2</f>
        <v>295</v>
      </c>
      <c r="B297" s="14" t="str">
        <f>IFERROR(INDEX(原始数据!$B$3:$B$1002,MATCH(1,INDEX((原始数据!$D$3:$D$1002="HT20260207")*(原始数据!$B$3:$B$1002&lt;&gt;""),0),0)),"")</f>
        <v>西南-重庆</v>
      </c>
      <c r="C297" s="14" t="str">
        <f>IFERROR(INDEX(原始数据!$C$3:$C$1002,MATCH(1,INDEX((原始数据!$D$3:$D$1002="HT20260207")*(原始数据!$C$3:$C$1002&lt;&gt;""),0),0)),"")</f>
        <v>基层自治组织</v>
      </c>
      <c r="D297" s="15" t="inlineStr">
        <is>
          <t>HT20260207</t>
        </is>
      </c>
      <c r="E297" s="16">
        <f>IFERROR(INDEX(原始数据!$E$3:$E$1002,MATCH(1,INDEX((原始数据!$D$3:$D$1002="HT20260207")*(原始数据!$E$3:$E$1002&lt;&gt;""),0),0)),"")</f>
        <v>20260523</v>
      </c>
      <c r="F297" s="17">
        <f>SUMIFS(原始数据!$F$3:$F$1002,原始数据!$D$3:$D$1002,"HT20260207")</f>
        <v>1162.41</v>
      </c>
      <c r="G297" s="17">
        <f>SUMIFS(原始数据!$H$3:$H$1002,原始数据!$D$3:$D$1002,"HT20260207")</f>
        <v>215.453</v>
      </c>
      <c r="H297" s="17">
        <f>SUMIFS(原始数据!$I$3:$I$1002,原始数据!$D$3:$D$1002,"HT20260207")</f>
        <v>946.957</v>
      </c>
      <c r="I297" s="17">
        <f>SUMIFS(原始数据!$J$3:$J$1002,原始数据!$D$3:$D$1002,"HT20260207")</f>
        <v>916.981</v>
      </c>
      <c r="J297" s="17">
        <f>SUMIFS(原始数据!$K$3:$K$1002,原始数据!$D$3:$D$1002,"HT20260207")</f>
        <v>29.976</v>
      </c>
      <c r="K297" s="14" t="str">
        <f>IFERROR(INDEX(原始数据!$L$3:$L$1002,MATCH(1,INDEX((原始数据!$D$3:$D$1002="HT20260207")*(原始数据!$L$3:$L$1002&lt;&gt;""),0),0)),"")</f>
        <v>十部</v>
      </c>
      <c r="L297" s="15" t="str">
        <f>IFERROR(INDEX(原始数据!$M$3:$M$1002,MATCH(1,INDEX((原始数据!$D$3:$D$1002="HT20260207")*(原始数据!$M$3:$M$1002&lt;&gt;""),0),0)),"")</f>
        <v>薛峰</v>
      </c>
      <c r="M297" s="14" t="str">
        <f>IFERROR(INDEX(原始数据!$N$3:$N$1002,MATCH(1,INDEX((原始数据!$D$3:$D$1002="HT20260207")*(原始数据!$N$3:$N$1002&lt;&gt;""),0),0)),"")</f>
        <v>1年以内</v>
      </c>
      <c r="N297" s="14" t="inlineStr"/>
    </row>
    <row r="298">
      <c r="A298" s="18">
        <f>ROW()-2</f>
        <v>296</v>
      </c>
      <c r="B298" s="19" t="str">
        <f>IFERROR(INDEX(原始数据!$B$3:$B$1002,MATCH(1,INDEX((原始数据!$D$3:$D$1002="HT20260208")*(原始数据!$B$3:$B$1002&lt;&gt;""),0),0)),"")</f>
        <v>华中-河南</v>
      </c>
      <c r="C298" s="19" t="str">
        <f>IFERROR(INDEX(原始数据!$C$3:$C$1002,MATCH(1,INDEX((原始数据!$D$3:$D$1002="HT20260208")*(原始数据!$C$3:$C$1002&lt;&gt;""),0),0)),"")</f>
        <v>人大政协</v>
      </c>
      <c r="D298" s="20" t="inlineStr">
        <is>
          <t>HT20260208</t>
        </is>
      </c>
      <c r="E298" s="21">
        <f>IFERROR(INDEX(原始数据!$E$3:$E$1002,MATCH(1,INDEX((原始数据!$D$3:$D$1002="HT20260208")*(原始数据!$E$3:$E$1002&lt;&gt;""),0),0)),"")</f>
        <v>20260308</v>
      </c>
      <c r="F298" s="22">
        <f>SUMIFS(原始数据!$F$3:$F$1002,原始数据!$D$3:$D$1002,"HT20260208")</f>
        <v>559.365</v>
      </c>
      <c r="G298" s="22">
        <f>SUMIFS(原始数据!$H$3:$H$1002,原始数据!$D$3:$D$1002,"HT20260208")</f>
        <v>185.69</v>
      </c>
      <c r="H298" s="22">
        <f>SUMIFS(原始数据!$I$3:$I$1002,原始数据!$D$3:$D$1002,"HT20260208")</f>
        <v>373.675</v>
      </c>
      <c r="I298" s="22">
        <f>SUMIFS(原始数据!$J$3:$J$1002,原始数据!$D$3:$D$1002,"HT20260208")</f>
        <v>121.368</v>
      </c>
      <c r="J298" s="22">
        <f>SUMIFS(原始数据!$K$3:$K$1002,原始数据!$D$3:$D$1002,"HT20260208")</f>
        <v>252.307</v>
      </c>
      <c r="K298" s="19" t="str">
        <f>IFERROR(INDEX(原始数据!$L$3:$L$1002,MATCH(1,INDEX((原始数据!$D$3:$D$1002="HT20260208")*(原始数据!$L$3:$L$1002&lt;&gt;""),0),0)),"")</f>
        <v>一部</v>
      </c>
      <c r="L298" s="20" t="str">
        <f>IFERROR(INDEX(原始数据!$M$3:$M$1002,MATCH(1,INDEX((原始数据!$D$3:$D$1002="HT20260208")*(原始数据!$M$3:$M$1002&lt;&gt;""),0),0)),"")</f>
        <v>李娜</v>
      </c>
      <c r="M298" s="19" t="str">
        <f>IFERROR(INDEX(原始数据!$N$3:$N$1002,MATCH(1,INDEX((原始数据!$D$3:$D$1002="HT20260208")*(原始数据!$N$3:$N$1002&lt;&gt;""),0),0)),"")</f>
        <v>2-3年</v>
      </c>
      <c r="N298" s="19" t="inlineStr"/>
    </row>
    <row r="299">
      <c r="A299" s="13">
        <f>ROW()-2</f>
        <v>297</v>
      </c>
      <c r="B299" s="14" t="str">
        <f>IFERROR(INDEX(原始数据!$B$3:$B$1002,MATCH(1,INDEX((原始数据!$D$3:$D$1002="HT20260209")*(原始数据!$B$3:$B$1002&lt;&gt;""),0),0)),"")</f>
        <v>华北-河北</v>
      </c>
      <c r="C299" s="14" t="str">
        <f>IFERROR(INDEX(原始数据!$C$3:$C$1002,MATCH(1,INDEX((原始数据!$D$3:$D$1002="HT20260209")*(原始数据!$C$3:$C$1002&lt;&gt;""),0),0)),"")</f>
        <v>政府机关</v>
      </c>
      <c r="D299" s="15" t="inlineStr">
        <is>
          <t>HT20260209</t>
        </is>
      </c>
      <c r="E299" s="16">
        <f>IFERROR(INDEX(原始数据!$E$3:$E$1002,MATCH(1,INDEX((原始数据!$D$3:$D$1002="HT20260209")*(原始数据!$E$3:$E$1002&lt;&gt;""),0),0)),"")</f>
        <v>20260629</v>
      </c>
      <c r="F299" s="17">
        <f>SUMIFS(原始数据!$F$3:$F$1002,原始数据!$D$3:$D$1002,"HT20260209")</f>
        <v>80.024</v>
      </c>
      <c r="G299" s="17">
        <f>SUMIFS(原始数据!$H$3:$H$1002,原始数据!$D$3:$D$1002,"HT20260209")</f>
        <v>72.702</v>
      </c>
      <c r="H299" s="17">
        <f>SUMIFS(原始数据!$I$3:$I$1002,原始数据!$D$3:$D$1002,"HT20260209")</f>
        <v>7.322</v>
      </c>
      <c r="I299" s="17">
        <f>SUMIFS(原始数据!$J$3:$J$1002,原始数据!$D$3:$D$1002,"HT20260209")</f>
        <v>3.52</v>
      </c>
      <c r="J299" s="17">
        <f>SUMIFS(原始数据!$K$3:$K$1002,原始数据!$D$3:$D$1002,"HT20260209")</f>
        <v>3.802</v>
      </c>
      <c r="K299" s="14" t="str">
        <f>IFERROR(INDEX(原始数据!$L$3:$L$1002,MATCH(1,INDEX((原始数据!$D$3:$D$1002="HT20260209")*(原始数据!$L$3:$L$1002&lt;&gt;""),0),0)),"")</f>
        <v>三部</v>
      </c>
      <c r="L299" s="15" t="str">
        <f>IFERROR(INDEX(原始数据!$M$3:$M$1002,MATCH(1,INDEX((原始数据!$D$3:$D$1002="HT20260209")*(原始数据!$M$3:$M$1002&lt;&gt;""),0),0)),"")</f>
        <v>孙艳</v>
      </c>
      <c r="M299" s="14" t="str">
        <f>IFERROR(INDEX(原始数据!$N$3:$N$1002,MATCH(1,INDEX((原始数据!$D$3:$D$1002="HT20260209")*(原始数据!$N$3:$N$1002&lt;&gt;""),0),0)),"")</f>
        <v>1-2年</v>
      </c>
      <c r="N299" s="14" t="inlineStr"/>
    </row>
    <row r="300">
      <c r="A300" s="18">
        <f>ROW()-2</f>
        <v>298</v>
      </c>
      <c r="B300" s="19" t="str">
        <f>IFERROR(INDEX(原始数据!$B$3:$B$1002,MATCH(1,INDEX((原始数据!$D$3:$D$1002="HT20260212")*(原始数据!$B$3:$B$1002&lt;&gt;""),0),0)),"")</f>
        <v>华东-上海</v>
      </c>
      <c r="C300" s="19" t="str">
        <f>IFERROR(INDEX(原始数据!$C$3:$C$1002,MATCH(1,INDEX((原始数据!$D$3:$D$1002="HT20260212")*(原始数据!$C$3:$C$1002&lt;&gt;""),0),0)),"")</f>
        <v>人大政协</v>
      </c>
      <c r="D300" s="20" t="inlineStr">
        <is>
          <t>HT20260212</t>
        </is>
      </c>
      <c r="E300" s="21">
        <f>IFERROR(INDEX(原始数据!$E$3:$E$1002,MATCH(1,INDEX((原始数据!$D$3:$D$1002="HT20260212")*(原始数据!$E$3:$E$1002&lt;&gt;""),0),0)),"")</f>
        <v>20260511</v>
      </c>
      <c r="F300" s="22">
        <f>SUMIFS(原始数据!$F$3:$F$1002,原始数据!$D$3:$D$1002,"HT20260212")</f>
        <v>652.066</v>
      </c>
      <c r="G300" s="22">
        <f>SUMIFS(原始数据!$H$3:$H$1002,原始数据!$D$3:$D$1002,"HT20260212")</f>
        <v>439.334</v>
      </c>
      <c r="H300" s="22">
        <f>SUMIFS(原始数据!$I$3:$I$1002,原始数据!$D$3:$D$1002,"HT20260212")</f>
        <v>212.732</v>
      </c>
      <c r="I300" s="22">
        <f>SUMIFS(原始数据!$J$3:$J$1002,原始数据!$D$3:$D$1002,"HT20260212")</f>
        <v>172.865</v>
      </c>
      <c r="J300" s="22">
        <f>SUMIFS(原始数据!$K$3:$K$1002,原始数据!$D$3:$D$1002,"HT20260212")</f>
        <v>39.867</v>
      </c>
      <c r="K300" s="19" t="str">
        <f>IFERROR(INDEX(原始数据!$L$3:$L$1002,MATCH(1,INDEX((原始数据!$D$3:$D$1002="HT20260212")*(原始数据!$L$3:$L$1002&lt;&gt;""),0),0)),"")</f>
        <v>三部</v>
      </c>
      <c r="L300" s="20" t="str">
        <f>IFERROR(INDEX(原始数据!$M$3:$M$1002,MATCH(1,INDEX((原始数据!$D$3:$D$1002="HT20260212")*(原始数据!$M$3:$M$1002&lt;&gt;""),0),0)),"")</f>
        <v>朱军</v>
      </c>
      <c r="M300" s="19" t="str">
        <f>IFERROR(INDEX(原始数据!$N$3:$N$1002,MATCH(1,INDEX((原始数据!$D$3:$D$1002="HT20260212")*(原始数据!$N$3:$N$1002&lt;&gt;""),0),0)),"")</f>
        <v>2-3年</v>
      </c>
      <c r="N300" s="19" t="inlineStr"/>
    </row>
    <row r="301">
      <c r="A301" s="13">
        <f>ROW()-2</f>
        <v>299</v>
      </c>
      <c r="B301" s="14" t="str">
        <f>IFERROR(INDEX(原始数据!$B$3:$B$1002,MATCH(1,INDEX((原始数据!$D$3:$D$1002="HT20260213")*(原始数据!$B$3:$B$1002&lt;&gt;""),0),0)),"")</f>
        <v>华北-河北</v>
      </c>
      <c r="C301" s="14" t="str">
        <f>IFERROR(INDEX(原始数据!$C$3:$C$1002,MATCH(1,INDEX((原始数据!$D$3:$D$1002="HT20260213")*(原始数据!$C$3:$C$1002&lt;&gt;""),0),0)),"")</f>
        <v>党委机关</v>
      </c>
      <c r="D301" s="15" t="inlineStr">
        <is>
          <t>HT20260213</t>
        </is>
      </c>
      <c r="E301" s="16">
        <f>IFERROR(INDEX(原始数据!$E$3:$E$1002,MATCH(1,INDEX((原始数据!$D$3:$D$1002="HT20260213")*(原始数据!$E$3:$E$1002&lt;&gt;""),0),0)),"")</f>
        <v>20260607</v>
      </c>
      <c r="F301" s="17">
        <f>SUMIFS(原始数据!$F$3:$F$1002,原始数据!$D$3:$D$1002,"HT20260213")</f>
        <v>1783.386</v>
      </c>
      <c r="G301" s="17">
        <f>SUMIFS(原始数据!$H$3:$H$1002,原始数据!$D$3:$D$1002,"HT20260213")</f>
        <v>885.791</v>
      </c>
      <c r="H301" s="17">
        <f>SUMIFS(原始数据!$I$3:$I$1002,原始数据!$D$3:$D$1002,"HT20260213")</f>
        <v>897.595</v>
      </c>
      <c r="I301" s="17">
        <f>SUMIFS(原始数据!$J$3:$J$1002,原始数据!$D$3:$D$1002,"HT20260213")</f>
        <v>460.87</v>
      </c>
      <c r="J301" s="17">
        <f>SUMIFS(原始数据!$K$3:$K$1002,原始数据!$D$3:$D$1002,"HT20260213")</f>
        <v>436.725</v>
      </c>
      <c r="K301" s="14" t="str">
        <f>IFERROR(INDEX(原始数据!$L$3:$L$1002,MATCH(1,INDEX((原始数据!$D$3:$D$1002="HT20260213")*(原始数据!$L$3:$L$1002&lt;&gt;""),0),0)),"")</f>
        <v>二部</v>
      </c>
      <c r="L301" s="15" t="str">
        <f>IFERROR(INDEX(原始数据!$M$3:$M$1002,MATCH(1,INDEX((原始数据!$D$3:$D$1002="HT20260213")*(原始数据!$M$3:$M$1002&lt;&gt;""),0),0)),"")</f>
        <v>黄强</v>
      </c>
      <c r="M301" s="14" t="str">
        <f>IFERROR(INDEX(原始数据!$N$3:$N$1002,MATCH(1,INDEX((原始数据!$D$3:$D$1002="HT20260213")*(原始数据!$N$3:$N$1002&lt;&gt;""),0),0)),"")</f>
        <v>1-2年</v>
      </c>
      <c r="N301" s="14" t="inlineStr"/>
    </row>
    <row r="302">
      <c r="A302" s="18">
        <f>ROW()-2</f>
        <v>300</v>
      </c>
      <c r="B302" s="19" t="str">
        <f>IFERROR(INDEX(原始数据!$B$3:$B$1002,MATCH(1,INDEX((原始数据!$D$3:$D$1002="HT20260214")*(原始数据!$B$3:$B$1002&lt;&gt;""),0),0)),"")</f>
        <v>华北-北京</v>
      </c>
      <c r="C302" s="19" t="str">
        <f>IFERROR(INDEX(原始数据!$C$3:$C$1002,MATCH(1,INDEX((原始数据!$D$3:$D$1002="HT20260214")*(原始数据!$C$3:$C$1002&lt;&gt;""),0),0)),"")</f>
        <v>群团组织</v>
      </c>
      <c r="D302" s="20" t="inlineStr">
        <is>
          <t>HT20260214</t>
        </is>
      </c>
      <c r="E302" s="21">
        <f>IFERROR(INDEX(原始数据!$E$3:$E$1002,MATCH(1,INDEX((原始数据!$D$3:$D$1002="HT20260214")*(原始数据!$E$3:$E$1002&lt;&gt;""),0),0)),"")</f>
        <v>20260624</v>
      </c>
      <c r="F302" s="22">
        <f>SUMIFS(原始数据!$F$3:$F$1002,原始数据!$D$3:$D$1002,"HT20260214")</f>
        <v>884.988</v>
      </c>
      <c r="G302" s="22">
        <f>SUMIFS(原始数据!$H$3:$H$1002,原始数据!$D$3:$D$1002,"HT20260214")</f>
        <v>48.096</v>
      </c>
      <c r="H302" s="22">
        <f>SUMIFS(原始数据!$I$3:$I$1002,原始数据!$D$3:$D$1002,"HT20260214")</f>
        <v>836.892</v>
      </c>
      <c r="I302" s="22">
        <f>SUMIFS(原始数据!$J$3:$J$1002,原始数据!$D$3:$D$1002,"HT20260214")</f>
        <v>699.817</v>
      </c>
      <c r="J302" s="22">
        <f>SUMIFS(原始数据!$K$3:$K$1002,原始数据!$D$3:$D$1002,"HT20260214")</f>
        <v>137.075</v>
      </c>
      <c r="K302" s="19" t="str">
        <f>IFERROR(INDEX(原始数据!$L$3:$L$1002,MATCH(1,INDEX((原始数据!$D$3:$D$1002="HT20260214")*(原始数据!$L$3:$L$1002&lt;&gt;""),0),0)),"")</f>
        <v>四部</v>
      </c>
      <c r="L302" s="20" t="str">
        <f>IFERROR(INDEX(原始数据!$M$3:$M$1002,MATCH(1,INDEX((原始数据!$D$3:$D$1002="HT20260214")*(原始数据!$M$3:$M$1002&lt;&gt;""),0),0)),"")</f>
        <v>高翔</v>
      </c>
      <c r="M302" s="19" t="str">
        <f>IFERROR(INDEX(原始数据!$N$3:$N$1002,MATCH(1,INDEX((原始数据!$D$3:$D$1002="HT20260214")*(原始数据!$N$3:$N$1002&lt;&gt;""),0),0)),"")</f>
        <v>2-3年</v>
      </c>
      <c r="N302" s="19" t="inlineStr"/>
    </row>
    <row r="303">
      <c r="A303" s="13">
        <f>ROW()-2</f>
        <v>301</v>
      </c>
      <c r="B303" s="14" t="str">
        <f>IFERROR(INDEX(原始数据!$B$3:$B$1002,MATCH(1,INDEX((原始数据!$D$3:$D$1002="HT20260215")*(原始数据!$B$3:$B$1002&lt;&gt;""),0),0)),"")</f>
        <v>华东-福建</v>
      </c>
      <c r="C303" s="14" t="str">
        <f>IFERROR(INDEX(原始数据!$C$3:$C$1002,MATCH(1,INDEX((原始数据!$D$3:$D$1002="HT20260215")*(原始数据!$C$3:$C$1002&lt;&gt;""),0),0)),"")</f>
        <v>国有企业</v>
      </c>
      <c r="D303" s="15" t="inlineStr">
        <is>
          <t>HT20260215</t>
        </is>
      </c>
      <c r="E303" s="16">
        <f>IFERROR(INDEX(原始数据!$E$3:$E$1002,MATCH(1,INDEX((原始数据!$D$3:$D$1002="HT20260215")*(原始数据!$E$3:$E$1002&lt;&gt;""),0),0)),"")</f>
        <v>20260820</v>
      </c>
      <c r="F303" s="17">
        <f>SUMIFS(原始数据!$F$3:$F$1002,原始数据!$D$3:$D$1002,"HT20260215")</f>
        <v>898.275</v>
      </c>
      <c r="G303" s="17">
        <f>SUMIFS(原始数据!$H$3:$H$1002,原始数据!$D$3:$D$1002,"HT20260215")</f>
        <v>703.833</v>
      </c>
      <c r="H303" s="17">
        <f>SUMIFS(原始数据!$I$3:$I$1002,原始数据!$D$3:$D$1002,"HT20260215")</f>
        <v>194.442</v>
      </c>
      <c r="I303" s="17">
        <f>SUMIFS(原始数据!$J$3:$J$1002,原始数据!$D$3:$D$1002,"HT20260215")</f>
        <v>127.143</v>
      </c>
      <c r="J303" s="17">
        <f>SUMIFS(原始数据!$K$3:$K$1002,原始数据!$D$3:$D$1002,"HT20260215")</f>
        <v>67.299</v>
      </c>
      <c r="K303" s="14" t="str">
        <f>IFERROR(INDEX(原始数据!$L$3:$L$1002,MATCH(1,INDEX((原始数据!$D$3:$D$1002="HT20260215")*(原始数据!$L$3:$L$1002&lt;&gt;""),0),0)),"")</f>
        <v>五部</v>
      </c>
      <c r="L303" s="15" t="str">
        <f>IFERROR(INDEX(原始数据!$M$3:$M$1002,MATCH(1,INDEX((原始数据!$D$3:$D$1002="HT20260215")*(原始数据!$M$3:$M$1002&lt;&gt;""),0),0)),"")</f>
        <v>宋佳</v>
      </c>
      <c r="M303" s="14" t="str">
        <f>IFERROR(INDEX(原始数据!$N$3:$N$1002,MATCH(1,INDEX((原始数据!$D$3:$D$1002="HT20260215")*(原始数据!$N$3:$N$1002&lt;&gt;""),0),0)),"")</f>
        <v>1年以内</v>
      </c>
      <c r="N303" s="14" t="inlineStr"/>
    </row>
    <row r="304">
      <c r="A304" s="18">
        <f>ROW()-2</f>
        <v>302</v>
      </c>
      <c r="B304" s="19" t="str">
        <f>IFERROR(INDEX(原始数据!$B$3:$B$1002,MATCH(1,INDEX((原始数据!$D$3:$D$1002="HT20260216")*(原始数据!$B$3:$B$1002&lt;&gt;""),0),0)),"")</f>
        <v>西南-四川</v>
      </c>
      <c r="C304" s="19" t="str">
        <f>IFERROR(INDEX(原始数据!$C$3:$C$1002,MATCH(1,INDEX((原始数据!$D$3:$D$1002="HT20260216")*(原始数据!$C$3:$C$1002&lt;&gt;""),0),0)),"")</f>
        <v>基层自治组织</v>
      </c>
      <c r="D304" s="20" t="inlineStr">
        <is>
          <t>HT20260216</t>
        </is>
      </c>
      <c r="E304" s="21">
        <f>IFERROR(INDEX(原始数据!$E$3:$E$1002,MATCH(1,INDEX((原始数据!$D$3:$D$1002="HT20260216")*(原始数据!$E$3:$E$1002&lt;&gt;""),0),0)),"")</f>
        <v>20260203</v>
      </c>
      <c r="F304" s="22">
        <f>SUMIFS(原始数据!$F$3:$F$1002,原始数据!$D$3:$D$1002,"HT20260216")</f>
        <v>1540.3519999999999</v>
      </c>
      <c r="G304" s="22">
        <f>SUMIFS(原始数据!$H$3:$H$1002,原始数据!$D$3:$D$1002,"HT20260216")</f>
        <v>774.494</v>
      </c>
      <c r="H304" s="22">
        <f>SUMIFS(原始数据!$I$3:$I$1002,原始数据!$D$3:$D$1002,"HT20260216")</f>
        <v>765.858</v>
      </c>
      <c r="I304" s="22">
        <f>SUMIFS(原始数据!$J$3:$J$1002,原始数据!$D$3:$D$1002,"HT20260216")</f>
        <v>235.04299999999998</v>
      </c>
      <c r="J304" s="22">
        <f>SUMIFS(原始数据!$K$3:$K$1002,原始数据!$D$3:$D$1002,"HT20260216")</f>
        <v>530.8149999999999</v>
      </c>
      <c r="K304" s="19" t="str">
        <f>IFERROR(INDEX(原始数据!$L$3:$L$1002,MATCH(1,INDEX((原始数据!$D$3:$D$1002="HT20260216")*(原始数据!$L$3:$L$1002&lt;&gt;""),0),0)),"")</f>
        <v>二部</v>
      </c>
      <c r="L304" s="20" t="str">
        <f>IFERROR(INDEX(原始数据!$M$3:$M$1002,MATCH(1,INDEX((原始数据!$D$3:$D$1002="HT20260216")*(原始数据!$M$3:$M$1002&lt;&gt;""),0),0)),"")</f>
        <v>杨磊</v>
      </c>
      <c r="M304" s="19" t="str">
        <f>IFERROR(INDEX(原始数据!$N$3:$N$1002,MATCH(1,INDEX((原始数据!$D$3:$D$1002="HT20260216")*(原始数据!$N$3:$N$1002&lt;&gt;""),0),0)),"")</f>
        <v>2-3年</v>
      </c>
      <c r="N304" s="19" t="inlineStr"/>
    </row>
    <row r="305">
      <c r="A305" s="13">
        <f>ROW()-2</f>
        <v>303</v>
      </c>
      <c r="B305" s="14" t="str">
        <f>IFERROR(INDEX(原始数据!$B$3:$B$1002,MATCH(1,INDEX((原始数据!$D$3:$D$1002="HT20260217")*(原始数据!$B$3:$B$1002&lt;&gt;""),0),0)),"")</f>
        <v>华中-湖北</v>
      </c>
      <c r="C305" s="14" t="str">
        <f>IFERROR(INDEX(原始数据!$C$3:$C$1002,MATCH(1,INDEX((原始数据!$D$3:$D$1002="HT20260217")*(原始数据!$C$3:$C$1002&lt;&gt;""),0),0)),"")</f>
        <v>基层自治组织</v>
      </c>
      <c r="D305" s="15" t="inlineStr">
        <is>
          <t>HT20260217</t>
        </is>
      </c>
      <c r="E305" s="16">
        <f>IFERROR(INDEX(原始数据!$E$3:$E$1002,MATCH(1,INDEX((原始数据!$D$3:$D$1002="HT20260217")*(原始数据!$E$3:$E$1002&lt;&gt;""),0),0)),"")</f>
        <v>20260608</v>
      </c>
      <c r="F305" s="17">
        <f>SUMIFS(原始数据!$F$3:$F$1002,原始数据!$D$3:$D$1002,"HT20260217")</f>
        <v>74.754</v>
      </c>
      <c r="G305" s="17">
        <f>SUMIFS(原始数据!$H$3:$H$1002,原始数据!$D$3:$D$1002,"HT20260217")</f>
        <v>56.534</v>
      </c>
      <c r="H305" s="17">
        <f>SUMIFS(原始数据!$I$3:$I$1002,原始数据!$D$3:$D$1002,"HT20260217")</f>
        <v>18.22</v>
      </c>
      <c r="I305" s="17">
        <f>SUMIFS(原始数据!$J$3:$J$1002,原始数据!$D$3:$D$1002,"HT20260217")</f>
        <v>0.96</v>
      </c>
      <c r="J305" s="17">
        <f>SUMIFS(原始数据!$K$3:$K$1002,原始数据!$D$3:$D$1002,"HT20260217")</f>
        <v>17.26</v>
      </c>
      <c r="K305" s="14" t="str">
        <f>IFERROR(INDEX(原始数据!$L$3:$L$1002,MATCH(1,INDEX((原始数据!$D$3:$D$1002="HT20260217")*(原始数据!$L$3:$L$1002&lt;&gt;""),0),0)),"")</f>
        <v>九部</v>
      </c>
      <c r="L305" s="15" t="str">
        <f>IFERROR(INDEX(原始数据!$M$3:$M$1002,MATCH(1,INDEX((原始数据!$D$3:$D$1002="HT20260217")*(原始数据!$M$3:$M$1002&lt;&gt;""),0),0)),"")</f>
        <v>丁磊</v>
      </c>
      <c r="M305" s="14" t="str">
        <f>IFERROR(INDEX(原始数据!$N$3:$N$1002,MATCH(1,INDEX((原始数据!$D$3:$D$1002="HT20260217")*(原始数据!$N$3:$N$1002&lt;&gt;""),0),0)),"")</f>
        <v>1-2年</v>
      </c>
      <c r="N305" s="14" t="inlineStr"/>
    </row>
    <row r="306">
      <c r="A306" s="18">
        <f>ROW()-2</f>
        <v>304</v>
      </c>
      <c r="B306" s="19" t="str">
        <f>IFERROR(INDEX(原始数据!$B$3:$B$1002,MATCH(1,INDEX((原始数据!$D$3:$D$1002="HT20260218")*(原始数据!$B$3:$B$1002&lt;&gt;""),0),0)),"")</f>
        <v>华东-安徽</v>
      </c>
      <c r="C306" s="19" t="str">
        <f>IFERROR(INDEX(原始数据!$C$3:$C$1002,MATCH(1,INDEX((原始数据!$D$3:$D$1002="HT20260218")*(原始数据!$C$3:$C$1002&lt;&gt;""),0),0)),"")</f>
        <v>群团组织</v>
      </c>
      <c r="D306" s="20" t="inlineStr">
        <is>
          <t>HT20260218</t>
        </is>
      </c>
      <c r="E306" s="21">
        <f>IFERROR(INDEX(原始数据!$E$3:$E$1002,MATCH(1,INDEX((原始数据!$D$3:$D$1002="HT20260218")*(原始数据!$E$3:$E$1002&lt;&gt;""),0),0)),"")</f>
        <v>20260823</v>
      </c>
      <c r="F306" s="22">
        <f>SUMIFS(原始数据!$F$3:$F$1002,原始数据!$D$3:$D$1002,"HT20260218")</f>
        <v>1187.493</v>
      </c>
      <c r="G306" s="22">
        <f>SUMIFS(原始数据!$H$3:$H$1002,原始数据!$D$3:$D$1002,"HT20260218")</f>
        <v>541.11</v>
      </c>
      <c r="H306" s="22">
        <f>SUMIFS(原始数据!$I$3:$I$1002,原始数据!$D$3:$D$1002,"HT20260218")</f>
        <v>646.383</v>
      </c>
      <c r="I306" s="22">
        <f>SUMIFS(原始数据!$J$3:$J$1002,原始数据!$D$3:$D$1002,"HT20260218")</f>
        <v>263.099</v>
      </c>
      <c r="J306" s="22">
        <f>SUMIFS(原始数据!$K$3:$K$1002,原始数据!$D$3:$D$1002,"HT20260218")</f>
        <v>383.284</v>
      </c>
      <c r="K306" s="19" t="str">
        <f>IFERROR(INDEX(原始数据!$L$3:$L$1002,MATCH(1,INDEX((原始数据!$D$3:$D$1002="HT20260218")*(原始数据!$L$3:$L$1002&lt;&gt;""),0),0)),"")</f>
        <v>三部</v>
      </c>
      <c r="L306" s="20" t="str">
        <f>IFERROR(INDEX(原始数据!$M$3:$M$1002,MATCH(1,INDEX((原始数据!$D$3:$D$1002="HT20260218")*(原始数据!$M$3:$M$1002&lt;&gt;""),0),0)),"")</f>
        <v>徐涛</v>
      </c>
      <c r="M306" s="19" t="str">
        <f>IFERROR(INDEX(原始数据!$N$3:$N$1002,MATCH(1,INDEX((原始数据!$D$3:$D$1002="HT20260218")*(原始数据!$N$3:$N$1002&lt;&gt;""),0),0)),"")</f>
        <v>1年以内</v>
      </c>
      <c r="N306" s="19" t="inlineStr"/>
    </row>
    <row r="307">
      <c r="A307" s="13">
        <f>ROW()-2</f>
        <v>305</v>
      </c>
      <c r="B307" s="14" t="str">
        <f>IFERROR(INDEX(原始数据!$B$3:$B$1002,MATCH(1,INDEX((原始数据!$D$3:$D$1002="HT20260219")*(原始数据!$B$3:$B$1002&lt;&gt;""),0),0)),"")</f>
        <v>西北-青海</v>
      </c>
      <c r="C307" s="14" t="str">
        <f>IFERROR(INDEX(原始数据!$C$3:$C$1002,MATCH(1,INDEX((原始数据!$D$3:$D$1002="HT20260219")*(原始数据!$C$3:$C$1002&lt;&gt;""),0),0)),"")</f>
        <v>事业单位</v>
      </c>
      <c r="D307" s="15" t="inlineStr">
        <is>
          <t>HT20260219</t>
        </is>
      </c>
      <c r="E307" s="16">
        <f>IFERROR(INDEX(原始数据!$E$3:$E$1002,MATCH(1,INDEX((原始数据!$D$3:$D$1002="HT20260219")*(原始数据!$E$3:$E$1002&lt;&gt;""),0),0)),"")</f>
        <v>20260119</v>
      </c>
      <c r="F307" s="17">
        <f>SUMIFS(原始数据!$F$3:$F$1002,原始数据!$D$3:$D$1002,"HT20260219")</f>
        <v>6277.369</v>
      </c>
      <c r="G307" s="17">
        <f>SUMIFS(原始数据!$H$3:$H$1002,原始数据!$D$3:$D$1002,"HT20260219")</f>
        <v>4662.536</v>
      </c>
      <c r="H307" s="17">
        <f>SUMIFS(原始数据!$I$3:$I$1002,原始数据!$D$3:$D$1002,"HT20260219")</f>
        <v>1614.833</v>
      </c>
      <c r="I307" s="17">
        <f>SUMIFS(原始数据!$J$3:$J$1002,原始数据!$D$3:$D$1002,"HT20260219")</f>
        <v>420.368</v>
      </c>
      <c r="J307" s="17">
        <f>SUMIFS(原始数据!$K$3:$K$1002,原始数据!$D$3:$D$1002,"HT20260219")</f>
        <v>1194.465</v>
      </c>
      <c r="K307" s="14" t="str">
        <f>IFERROR(INDEX(原始数据!$L$3:$L$1002,MATCH(1,INDEX((原始数据!$D$3:$D$1002="HT20260219")*(原始数据!$L$3:$L$1002&lt;&gt;""),0),0)),"")</f>
        <v>九部</v>
      </c>
      <c r="L307" s="15" t="str">
        <f>IFERROR(INDEX(原始数据!$M$3:$M$1002,MATCH(1,INDEX((原始数据!$D$3:$D$1002="HT20260219")*(原始数据!$M$3:$M$1002&lt;&gt;""),0),0)),"")</f>
        <v>蒋涛</v>
      </c>
      <c r="M307" s="14" t="str">
        <f>IFERROR(INDEX(原始数据!$N$3:$N$1002,MATCH(1,INDEX((原始数据!$D$3:$D$1002="HT20260219")*(原始数据!$N$3:$N$1002&lt;&gt;""),0),0)),"")</f>
        <v>1-2年</v>
      </c>
      <c r="N307" s="14" t="inlineStr"/>
    </row>
    <row r="308">
      <c r="A308" s="18">
        <f>ROW()-2</f>
        <v>306</v>
      </c>
      <c r="B308" s="19" t="str">
        <f>IFERROR(INDEX(原始数据!$B$3:$B$1002,MATCH(1,INDEX((原始数据!$D$3:$D$1002="HT20260220")*(原始数据!$B$3:$B$1002&lt;&gt;""),0),0)),"")</f>
        <v>华北-北京</v>
      </c>
      <c r="C308" s="19" t="str">
        <f>IFERROR(INDEX(原始数据!$C$3:$C$1002,MATCH(1,INDEX((原始数据!$D$3:$D$1002="HT20260220")*(原始数据!$C$3:$C$1002&lt;&gt;""),0),0)),"")</f>
        <v>基层自治组织</v>
      </c>
      <c r="D308" s="20" t="inlineStr">
        <is>
          <t>HT20260220</t>
        </is>
      </c>
      <c r="E308" s="21">
        <f>IFERROR(INDEX(原始数据!$E$3:$E$1002,MATCH(1,INDEX((原始数据!$D$3:$D$1002="HT20260220")*(原始数据!$E$3:$E$1002&lt;&gt;""),0),0)),"")</f>
        <v>20260815</v>
      </c>
      <c r="F308" s="22">
        <f>SUMIFS(原始数据!$F$3:$F$1002,原始数据!$D$3:$D$1002,"HT20260220")</f>
        <v>5535.13</v>
      </c>
      <c r="G308" s="22">
        <f>SUMIFS(原始数据!$H$3:$H$1002,原始数据!$D$3:$D$1002,"HT20260220")</f>
        <v>4737.475</v>
      </c>
      <c r="H308" s="22">
        <f>SUMIFS(原始数据!$I$3:$I$1002,原始数据!$D$3:$D$1002,"HT20260220")</f>
        <v>797.655</v>
      </c>
      <c r="I308" s="22">
        <f>SUMIFS(原始数据!$J$3:$J$1002,原始数据!$D$3:$D$1002,"HT20260220")</f>
        <v>113.027</v>
      </c>
      <c r="J308" s="22">
        <f>SUMIFS(原始数据!$K$3:$K$1002,原始数据!$D$3:$D$1002,"HT20260220")</f>
        <v>684.628</v>
      </c>
      <c r="K308" s="19" t="str">
        <f>IFERROR(INDEX(原始数据!$L$3:$L$1002,MATCH(1,INDEX((原始数据!$D$3:$D$1002="HT20260220")*(原始数据!$L$3:$L$1002&lt;&gt;""),0),0)),"")</f>
        <v>四部</v>
      </c>
      <c r="L308" s="20" t="str">
        <f>IFERROR(INDEX(原始数据!$M$3:$M$1002,MATCH(1,INDEX((原始数据!$D$3:$D$1002="HT20260220")*(原始数据!$M$3:$M$1002&lt;&gt;""),0),0)),"")</f>
        <v>高翔</v>
      </c>
      <c r="M308" s="19" t="str">
        <f>IFERROR(INDEX(原始数据!$N$3:$N$1002,MATCH(1,INDEX((原始数据!$D$3:$D$1002="HT20260220")*(原始数据!$N$3:$N$1002&lt;&gt;""),0),0)),"")</f>
        <v>1年以内</v>
      </c>
      <c r="N308" s="19" t="inlineStr"/>
    </row>
    <row r="309">
      <c r="A309" s="13">
        <f>ROW()-2</f>
        <v>307</v>
      </c>
      <c r="B309" s="14" t="str">
        <f>IFERROR(INDEX(原始数据!$B$3:$B$1002,MATCH(1,INDEX((原始数据!$D$3:$D$1002="HT20260221")*(原始数据!$B$3:$B$1002&lt;&gt;""),0),0)),"")</f>
        <v>华南-海南</v>
      </c>
      <c r="C309" s="14" t="str">
        <f>IFERROR(INDEX(原始数据!$C$3:$C$1002,MATCH(1,INDEX((原始数据!$D$3:$D$1002="HT20260221")*(原始数据!$C$3:$C$1002&lt;&gt;""),0),0)),"")</f>
        <v>基层自治组织</v>
      </c>
      <c r="D309" s="15" t="inlineStr">
        <is>
          <t>HT20260221</t>
        </is>
      </c>
      <c r="E309" s="16">
        <f>IFERROR(INDEX(原始数据!$E$3:$E$1002,MATCH(1,INDEX((原始数据!$D$3:$D$1002="HT20260221")*(原始数据!$E$3:$E$1002&lt;&gt;""),0),0)),"")</f>
        <v>20260814</v>
      </c>
      <c r="F309" s="17">
        <f>SUMIFS(原始数据!$F$3:$F$1002,原始数据!$D$3:$D$1002,"HT20260221")</f>
        <v>254.446</v>
      </c>
      <c r="G309" s="17">
        <f>SUMIFS(原始数据!$H$3:$H$1002,原始数据!$D$3:$D$1002,"HT20260221")</f>
        <v>160.506</v>
      </c>
      <c r="H309" s="17">
        <f>SUMIFS(原始数据!$I$3:$I$1002,原始数据!$D$3:$D$1002,"HT20260221")</f>
        <v>93.94</v>
      </c>
      <c r="I309" s="17">
        <f>SUMIFS(原始数据!$J$3:$J$1002,原始数据!$D$3:$D$1002,"HT20260221")</f>
        <v>48.205</v>
      </c>
      <c r="J309" s="17">
        <f>SUMIFS(原始数据!$K$3:$K$1002,原始数据!$D$3:$D$1002,"HT20260221")</f>
        <v>45.735</v>
      </c>
      <c r="K309" s="14" t="str">
        <f>IFERROR(INDEX(原始数据!$L$3:$L$1002,MATCH(1,INDEX((原始数据!$D$3:$D$1002="HT20260221")*(原始数据!$L$3:$L$1002&lt;&gt;""),0),0)),"")</f>
        <v>二部</v>
      </c>
      <c r="L309" s="15" t="str">
        <f>IFERROR(INDEX(原始数据!$M$3:$M$1002,MATCH(1,INDEX((原始数据!$D$3:$D$1002="HT20260221")*(原始数据!$M$3:$M$1002&lt;&gt;""),0),0)),"")</f>
        <v>赵敏</v>
      </c>
      <c r="M309" s="14" t="str">
        <f>IFERROR(INDEX(原始数据!$N$3:$N$1002,MATCH(1,INDEX((原始数据!$D$3:$D$1002="HT20260221")*(原始数据!$N$3:$N$1002&lt;&gt;""),0),0)),"")</f>
        <v>1年以内</v>
      </c>
      <c r="N309" s="14" t="inlineStr"/>
    </row>
    <row r="310">
      <c r="A310" s="18">
        <f>ROW()-2</f>
        <v>308</v>
      </c>
      <c r="B310" s="19" t="str">
        <f>IFERROR(INDEX(原始数据!$B$3:$B$1002,MATCH(1,INDEX((原始数据!$D$3:$D$1002="HT20260222")*(原始数据!$B$3:$B$1002&lt;&gt;""),0),0)),"")</f>
        <v>西南-重庆</v>
      </c>
      <c r="C310" s="19" t="str">
        <f>IFERROR(INDEX(原始数据!$C$3:$C$1002,MATCH(1,INDEX((原始数据!$D$3:$D$1002="HT20260222")*(原始数据!$C$3:$C$1002&lt;&gt;""),0),0)),"")</f>
        <v>国有企业</v>
      </c>
      <c r="D310" s="20" t="inlineStr">
        <is>
          <t>HT20260222</t>
        </is>
      </c>
      <c r="E310" s="21">
        <f>IFERROR(INDEX(原始数据!$E$3:$E$1002,MATCH(1,INDEX((原始数据!$D$3:$D$1002="HT20260222")*(原始数据!$E$3:$E$1002&lt;&gt;""),0),0)),"")</f>
        <v>20260909</v>
      </c>
      <c r="F310" s="22">
        <f>SUMIFS(原始数据!$F$3:$F$1002,原始数据!$D$3:$D$1002,"HT20260222")</f>
        <v>885.471</v>
      </c>
      <c r="G310" s="22">
        <f>SUMIFS(原始数据!$H$3:$H$1002,原始数据!$D$3:$D$1002,"HT20260222")</f>
        <v>191.041</v>
      </c>
      <c r="H310" s="22">
        <f>SUMIFS(原始数据!$I$3:$I$1002,原始数据!$D$3:$D$1002,"HT20260222")</f>
        <v>694.43</v>
      </c>
      <c r="I310" s="22">
        <f>SUMIFS(原始数据!$J$3:$J$1002,原始数据!$D$3:$D$1002,"HT20260222")</f>
        <v>220.929</v>
      </c>
      <c r="J310" s="22">
        <f>SUMIFS(原始数据!$K$3:$K$1002,原始数据!$D$3:$D$1002,"HT20260222")</f>
        <v>473.501</v>
      </c>
      <c r="K310" s="19" t="str">
        <f>IFERROR(INDEX(原始数据!$L$3:$L$1002,MATCH(1,INDEX((原始数据!$D$3:$D$1002="HT20260222")*(原始数据!$L$3:$L$1002&lt;&gt;""),0),0)),"")</f>
        <v>五部</v>
      </c>
      <c r="L310" s="20" t="str">
        <f>IFERROR(INDEX(原始数据!$M$3:$M$1002,MATCH(1,INDEX((原始数据!$D$3:$D$1002="HT20260222")*(原始数据!$M$3:$M$1002&lt;&gt;""),0),0)),"")</f>
        <v>郑浩</v>
      </c>
      <c r="M310" s="19" t="str">
        <f>IFERROR(INDEX(原始数据!$N$3:$N$1002,MATCH(1,INDEX((原始数据!$D$3:$D$1002="HT20260222")*(原始数据!$N$3:$N$1002&lt;&gt;""),0),0)),"")</f>
        <v>2-3年</v>
      </c>
      <c r="N310" s="19" t="inlineStr"/>
    </row>
    <row r="311">
      <c r="A311" s="13">
        <f>ROW()-2</f>
        <v>309</v>
      </c>
      <c r="B311" s="14" t="str">
        <f>IFERROR(INDEX(原始数据!$B$3:$B$1002,MATCH(1,INDEX((原始数据!$D$3:$D$1002="HT20260224")*(原始数据!$B$3:$B$1002&lt;&gt;""),0),0)),"")</f>
        <v>西南-云南</v>
      </c>
      <c r="C311" s="14" t="str">
        <f>IFERROR(INDEX(原始数据!$C$3:$C$1002,MATCH(1,INDEX((原始数据!$D$3:$D$1002="HT20260224")*(原始数据!$C$3:$C$1002&lt;&gt;""),0),0)),"")</f>
        <v>基层自治组织</v>
      </c>
      <c r="D311" s="15" t="inlineStr">
        <is>
          <t>HT20260224</t>
        </is>
      </c>
      <c r="E311" s="16">
        <f>IFERROR(INDEX(原始数据!$E$3:$E$1002,MATCH(1,INDEX((原始数据!$D$3:$D$1002="HT20260224")*(原始数据!$E$3:$E$1002&lt;&gt;""),0),0)),"")</f>
        <v>20260616</v>
      </c>
      <c r="F311" s="17">
        <f>SUMIFS(原始数据!$F$3:$F$1002,原始数据!$D$3:$D$1002,"HT20260224")</f>
        <v>809.8009999999999</v>
      </c>
      <c r="G311" s="17">
        <f>SUMIFS(原始数据!$H$3:$H$1002,原始数据!$D$3:$D$1002,"HT20260224")</f>
        <v>798.9110000000001</v>
      </c>
      <c r="H311" s="17">
        <f>SUMIFS(原始数据!$I$3:$I$1002,原始数据!$D$3:$D$1002,"HT20260224")</f>
        <v>10.89</v>
      </c>
      <c r="I311" s="17">
        <f>SUMIFS(原始数据!$J$3:$J$1002,原始数据!$D$3:$D$1002,"HT20260224")</f>
        <v>10.605</v>
      </c>
      <c r="J311" s="17">
        <f>SUMIFS(原始数据!$K$3:$K$1002,原始数据!$D$3:$D$1002,"HT20260224")</f>
        <v>0.28500000000000003</v>
      </c>
      <c r="K311" s="14" t="str">
        <f>IFERROR(INDEX(原始数据!$L$3:$L$1002,MATCH(1,INDEX((原始数据!$D$3:$D$1002="HT20260224")*(原始数据!$L$3:$L$1002&lt;&gt;""),0),0)),"")</f>
        <v>九部</v>
      </c>
      <c r="L311" s="15" t="str">
        <f>IFERROR(INDEX(原始数据!$M$3:$M$1002,MATCH(1,INDEX((原始数据!$D$3:$D$1002="HT20260224")*(原始数据!$M$3:$M$1002&lt;&gt;""),0),0)),"")</f>
        <v>蔡明</v>
      </c>
      <c r="M311" s="14" t="str">
        <f>IFERROR(INDEX(原始数据!$N$3:$N$1002,MATCH(1,INDEX((原始数据!$D$3:$D$1002="HT20260224")*(原始数据!$N$3:$N$1002&lt;&gt;""),0),0)),"")</f>
        <v>2-3年</v>
      </c>
      <c r="N311" s="14" t="inlineStr"/>
    </row>
    <row r="312">
      <c r="A312" s="18">
        <f>ROW()-2</f>
        <v>310</v>
      </c>
      <c r="B312" s="19" t="str">
        <f>IFERROR(INDEX(原始数据!$B$3:$B$1002,MATCH(1,INDEX((原始数据!$D$3:$D$1002="HT20260226")*(原始数据!$B$3:$B$1002&lt;&gt;""),0),0)),"")</f>
        <v>西南-四川</v>
      </c>
      <c r="C312" s="19" t="str">
        <f>IFERROR(INDEX(原始数据!$C$3:$C$1002,MATCH(1,INDEX((原始数据!$D$3:$D$1002="HT20260226")*(原始数据!$C$3:$C$1002&lt;&gt;""),0),0)),"")</f>
        <v>事业单位</v>
      </c>
      <c r="D312" s="20" t="inlineStr">
        <is>
          <t>HT20260226</t>
        </is>
      </c>
      <c r="E312" s="21">
        <f>IFERROR(INDEX(原始数据!$E$3:$E$1002,MATCH(1,INDEX((原始数据!$D$3:$D$1002="HT20260226")*(原始数据!$E$3:$E$1002&lt;&gt;""),0),0)),"")</f>
        <v>20260131</v>
      </c>
      <c r="F312" s="22">
        <f>SUMIFS(原始数据!$F$3:$F$1002,原始数据!$D$3:$D$1002,"HT20260226")</f>
        <v>159.893</v>
      </c>
      <c r="G312" s="22">
        <f>SUMIFS(原始数据!$H$3:$H$1002,原始数据!$D$3:$D$1002,"HT20260226")</f>
        <v>62.377</v>
      </c>
      <c r="H312" s="22">
        <f>SUMIFS(原始数据!$I$3:$I$1002,原始数据!$D$3:$D$1002,"HT20260226")</f>
        <v>97.516</v>
      </c>
      <c r="I312" s="22">
        <f>SUMIFS(原始数据!$J$3:$J$1002,原始数据!$D$3:$D$1002,"HT20260226")</f>
        <v>91.385</v>
      </c>
      <c r="J312" s="22">
        <f>SUMIFS(原始数据!$K$3:$K$1002,原始数据!$D$3:$D$1002,"HT20260226")</f>
        <v>6.131</v>
      </c>
      <c r="K312" s="19" t="str">
        <f>IFERROR(INDEX(原始数据!$L$3:$L$1002,MATCH(1,INDEX((原始数据!$D$3:$D$1002="HT20260226")*(原始数据!$L$3:$L$1002&lt;&gt;""),0),0)),"")</f>
        <v>八部</v>
      </c>
      <c r="L312" s="20" t="str">
        <f>IFERROR(INDEX(原始数据!$M$3:$M$1002,MATCH(1,INDEX((原始数据!$D$3:$D$1002="HT20260226")*(原始数据!$M$3:$M$1002&lt;&gt;""),0),0)),"")</f>
        <v>彭燕</v>
      </c>
      <c r="M312" s="19" t="str">
        <f>IFERROR(INDEX(原始数据!$N$3:$N$1002,MATCH(1,INDEX((原始数据!$D$3:$D$1002="HT20260226")*(原始数据!$N$3:$N$1002&lt;&gt;""),0),0)),"")</f>
        <v>1-2年</v>
      </c>
      <c r="N312" s="19" t="inlineStr"/>
    </row>
    <row r="313">
      <c r="A313" s="13">
        <f>ROW()-2</f>
        <v>311</v>
      </c>
      <c r="B313" s="14" t="str">
        <f>IFERROR(INDEX(原始数据!$B$3:$B$1002,MATCH(1,INDEX((原始数据!$D$3:$D$1002="HT20260227")*(原始数据!$B$3:$B$1002&lt;&gt;""),0),0)),"")</f>
        <v>华中-湖北</v>
      </c>
      <c r="C313" s="14" t="str">
        <f>IFERROR(INDEX(原始数据!$C$3:$C$1002,MATCH(1,INDEX((原始数据!$D$3:$D$1002="HT20260227")*(原始数据!$C$3:$C$1002&lt;&gt;""),0),0)),"")</f>
        <v>政府机关</v>
      </c>
      <c r="D313" s="15" t="inlineStr">
        <is>
          <t>HT20260227</t>
        </is>
      </c>
      <c r="E313" s="16">
        <f>IFERROR(INDEX(原始数据!$E$3:$E$1002,MATCH(1,INDEX((原始数据!$D$3:$D$1002="HT20260227")*(原始数据!$E$3:$E$1002&lt;&gt;""),0),0)),"")</f>
        <v>20260409</v>
      </c>
      <c r="F313" s="17">
        <f>SUMIFS(原始数据!$F$3:$F$1002,原始数据!$D$3:$D$1002,"HT20260227")</f>
        <v>1215.231</v>
      </c>
      <c r="G313" s="17">
        <f>SUMIFS(原始数据!$H$3:$H$1002,原始数据!$D$3:$D$1002,"HT20260227")</f>
        <v>556.752</v>
      </c>
      <c r="H313" s="17">
        <f>SUMIFS(原始数据!$I$3:$I$1002,原始数据!$D$3:$D$1002,"HT20260227")</f>
        <v>658.479</v>
      </c>
      <c r="I313" s="17">
        <f>SUMIFS(原始数据!$J$3:$J$1002,原始数据!$D$3:$D$1002,"HT20260227")</f>
        <v>133.922</v>
      </c>
      <c r="J313" s="17">
        <f>SUMIFS(原始数据!$K$3:$K$1002,原始数据!$D$3:$D$1002,"HT20260227")</f>
        <v>524.557</v>
      </c>
      <c r="K313" s="14" t="str">
        <f>IFERROR(INDEX(原始数据!$L$3:$L$1002,MATCH(1,INDEX((原始数据!$D$3:$D$1002="HT20260227")*(原始数据!$L$3:$L$1002&lt;&gt;""),0),0)),"")</f>
        <v>三部</v>
      </c>
      <c r="L313" s="15" t="str">
        <f>IFERROR(INDEX(原始数据!$M$3:$M$1002,MATCH(1,INDEX((原始数据!$D$3:$D$1002="HT20260227")*(原始数据!$M$3:$M$1002&lt;&gt;""),0),0)),"")</f>
        <v>孙艳</v>
      </c>
      <c r="M313" s="14" t="str">
        <f>IFERROR(INDEX(原始数据!$N$3:$N$1002,MATCH(1,INDEX((原始数据!$D$3:$D$1002="HT20260227")*(原始数据!$N$3:$N$1002&lt;&gt;""),0),0)),"")</f>
        <v>1-2年</v>
      </c>
      <c r="N313" s="14" t="inlineStr"/>
    </row>
    <row r="314">
      <c r="A314" s="18">
        <f>ROW()-2</f>
        <v>312</v>
      </c>
      <c r="B314" s="19" t="str">
        <f>IFERROR(INDEX(原始数据!$B$3:$B$1002,MATCH(1,INDEX((原始数据!$D$3:$D$1002="HT20260228")*(原始数据!$B$3:$B$1002&lt;&gt;""),0),0)),"")</f>
        <v>华南-广东</v>
      </c>
      <c r="C314" s="19" t="str">
        <f>IFERROR(INDEX(原始数据!$C$3:$C$1002,MATCH(1,INDEX((原始数据!$D$3:$D$1002="HT20260228")*(原始数据!$C$3:$C$1002&lt;&gt;""),0),0)),"")</f>
        <v>群团组织</v>
      </c>
      <c r="D314" s="20" t="inlineStr">
        <is>
          <t>HT20260228</t>
        </is>
      </c>
      <c r="E314" s="21">
        <f>IFERROR(INDEX(原始数据!$E$3:$E$1002,MATCH(1,INDEX((原始数据!$D$3:$D$1002="HT20260228")*(原始数据!$E$3:$E$1002&lt;&gt;""),0),0)),"")</f>
        <v>20260517</v>
      </c>
      <c r="F314" s="22">
        <f>SUMIFS(原始数据!$F$3:$F$1002,原始数据!$D$3:$D$1002,"HT20260228")</f>
        <v>2866.617</v>
      </c>
      <c r="G314" s="22">
        <f>SUMIFS(原始数据!$H$3:$H$1002,原始数据!$D$3:$D$1002,"HT20260228")</f>
        <v>2223.973</v>
      </c>
      <c r="H314" s="22">
        <f>SUMIFS(原始数据!$I$3:$I$1002,原始数据!$D$3:$D$1002,"HT20260228")</f>
        <v>642.644</v>
      </c>
      <c r="I314" s="22">
        <f>SUMIFS(原始数据!$J$3:$J$1002,原始数据!$D$3:$D$1002,"HT20260228")</f>
        <v>230.567</v>
      </c>
      <c r="J314" s="22">
        <f>SUMIFS(原始数据!$K$3:$K$1002,原始数据!$D$3:$D$1002,"HT20260228")</f>
        <v>412.077</v>
      </c>
      <c r="K314" s="19" t="str">
        <f>IFERROR(INDEX(原始数据!$L$3:$L$1002,MATCH(1,INDEX((原始数据!$D$3:$D$1002="HT20260228")*(原始数据!$L$3:$L$1002&lt;&gt;""),0),0)),"")</f>
        <v>二部</v>
      </c>
      <c r="L314" s="20" t="str">
        <f>IFERROR(INDEX(原始数据!$M$3:$M$1002,MATCH(1,INDEX((原始数据!$D$3:$D$1002="HT20260228")*(原始数据!$M$3:$M$1002&lt;&gt;""),0),0)),"")</f>
        <v>周杰</v>
      </c>
      <c r="M314" s="19" t="str">
        <f>IFERROR(INDEX(原始数据!$N$3:$N$1002,MATCH(1,INDEX((原始数据!$D$3:$D$1002="HT20260228")*(原始数据!$N$3:$N$1002&lt;&gt;""),0),0)),"")</f>
        <v>2-3年</v>
      </c>
      <c r="N314" s="19" t="inlineStr"/>
    </row>
    <row r="315">
      <c r="A315" s="13">
        <f>ROW()-2</f>
        <v>313</v>
      </c>
      <c r="B315" s="14" t="str">
        <f>IFERROR(INDEX(原始数据!$B$3:$B$1002,MATCH(1,INDEX((原始数据!$D$3:$D$1002="HT20260301")*(原始数据!$B$3:$B$1002&lt;&gt;""),0),0)),"")</f>
        <v>华东-台湾</v>
      </c>
      <c r="C315" s="14" t="str">
        <f>IFERROR(INDEX(原始数据!$C$3:$C$1002,MATCH(1,INDEX((原始数据!$D$3:$D$1002="HT20260301")*(原始数据!$C$3:$C$1002&lt;&gt;""),0),0)),"")</f>
        <v>监察司法机关</v>
      </c>
      <c r="D315" s="15" t="inlineStr">
        <is>
          <t>HT20260301</t>
        </is>
      </c>
      <c r="E315" s="16">
        <f>IFERROR(INDEX(原始数据!$E$3:$E$1002,MATCH(1,INDEX((原始数据!$D$3:$D$1002="HT20260301")*(原始数据!$E$3:$E$1002&lt;&gt;""),0),0)),"")</f>
        <v>20260907</v>
      </c>
      <c r="F315" s="17">
        <f>SUMIFS(原始数据!$F$3:$F$1002,原始数据!$D$3:$D$1002,"HT20260301")</f>
        <v>23.557</v>
      </c>
      <c r="G315" s="17">
        <f>SUMIFS(原始数据!$H$3:$H$1002,原始数据!$D$3:$D$1002,"HT20260301")</f>
        <v>22.122</v>
      </c>
      <c r="H315" s="17">
        <f>SUMIFS(原始数据!$I$3:$I$1002,原始数据!$D$3:$D$1002,"HT20260301")</f>
        <v>1.435</v>
      </c>
      <c r="I315" s="17">
        <f>SUMIFS(原始数据!$J$3:$J$1002,原始数据!$D$3:$D$1002,"HT20260301")</f>
        <v>0.811</v>
      </c>
      <c r="J315" s="17">
        <f>SUMIFS(原始数据!$K$3:$K$1002,原始数据!$D$3:$D$1002,"HT20260301")</f>
        <v>0.624</v>
      </c>
      <c r="K315" s="14" t="str">
        <f>IFERROR(INDEX(原始数据!$L$3:$L$1002,MATCH(1,INDEX((原始数据!$D$3:$D$1002="HT20260301")*(原始数据!$L$3:$L$1002&lt;&gt;""),0),0)),"")</f>
        <v>一部</v>
      </c>
      <c r="L315" s="15" t="str">
        <f>IFERROR(INDEX(原始数据!$M$3:$M$1002,MATCH(1,INDEX((原始数据!$D$3:$D$1002="HT20260301")*(原始数据!$M$3:$M$1002&lt;&gt;""),0),0)),"")</f>
        <v>刘洋</v>
      </c>
      <c r="M315" s="14" t="str">
        <f>IFERROR(INDEX(原始数据!$N$3:$N$1002,MATCH(1,INDEX((原始数据!$D$3:$D$1002="HT20260301")*(原始数据!$N$3:$N$1002&lt;&gt;""),0),0)),"")</f>
        <v>1年以内</v>
      </c>
      <c r="N315" s="14" t="inlineStr"/>
    </row>
    <row r="316">
      <c r="A316" s="18">
        <f>ROW()-2</f>
        <v>314</v>
      </c>
      <c r="B316" s="19" t="str">
        <f>IFERROR(INDEX(原始数据!$B$3:$B$1002,MATCH(1,INDEX((原始数据!$D$3:$D$1002="HT20260302")*(原始数据!$B$3:$B$1002&lt;&gt;""),0),0)),"")</f>
        <v>华东-山东</v>
      </c>
      <c r="C316" s="19" t="str">
        <f>IFERROR(INDEX(原始数据!$C$3:$C$1002,MATCH(1,INDEX((原始数据!$D$3:$D$1002="HT20260302")*(原始数据!$C$3:$C$1002&lt;&gt;""),0),0)),"")</f>
        <v>基层自治组织</v>
      </c>
      <c r="D316" s="20" t="inlineStr">
        <is>
          <t>HT20260302</t>
        </is>
      </c>
      <c r="E316" s="21">
        <f>IFERROR(INDEX(原始数据!$E$3:$E$1002,MATCH(1,INDEX((原始数据!$D$3:$D$1002="HT20260302")*(原始数据!$E$3:$E$1002&lt;&gt;""),0),0)),"")</f>
        <v>20260328</v>
      </c>
      <c r="F316" s="22">
        <f>SUMIFS(原始数据!$F$3:$F$1002,原始数据!$D$3:$D$1002,"HT20260302")</f>
        <v>690.503</v>
      </c>
      <c r="G316" s="22">
        <f>SUMIFS(原始数据!$H$3:$H$1002,原始数据!$D$3:$D$1002,"HT20260302")</f>
        <v>185.399</v>
      </c>
      <c r="H316" s="22">
        <f>SUMIFS(原始数据!$I$3:$I$1002,原始数据!$D$3:$D$1002,"HT20260302")</f>
        <v>505.10400000000004</v>
      </c>
      <c r="I316" s="22">
        <f>SUMIFS(原始数据!$J$3:$J$1002,原始数据!$D$3:$D$1002,"HT20260302")</f>
        <v>162.70600000000002</v>
      </c>
      <c r="J316" s="22">
        <f>SUMIFS(原始数据!$K$3:$K$1002,原始数据!$D$3:$D$1002,"HT20260302")</f>
        <v>342.39799999999997</v>
      </c>
      <c r="K316" s="19" t="str">
        <f>IFERROR(INDEX(原始数据!$L$3:$L$1002,MATCH(1,INDEX((原始数据!$D$3:$D$1002="HT20260302")*(原始数据!$L$3:$L$1002&lt;&gt;""),0),0)),"")</f>
        <v>七部</v>
      </c>
      <c r="L316" s="20" t="str">
        <f>IFERROR(INDEX(原始数据!$M$3:$M$1002,MATCH(1,INDEX((原始数据!$D$3:$D$1002="HT20260302")*(原始数据!$M$3:$M$1002&lt;&gt;""),0),0)),"")</f>
        <v>邓丽</v>
      </c>
      <c r="M316" s="19" t="str">
        <f>IFERROR(INDEX(原始数据!$N$3:$N$1002,MATCH(1,INDEX((原始数据!$D$3:$D$1002="HT20260302")*(原始数据!$N$3:$N$1002&lt;&gt;""),0),0)),"")</f>
        <v>2-3年</v>
      </c>
      <c r="N316" s="19" t="inlineStr"/>
    </row>
    <row r="317">
      <c r="A317" s="13">
        <f>ROW()-2</f>
        <v>315</v>
      </c>
      <c r="B317" s="14" t="str">
        <f>IFERROR(INDEX(原始数据!$B$3:$B$1002,MATCH(1,INDEX((原始数据!$D$3:$D$1002="HT20260303")*(原始数据!$B$3:$B$1002&lt;&gt;""),0),0)),"")</f>
        <v>华北-内蒙古</v>
      </c>
      <c r="C317" s="14" t="str">
        <f>IFERROR(INDEX(原始数据!$C$3:$C$1002,MATCH(1,INDEX((原始数据!$D$3:$D$1002="HT20260303")*(原始数据!$C$3:$C$1002&lt;&gt;""),0),0)),"")</f>
        <v>政府机关</v>
      </c>
      <c r="D317" s="15" t="inlineStr">
        <is>
          <t>HT20260303</t>
        </is>
      </c>
      <c r="E317" s="16">
        <f>IFERROR(INDEX(原始数据!$E$3:$E$1002,MATCH(1,INDEX((原始数据!$D$3:$D$1002="HT20260303")*(原始数据!$E$3:$E$1002&lt;&gt;""),0),0)),"")</f>
        <v>20260226</v>
      </c>
      <c r="F317" s="17">
        <f>SUMIFS(原始数据!$F$3:$F$1002,原始数据!$D$3:$D$1002,"HT20260303")</f>
        <v>647.459</v>
      </c>
      <c r="G317" s="17">
        <f>SUMIFS(原始数据!$H$3:$H$1002,原始数据!$D$3:$D$1002,"HT20260303")</f>
        <v>595.197</v>
      </c>
      <c r="H317" s="17">
        <f>SUMIFS(原始数据!$I$3:$I$1002,原始数据!$D$3:$D$1002,"HT20260303")</f>
        <v>52.262</v>
      </c>
      <c r="I317" s="17">
        <f>SUMIFS(原始数据!$J$3:$J$1002,原始数据!$D$3:$D$1002,"HT20260303")</f>
        <v>37.601</v>
      </c>
      <c r="J317" s="17">
        <f>SUMIFS(原始数据!$K$3:$K$1002,原始数据!$D$3:$D$1002,"HT20260303")</f>
        <v>14.661</v>
      </c>
      <c r="K317" s="14" t="str">
        <f>IFERROR(INDEX(原始数据!$L$3:$L$1002,MATCH(1,INDEX((原始数据!$D$3:$D$1002="HT20260303")*(原始数据!$L$3:$L$1002&lt;&gt;""),0),0)),"")</f>
        <v>三部</v>
      </c>
      <c r="L317" s="15" t="str">
        <f>IFERROR(INDEX(原始数据!$M$3:$M$1002,MATCH(1,INDEX((原始数据!$D$3:$D$1002="HT20260303")*(原始数据!$M$3:$M$1002&lt;&gt;""),0),0)),"")</f>
        <v>孙艳</v>
      </c>
      <c r="M317" s="14" t="str">
        <f>IFERROR(INDEX(原始数据!$N$3:$N$1002,MATCH(1,INDEX((原始数据!$D$3:$D$1002="HT20260303")*(原始数据!$N$3:$N$1002&lt;&gt;""),0),0)),"")</f>
        <v>1-2年</v>
      </c>
      <c r="N317" s="14" t="inlineStr"/>
    </row>
    <row r="318">
      <c r="A318" s="18">
        <f>ROW()-2</f>
        <v>316</v>
      </c>
      <c r="B318" s="19" t="str">
        <f>IFERROR(INDEX(原始数据!$B$3:$B$1002,MATCH(1,INDEX((原始数据!$D$3:$D$1002="HT20260306")*(原始数据!$B$3:$B$1002&lt;&gt;""),0),0)),"")</f>
        <v>华东-福建</v>
      </c>
      <c r="C318" s="19" t="str">
        <f>IFERROR(INDEX(原始数据!$C$3:$C$1002,MATCH(1,INDEX((原始数据!$D$3:$D$1002="HT20260306")*(原始数据!$C$3:$C$1002&lt;&gt;""),0),0)),"")</f>
        <v>党委机关</v>
      </c>
      <c r="D318" s="20" t="inlineStr">
        <is>
          <t>HT20260306</t>
        </is>
      </c>
      <c r="E318" s="21">
        <f>IFERROR(INDEX(原始数据!$E$3:$E$1002,MATCH(1,INDEX((原始数据!$D$3:$D$1002="HT20260306")*(原始数据!$E$3:$E$1002&lt;&gt;""),0),0)),"")</f>
        <v>20260622</v>
      </c>
      <c r="F318" s="22">
        <f>SUMIFS(原始数据!$F$3:$F$1002,原始数据!$D$3:$D$1002,"HT20260306")</f>
        <v>1275.755</v>
      </c>
      <c r="G318" s="22">
        <f>SUMIFS(原始数据!$H$3:$H$1002,原始数据!$D$3:$D$1002,"HT20260306")</f>
        <v>874.0310000000001</v>
      </c>
      <c r="H318" s="22">
        <f>SUMIFS(原始数据!$I$3:$I$1002,原始数据!$D$3:$D$1002,"HT20260306")</f>
        <v>401.724</v>
      </c>
      <c r="I318" s="22">
        <f>SUMIFS(原始数据!$J$3:$J$1002,原始数据!$D$3:$D$1002,"HT20260306")</f>
        <v>241.413</v>
      </c>
      <c r="J318" s="22">
        <f>SUMIFS(原始数据!$K$3:$K$1002,原始数据!$D$3:$D$1002,"HT20260306")</f>
        <v>160.31099999999998</v>
      </c>
      <c r="K318" s="19" t="str">
        <f>IFERROR(INDEX(原始数据!$L$3:$L$1002,MATCH(1,INDEX((原始数据!$D$3:$D$1002="HT20260306")*(原始数据!$L$3:$L$1002&lt;&gt;""),0),0)),"")</f>
        <v>一部</v>
      </c>
      <c r="L318" s="20" t="str">
        <f>IFERROR(INDEX(原始数据!$M$3:$M$1002,MATCH(1,INDEX((原始数据!$D$3:$D$1002="HT20260306")*(原始数据!$M$3:$M$1002&lt;&gt;""),0),0)),"")</f>
        <v>刘洋</v>
      </c>
      <c r="M318" s="19" t="str">
        <f>IFERROR(INDEX(原始数据!$N$3:$N$1002,MATCH(1,INDEX((原始数据!$D$3:$D$1002="HT20260306")*(原始数据!$N$3:$N$1002&lt;&gt;""),0),0)),"")</f>
        <v>1年以内</v>
      </c>
      <c r="N318" s="19" t="inlineStr"/>
    </row>
    <row r="319">
      <c r="A319" s="13">
        <f>ROW()-2</f>
        <v>317</v>
      </c>
      <c r="B319" s="14" t="str">
        <f>IFERROR(INDEX(原始数据!$B$3:$B$1002,MATCH(1,INDEX((原始数据!$D$3:$D$1002="HT20260307")*(原始数据!$B$3:$B$1002&lt;&gt;""),0),0)),"")</f>
        <v>东北-黑龙江</v>
      </c>
      <c r="C319" s="14" t="str">
        <f>IFERROR(INDEX(原始数据!$C$3:$C$1002,MATCH(1,INDEX((原始数据!$D$3:$D$1002="HT20260307")*(原始数据!$C$3:$C$1002&lt;&gt;""),0),0)),"")</f>
        <v>事业单位</v>
      </c>
      <c r="D319" s="15" t="inlineStr">
        <is>
          <t>HT20260307</t>
        </is>
      </c>
      <c r="E319" s="16">
        <f>IFERROR(INDEX(原始数据!$E$3:$E$1002,MATCH(1,INDEX((原始数据!$D$3:$D$1002="HT20260307")*(原始数据!$E$3:$E$1002&lt;&gt;""),0),0)),"")</f>
        <v>20260413</v>
      </c>
      <c r="F319" s="17">
        <f>SUMIFS(原始数据!$F$3:$F$1002,原始数据!$D$3:$D$1002,"HT20260307")</f>
        <v>75.038</v>
      </c>
      <c r="G319" s="17">
        <f>SUMIFS(原始数据!$H$3:$H$1002,原始数据!$D$3:$D$1002,"HT20260307")</f>
        <v>37.044</v>
      </c>
      <c r="H319" s="17">
        <f>SUMIFS(原始数据!$I$3:$I$1002,原始数据!$D$3:$D$1002,"HT20260307")</f>
        <v>37.994</v>
      </c>
      <c r="I319" s="17">
        <f>SUMIFS(原始数据!$J$3:$J$1002,原始数据!$D$3:$D$1002,"HT20260307")</f>
        <v>12.599</v>
      </c>
      <c r="J319" s="17">
        <f>SUMIFS(原始数据!$K$3:$K$1002,原始数据!$D$3:$D$1002,"HT20260307")</f>
        <v>25.395</v>
      </c>
      <c r="K319" s="14" t="str">
        <f>IFERROR(INDEX(原始数据!$L$3:$L$1002,MATCH(1,INDEX((原始数据!$D$3:$D$1002="HT20260307")*(原始数据!$L$3:$L$1002&lt;&gt;""),0),0)),"")</f>
        <v>八部</v>
      </c>
      <c r="L319" s="15" t="str">
        <f>IFERROR(INDEX(原始数据!$M$3:$M$1002,MATCH(1,INDEX((原始数据!$D$3:$D$1002="HT20260307")*(原始数据!$M$3:$M$1002&lt;&gt;""),0),0)),"")</f>
        <v>卢俊</v>
      </c>
      <c r="M319" s="14" t="str">
        <f>IFERROR(INDEX(原始数据!$N$3:$N$1002,MATCH(1,INDEX((原始数据!$D$3:$D$1002="HT20260307")*(原始数据!$N$3:$N$1002&lt;&gt;""),0),0)),"")</f>
        <v>1-2年</v>
      </c>
      <c r="N319" s="14" t="inlineStr"/>
    </row>
    <row r="320">
      <c r="A320" s="18">
        <f>ROW()-2</f>
        <v>318</v>
      </c>
      <c r="B320" s="19" t="str">
        <f>IFERROR(INDEX(原始数据!$B$3:$B$1002,MATCH(1,INDEX((原始数据!$D$3:$D$1002="HT20260309")*(原始数据!$B$3:$B$1002&lt;&gt;""),0),0)),"")</f>
        <v>华北-河北</v>
      </c>
      <c r="C320" s="19" t="str">
        <f>IFERROR(INDEX(原始数据!$C$3:$C$1002,MATCH(1,INDEX((原始数据!$D$3:$D$1002="HT20260309")*(原始数据!$C$3:$C$1002&lt;&gt;""),0),0)),"")</f>
        <v>监察司法机关</v>
      </c>
      <c r="D320" s="20" t="inlineStr">
        <is>
          <t>HT20260309</t>
        </is>
      </c>
      <c r="E320" s="21">
        <f>IFERROR(INDEX(原始数据!$E$3:$E$1002,MATCH(1,INDEX((原始数据!$D$3:$D$1002="HT20260309")*(原始数据!$E$3:$E$1002&lt;&gt;""),0),0)),"")</f>
        <v>20260425</v>
      </c>
      <c r="F320" s="22">
        <f>SUMIFS(原始数据!$F$3:$F$1002,原始数据!$D$3:$D$1002,"HT20260309")</f>
        <v>2378.4719999999998</v>
      </c>
      <c r="G320" s="22">
        <f>SUMIFS(原始数据!$H$3:$H$1002,原始数据!$D$3:$D$1002,"HT20260309")</f>
        <v>637.231</v>
      </c>
      <c r="H320" s="22">
        <f>SUMIFS(原始数据!$I$3:$I$1002,原始数据!$D$3:$D$1002,"HT20260309")</f>
        <v>1741.241</v>
      </c>
      <c r="I320" s="22">
        <f>SUMIFS(原始数据!$J$3:$J$1002,原始数据!$D$3:$D$1002,"HT20260309")</f>
        <v>621.588</v>
      </c>
      <c r="J320" s="22">
        <f>SUMIFS(原始数据!$K$3:$K$1002,原始数据!$D$3:$D$1002,"HT20260309")</f>
        <v>1119.653</v>
      </c>
      <c r="K320" s="19" t="str">
        <f>IFERROR(INDEX(原始数据!$L$3:$L$1002,MATCH(1,INDEX((原始数据!$D$3:$D$1002="HT20260309")*(原始数据!$L$3:$L$1002&lt;&gt;""),0),0)),"")</f>
        <v>二部</v>
      </c>
      <c r="L320" s="20" t="str">
        <f>IFERROR(INDEX(原始数据!$M$3:$M$1002,MATCH(1,INDEX((原始数据!$D$3:$D$1002="HT20260309")*(原始数据!$M$3:$M$1002&lt;&gt;""),0),0)),"")</f>
        <v>黄强</v>
      </c>
      <c r="M320" s="19" t="str">
        <f>IFERROR(INDEX(原始数据!$N$3:$N$1002,MATCH(1,INDEX((原始数据!$D$3:$D$1002="HT20260309")*(原始数据!$N$3:$N$1002&lt;&gt;""),0),0)),"")</f>
        <v>2-3年</v>
      </c>
      <c r="N320" s="19" t="inlineStr"/>
    </row>
    <row r="321">
      <c r="A321" s="13">
        <f>ROW()-2</f>
        <v>319</v>
      </c>
      <c r="B321" s="14" t="str">
        <f>IFERROR(INDEX(原始数据!$B$3:$B$1002,MATCH(1,INDEX((原始数据!$D$3:$D$1002="HT20260311")*(原始数据!$B$3:$B$1002&lt;&gt;""),0),0)),"")</f>
        <v>华东-山东</v>
      </c>
      <c r="C321" s="14" t="str">
        <f>IFERROR(INDEX(原始数据!$C$3:$C$1002,MATCH(1,INDEX((原始数据!$D$3:$D$1002="HT20260311")*(原始数据!$C$3:$C$1002&lt;&gt;""),0),0)),"")</f>
        <v>人大政协</v>
      </c>
      <c r="D321" s="15" t="inlineStr">
        <is>
          <t>HT20260311</t>
        </is>
      </c>
      <c r="E321" s="16">
        <f>IFERROR(INDEX(原始数据!$E$3:$E$1002,MATCH(1,INDEX((原始数据!$D$3:$D$1002="HT20260311")*(原始数据!$E$3:$E$1002&lt;&gt;""),0),0)),"")</f>
        <v>20260913</v>
      </c>
      <c r="F321" s="17">
        <f>SUMIFS(原始数据!$F$3:$F$1002,原始数据!$D$3:$D$1002,"HT20260311")</f>
        <v>4073.3419999999996</v>
      </c>
      <c r="G321" s="17">
        <f>SUMIFS(原始数据!$H$3:$H$1002,原始数据!$D$3:$D$1002,"HT20260311")</f>
        <v>2344.428</v>
      </c>
      <c r="H321" s="17">
        <f>SUMIFS(原始数据!$I$3:$I$1002,原始数据!$D$3:$D$1002,"HT20260311")</f>
        <v>1728.914</v>
      </c>
      <c r="I321" s="17">
        <f>SUMIFS(原始数据!$J$3:$J$1002,原始数据!$D$3:$D$1002,"HT20260311")</f>
        <v>412.841</v>
      </c>
      <c r="J321" s="17">
        <f>SUMIFS(原始数据!$K$3:$K$1002,原始数据!$D$3:$D$1002,"HT20260311")</f>
        <v>1316.073</v>
      </c>
      <c r="K321" s="14" t="str">
        <f>IFERROR(INDEX(原始数据!$L$3:$L$1002,MATCH(1,INDEX((原始数据!$D$3:$D$1002="HT20260311")*(原始数据!$L$3:$L$1002&lt;&gt;""),0),0)),"")</f>
        <v>六部</v>
      </c>
      <c r="L321" s="15" t="str">
        <f>IFERROR(INDEX(原始数据!$M$3:$M$1002,MATCH(1,INDEX((原始数据!$D$3:$D$1002="HT20260311")*(原始数据!$M$3:$M$1002&lt;&gt;""),0),0)),"")</f>
        <v>董辉</v>
      </c>
      <c r="M321" s="14" t="str">
        <f>IFERROR(INDEX(原始数据!$N$3:$N$1002,MATCH(1,INDEX((原始数据!$D$3:$D$1002="HT20260311")*(原始数据!$N$3:$N$1002&lt;&gt;""),0),0)),"")</f>
        <v>1-2年</v>
      </c>
      <c r="N321" s="14" t="inlineStr"/>
    </row>
    <row r="322">
      <c r="A322" s="18">
        <f>ROW()-2</f>
        <v>320</v>
      </c>
      <c r="B322" s="19" t="str">
        <f>IFERROR(INDEX(原始数据!$B$3:$B$1002,MATCH(1,INDEX((原始数据!$D$3:$D$1002="HT20260312")*(原始数据!$B$3:$B$1002&lt;&gt;""),0),0)),"")</f>
        <v>西北-青海</v>
      </c>
      <c r="C322" s="19" t="str">
        <f>IFERROR(INDEX(原始数据!$C$3:$C$1002,MATCH(1,INDEX((原始数据!$D$3:$D$1002="HT20260312")*(原始数据!$C$3:$C$1002&lt;&gt;""),0),0)),"")</f>
        <v>国有企业</v>
      </c>
      <c r="D322" s="20" t="inlineStr">
        <is>
          <t>HT20260312</t>
        </is>
      </c>
      <c r="E322" s="21">
        <f>IFERROR(INDEX(原始数据!$E$3:$E$1002,MATCH(1,INDEX((原始数据!$D$3:$D$1002="HT20260312")*(原始数据!$E$3:$E$1002&lt;&gt;""),0),0)),"")</f>
        <v>20260621</v>
      </c>
      <c r="F322" s="22">
        <f>SUMIFS(原始数据!$F$3:$F$1002,原始数据!$D$3:$D$1002,"HT20260312")</f>
        <v>2705.201</v>
      </c>
      <c r="G322" s="22">
        <f>SUMIFS(原始数据!$H$3:$H$1002,原始数据!$D$3:$D$1002,"HT20260312")</f>
        <v>965.113</v>
      </c>
      <c r="H322" s="22">
        <f>SUMIFS(原始数据!$I$3:$I$1002,原始数据!$D$3:$D$1002,"HT20260312")</f>
        <v>1740.0880000000002</v>
      </c>
      <c r="I322" s="22">
        <f>SUMIFS(原始数据!$J$3:$J$1002,原始数据!$D$3:$D$1002,"HT20260312")</f>
        <v>561.278</v>
      </c>
      <c r="J322" s="22">
        <f>SUMIFS(原始数据!$K$3:$K$1002,原始数据!$D$3:$D$1002,"HT20260312")</f>
        <v>1178.8100000000002</v>
      </c>
      <c r="K322" s="19" t="str">
        <f>IFERROR(INDEX(原始数据!$L$3:$L$1002,MATCH(1,INDEX((原始数据!$D$3:$D$1002="HT20260312")*(原始数据!$L$3:$L$1002&lt;&gt;""),0),0)),"")</f>
        <v>十部</v>
      </c>
      <c r="L322" s="20" t="str">
        <f>IFERROR(INDEX(原始数据!$M$3:$M$1002,MATCH(1,INDEX((原始数据!$D$3:$D$1002="HT20260312")*(原始数据!$M$3:$M$1002&lt;&gt;""),0),0)),"")</f>
        <v>段勇</v>
      </c>
      <c r="M322" s="19" t="str">
        <f>IFERROR(INDEX(原始数据!$N$3:$N$1002,MATCH(1,INDEX((原始数据!$D$3:$D$1002="HT20260312")*(原始数据!$N$3:$N$1002&lt;&gt;""),0),0)),"")</f>
        <v>2-3年</v>
      </c>
      <c r="N322" s="19" t="inlineStr"/>
    </row>
    <row r="323">
      <c r="A323" s="13">
        <f>ROW()-2</f>
        <v>321</v>
      </c>
      <c r="B323" s="14" t="str">
        <f>IFERROR(INDEX(原始数据!$B$3:$B$1002,MATCH(1,INDEX((原始数据!$D$3:$D$1002="HT20260313")*(原始数据!$B$3:$B$1002&lt;&gt;""),0),0)),"")</f>
        <v>西南-重庆</v>
      </c>
      <c r="C323" s="14" t="str">
        <f>IFERROR(INDEX(原始数据!$C$3:$C$1002,MATCH(1,INDEX((原始数据!$D$3:$D$1002="HT20260313")*(原始数据!$C$3:$C$1002&lt;&gt;""),0),0)),"")</f>
        <v>人大政协</v>
      </c>
      <c r="D323" s="15" t="inlineStr">
        <is>
          <t>HT20260313</t>
        </is>
      </c>
      <c r="E323" s="16">
        <f>IFERROR(INDEX(原始数据!$E$3:$E$1002,MATCH(1,INDEX((原始数据!$D$3:$D$1002="HT20260313")*(原始数据!$E$3:$E$1002&lt;&gt;""),0),0)),"")</f>
        <v>20260111</v>
      </c>
      <c r="F323" s="17">
        <f>SUMIFS(原始数据!$F$3:$F$1002,原始数据!$D$3:$D$1002,"HT20260313")</f>
        <v>259.188</v>
      </c>
      <c r="G323" s="17">
        <f>SUMIFS(原始数据!$H$3:$H$1002,原始数据!$D$3:$D$1002,"HT20260313")</f>
        <v>38.278</v>
      </c>
      <c r="H323" s="17">
        <f>SUMIFS(原始数据!$I$3:$I$1002,原始数据!$D$3:$D$1002,"HT20260313")</f>
        <v>220.91</v>
      </c>
      <c r="I323" s="17">
        <f>SUMIFS(原始数据!$J$3:$J$1002,原始数据!$D$3:$D$1002,"HT20260313")</f>
        <v>48.412</v>
      </c>
      <c r="J323" s="17">
        <f>SUMIFS(原始数据!$K$3:$K$1002,原始数据!$D$3:$D$1002,"HT20260313")</f>
        <v>172.498</v>
      </c>
      <c r="K323" s="14" t="str">
        <f>IFERROR(INDEX(原始数据!$L$3:$L$1002,MATCH(1,INDEX((原始数据!$D$3:$D$1002="HT20260313")*(原始数据!$L$3:$L$1002&lt;&gt;""),0),0)),"")</f>
        <v>五部</v>
      </c>
      <c r="L323" s="15" t="str">
        <f>IFERROR(INDEX(原始数据!$M$3:$M$1002,MATCH(1,INDEX((原始数据!$D$3:$D$1002="HT20260313")*(原始数据!$M$3:$M$1002&lt;&gt;""),0),0)),"")</f>
        <v>谢峰</v>
      </c>
      <c r="M323" s="14" t="str">
        <f>IFERROR(INDEX(原始数据!$N$3:$N$1002,MATCH(1,INDEX((原始数据!$D$3:$D$1002="HT20260313")*(原始数据!$N$3:$N$1002&lt;&gt;""),0),0)),"")</f>
        <v>1-2年</v>
      </c>
      <c r="N323" s="14" t="inlineStr"/>
    </row>
    <row r="324">
      <c r="A324" s="18">
        <f>ROW()-2</f>
        <v>322</v>
      </c>
      <c r="B324" s="19" t="str">
        <f>IFERROR(INDEX(原始数据!$B$3:$B$1002,MATCH(1,INDEX((原始数据!$D$3:$D$1002="HT20260315")*(原始数据!$B$3:$B$1002&lt;&gt;""),0),0)),"")</f>
        <v>华北-河北</v>
      </c>
      <c r="C324" s="19" t="str">
        <f>IFERROR(INDEX(原始数据!$C$3:$C$1002,MATCH(1,INDEX((原始数据!$D$3:$D$1002="HT20260315")*(原始数据!$C$3:$C$1002&lt;&gt;""),0),0)),"")</f>
        <v>政府机关</v>
      </c>
      <c r="D324" s="20" t="inlineStr">
        <is>
          <t>HT20260315</t>
        </is>
      </c>
      <c r="E324" s="21">
        <f>IFERROR(INDEX(原始数据!$E$3:$E$1002,MATCH(1,INDEX((原始数据!$D$3:$D$1002="HT20260315")*(原始数据!$E$3:$E$1002&lt;&gt;""),0),0)),"")</f>
        <v>20260902</v>
      </c>
      <c r="F324" s="22">
        <f>SUMIFS(原始数据!$F$3:$F$1002,原始数据!$D$3:$D$1002,"HT20260315")</f>
        <v>9658.791000000001</v>
      </c>
      <c r="G324" s="22">
        <f>SUMIFS(原始数据!$H$3:$H$1002,原始数据!$D$3:$D$1002,"HT20260315")</f>
        <v>3182.604</v>
      </c>
      <c r="H324" s="22">
        <f>SUMIFS(原始数据!$I$3:$I$1002,原始数据!$D$3:$D$1002,"HT20260315")</f>
        <v>6476.187</v>
      </c>
      <c r="I324" s="22">
        <f>SUMIFS(原始数据!$J$3:$J$1002,原始数据!$D$3:$D$1002,"HT20260315")</f>
        <v>5733.86</v>
      </c>
      <c r="J324" s="22">
        <f>SUMIFS(原始数据!$K$3:$K$1002,原始数据!$D$3:$D$1002,"HT20260315")</f>
        <v>742.3270000000001</v>
      </c>
      <c r="K324" s="19" t="str">
        <f>IFERROR(INDEX(原始数据!$L$3:$L$1002,MATCH(1,INDEX((原始数据!$D$3:$D$1002="HT20260315")*(原始数据!$L$3:$L$1002&lt;&gt;""),0),0)),"")</f>
        <v>五部</v>
      </c>
      <c r="L324" s="20" t="str">
        <f>IFERROR(INDEX(原始数据!$M$3:$M$1002,MATCH(1,INDEX((原始数据!$D$3:$D$1002="HT20260315")*(原始数据!$M$3:$M$1002&lt;&gt;""),0),0)),"")</f>
        <v>宋佳</v>
      </c>
      <c r="M324" s="19" t="str">
        <f>IFERROR(INDEX(原始数据!$N$3:$N$1002,MATCH(1,INDEX((原始数据!$D$3:$D$1002="HT20260315")*(原始数据!$N$3:$N$1002&lt;&gt;""),0),0)),"")</f>
        <v>1年以内</v>
      </c>
      <c r="N324" s="19" t="inlineStr"/>
    </row>
    <row r="325">
      <c r="A325" s="13">
        <f>ROW()-2</f>
        <v>323</v>
      </c>
      <c r="B325" s="14" t="str">
        <f>IFERROR(INDEX(原始数据!$B$3:$B$1002,MATCH(1,INDEX((原始数据!$D$3:$D$1002="HT20260316")*(原始数据!$B$3:$B$1002&lt;&gt;""),0),0)),"")</f>
        <v>东北-吉林</v>
      </c>
      <c r="C325" s="14" t="str">
        <f>IFERROR(INDEX(原始数据!$C$3:$C$1002,MATCH(1,INDEX((原始数据!$D$3:$D$1002="HT20260316")*(原始数据!$C$3:$C$1002&lt;&gt;""),0),0)),"")</f>
        <v>国有企业</v>
      </c>
      <c r="D325" s="15" t="inlineStr">
        <is>
          <t>HT20260316</t>
        </is>
      </c>
      <c r="E325" s="16">
        <f>IFERROR(INDEX(原始数据!$E$3:$E$1002,MATCH(1,INDEX((原始数据!$D$3:$D$1002="HT20260316")*(原始数据!$E$3:$E$1002&lt;&gt;""),0),0)),"")</f>
        <v>20260823</v>
      </c>
      <c r="F325" s="17">
        <f>SUMIFS(原始数据!$F$3:$F$1002,原始数据!$D$3:$D$1002,"HT20260316")</f>
        <v>785.246</v>
      </c>
      <c r="G325" s="17">
        <f>SUMIFS(原始数据!$H$3:$H$1002,原始数据!$D$3:$D$1002,"HT20260316")</f>
        <v>650.701</v>
      </c>
      <c r="H325" s="17">
        <f>SUMIFS(原始数据!$I$3:$I$1002,原始数据!$D$3:$D$1002,"HT20260316")</f>
        <v>134.545</v>
      </c>
      <c r="I325" s="17">
        <f>SUMIFS(原始数据!$J$3:$J$1002,原始数据!$D$3:$D$1002,"HT20260316")</f>
        <v>103.852</v>
      </c>
      <c r="J325" s="17">
        <f>SUMIFS(原始数据!$K$3:$K$1002,原始数据!$D$3:$D$1002,"HT20260316")</f>
        <v>30.693</v>
      </c>
      <c r="K325" s="14" t="str">
        <f>IFERROR(INDEX(原始数据!$L$3:$L$1002,MATCH(1,INDEX((原始数据!$D$3:$D$1002="HT20260316")*(原始数据!$L$3:$L$1002&lt;&gt;""),0),0)),"")</f>
        <v>六部</v>
      </c>
      <c r="L325" s="15" t="str">
        <f>IFERROR(INDEX(原始数据!$M$3:$M$1002,MATCH(1,INDEX((原始数据!$D$3:$D$1002="HT20260316")*(原始数据!$M$3:$M$1002&lt;&gt;""),0),0)),"")</f>
        <v>冯倩</v>
      </c>
      <c r="M325" s="14" t="str">
        <f>IFERROR(INDEX(原始数据!$N$3:$N$1002,MATCH(1,INDEX((原始数据!$D$3:$D$1002="HT20260316")*(原始数据!$N$3:$N$1002&lt;&gt;""),0),0)),"")</f>
        <v>2-3年</v>
      </c>
      <c r="N325" s="14" t="inlineStr"/>
    </row>
    <row r="326">
      <c r="A326" s="18">
        <f>ROW()-2</f>
        <v>324</v>
      </c>
      <c r="B326" s="19" t="str">
        <f>IFERROR(INDEX(原始数据!$B$3:$B$1002,MATCH(1,INDEX((原始数据!$D$3:$D$1002="HT20260318")*(原始数据!$B$3:$B$1002&lt;&gt;""),0),0)),"")</f>
        <v>华中-湖北</v>
      </c>
      <c r="C326" s="19" t="str">
        <f>IFERROR(INDEX(原始数据!$C$3:$C$1002,MATCH(1,INDEX((原始数据!$D$3:$D$1002="HT20260318")*(原始数据!$C$3:$C$1002&lt;&gt;""),0),0)),"")</f>
        <v>监察司法机关</v>
      </c>
      <c r="D326" s="20" t="inlineStr">
        <is>
          <t>HT20260318</t>
        </is>
      </c>
      <c r="E326" s="21">
        <f>IFERROR(INDEX(原始数据!$E$3:$E$1002,MATCH(1,INDEX((原始数据!$D$3:$D$1002="HT20260318")*(原始数据!$E$3:$E$1002&lt;&gt;""),0),0)),"")</f>
        <v>20260722</v>
      </c>
      <c r="F326" s="22">
        <f>SUMIFS(原始数据!$F$3:$F$1002,原始数据!$D$3:$D$1002,"HT20260318")</f>
        <v>149.523</v>
      </c>
      <c r="G326" s="22">
        <f>SUMIFS(原始数据!$H$3:$H$1002,原始数据!$D$3:$D$1002,"HT20260318")</f>
        <v>29.563</v>
      </c>
      <c r="H326" s="22">
        <f>SUMIFS(原始数据!$I$3:$I$1002,原始数据!$D$3:$D$1002,"HT20260318")</f>
        <v>119.96</v>
      </c>
      <c r="I326" s="22">
        <f>SUMIFS(原始数据!$J$3:$J$1002,原始数据!$D$3:$D$1002,"HT20260318")</f>
        <v>90.23</v>
      </c>
      <c r="J326" s="22">
        <f>SUMIFS(原始数据!$K$3:$K$1002,原始数据!$D$3:$D$1002,"HT20260318")</f>
        <v>29.73</v>
      </c>
      <c r="K326" s="19" t="str">
        <f>IFERROR(INDEX(原始数据!$L$3:$L$1002,MATCH(1,INDEX((原始数据!$D$3:$D$1002="HT20260318")*(原始数据!$L$3:$L$1002&lt;&gt;""),0),0)),"")</f>
        <v>一部</v>
      </c>
      <c r="L326" s="20" t="str">
        <f>IFERROR(INDEX(原始数据!$M$3:$M$1002,MATCH(1,INDEX((原始数据!$D$3:$D$1002="HT20260318")*(原始数据!$M$3:$M$1002&lt;&gt;""),0),0)),"")</f>
        <v>王芳</v>
      </c>
      <c r="M326" s="19" t="str">
        <f>IFERROR(INDEX(原始数据!$N$3:$N$1002,MATCH(1,INDEX((原始数据!$D$3:$D$1002="HT20260318")*(原始数据!$N$3:$N$1002&lt;&gt;""),0),0)),"")</f>
        <v>2-3年</v>
      </c>
      <c r="N326" s="19" t="inlineStr"/>
    </row>
    <row r="327">
      <c r="A327" s="13">
        <f>ROW()-2</f>
        <v>325</v>
      </c>
      <c r="B327" s="14" t="str">
        <f>IFERROR(INDEX(原始数据!$B$3:$B$1002,MATCH(1,INDEX((原始数据!$D$3:$D$1002="HT20260319")*(原始数据!$B$3:$B$1002&lt;&gt;""),0),0)),"")</f>
        <v>西北-陕西</v>
      </c>
      <c r="C327" s="14" t="str">
        <f>IFERROR(INDEX(原始数据!$C$3:$C$1002,MATCH(1,INDEX((原始数据!$D$3:$D$1002="HT20260319")*(原始数据!$C$3:$C$1002&lt;&gt;""),0),0)),"")</f>
        <v>党委机关</v>
      </c>
      <c r="D327" s="15" t="inlineStr">
        <is>
          <t>HT20260319</t>
        </is>
      </c>
      <c r="E327" s="16">
        <f>IFERROR(INDEX(原始数据!$E$3:$E$1002,MATCH(1,INDEX((原始数据!$D$3:$D$1002="HT20260319")*(原始数据!$E$3:$E$1002&lt;&gt;""),0),0)),"")</f>
        <v>20260816</v>
      </c>
      <c r="F327" s="17">
        <f>SUMIFS(原始数据!$F$3:$F$1002,原始数据!$D$3:$D$1002,"HT20260319")</f>
        <v>2096.672</v>
      </c>
      <c r="G327" s="17">
        <f>SUMIFS(原始数据!$H$3:$H$1002,原始数据!$D$3:$D$1002,"HT20260319")</f>
        <v>406.773</v>
      </c>
      <c r="H327" s="17">
        <f>SUMIFS(原始数据!$I$3:$I$1002,原始数据!$D$3:$D$1002,"HT20260319")</f>
        <v>1689.899</v>
      </c>
      <c r="I327" s="17">
        <f>SUMIFS(原始数据!$J$3:$J$1002,原始数据!$D$3:$D$1002,"HT20260319")</f>
        <v>680.684</v>
      </c>
      <c r="J327" s="17">
        <f>SUMIFS(原始数据!$K$3:$K$1002,原始数据!$D$3:$D$1002,"HT20260319")</f>
        <v>1009.215</v>
      </c>
      <c r="K327" s="14" t="str">
        <f>IFERROR(INDEX(原始数据!$L$3:$L$1002,MATCH(1,INDEX((原始数据!$D$3:$D$1002="HT20260319")*(原始数据!$L$3:$L$1002&lt;&gt;""),0),0)),"")</f>
        <v>三部</v>
      </c>
      <c r="L327" s="15" t="str">
        <f>IFERROR(INDEX(原始数据!$M$3:$M$1002,MATCH(1,INDEX((原始数据!$D$3:$D$1002="HT20260319")*(原始数据!$M$3:$M$1002&lt;&gt;""),0),0)),"")</f>
        <v>徐涛</v>
      </c>
      <c r="M327" s="14" t="str">
        <f>IFERROR(INDEX(原始数据!$N$3:$N$1002,MATCH(1,INDEX((原始数据!$D$3:$D$1002="HT20260319")*(原始数据!$N$3:$N$1002&lt;&gt;""),0),0)),"")</f>
        <v>1年以内</v>
      </c>
      <c r="N327" s="14" t="inlineStr"/>
    </row>
    <row r="328">
      <c r="A328" s="18">
        <f>ROW()-2</f>
        <v>326</v>
      </c>
      <c r="B328" s="19" t="str">
        <f>IFERROR(INDEX(原始数据!$B$3:$B$1002,MATCH(1,INDEX((原始数据!$D$3:$D$1002="HT20260320")*(原始数据!$B$3:$B$1002&lt;&gt;""),0),0)),"")</f>
        <v>华南-香港</v>
      </c>
      <c r="C328" s="19" t="str">
        <f>IFERROR(INDEX(原始数据!$C$3:$C$1002,MATCH(1,INDEX((原始数据!$D$3:$D$1002="HT20260320")*(原始数据!$C$3:$C$1002&lt;&gt;""),0),0)),"")</f>
        <v>事业单位</v>
      </c>
      <c r="D328" s="20" t="inlineStr">
        <is>
          <t>HT20260320</t>
        </is>
      </c>
      <c r="E328" s="21">
        <f>IFERROR(INDEX(原始数据!$E$3:$E$1002,MATCH(1,INDEX((原始数据!$D$3:$D$1002="HT20260320")*(原始数据!$E$3:$E$1002&lt;&gt;""),0),0)),"")</f>
        <v>20260124</v>
      </c>
      <c r="F328" s="22">
        <f>SUMIFS(原始数据!$F$3:$F$1002,原始数据!$D$3:$D$1002,"HT20260320")</f>
        <v>61.332</v>
      </c>
      <c r="G328" s="22">
        <f>SUMIFS(原始数据!$H$3:$H$1002,原始数据!$D$3:$D$1002,"HT20260320")</f>
        <v>17.413</v>
      </c>
      <c r="H328" s="22">
        <f>SUMIFS(原始数据!$I$3:$I$1002,原始数据!$D$3:$D$1002,"HT20260320")</f>
        <v>43.919</v>
      </c>
      <c r="I328" s="22">
        <f>SUMIFS(原始数据!$J$3:$J$1002,原始数据!$D$3:$D$1002,"HT20260320")</f>
        <v>9.928</v>
      </c>
      <c r="J328" s="22">
        <f>SUMIFS(原始数据!$K$3:$K$1002,原始数据!$D$3:$D$1002,"HT20260320")</f>
        <v>33.991</v>
      </c>
      <c r="K328" s="19" t="str">
        <f>IFERROR(INDEX(原始数据!$L$3:$L$1002,MATCH(1,INDEX((原始数据!$D$3:$D$1002="HT20260320")*(原始数据!$L$3:$L$1002&lt;&gt;""),0),0)),"")</f>
        <v>九部</v>
      </c>
      <c r="L328" s="20" t="str">
        <f>IFERROR(INDEX(原始数据!$M$3:$M$1002,MATCH(1,INDEX((原始数据!$D$3:$D$1002="HT20260320")*(原始数据!$M$3:$M$1002&lt;&gt;""),0),0)),"")</f>
        <v>丁磊</v>
      </c>
      <c r="M328" s="19" t="str">
        <f>IFERROR(INDEX(原始数据!$N$3:$N$1002,MATCH(1,INDEX((原始数据!$D$3:$D$1002="HT20260320")*(原始数据!$N$3:$N$1002&lt;&gt;""),0),0)),"")</f>
        <v>1年以内</v>
      </c>
      <c r="N328" s="19" t="inlineStr"/>
    </row>
    <row r="329">
      <c r="A329" s="13">
        <f>ROW()-2</f>
        <v>327</v>
      </c>
      <c r="B329" s="14" t="str">
        <f>IFERROR(INDEX(原始数据!$B$3:$B$1002,MATCH(1,INDEX((原始数据!$D$3:$D$1002="HT20260321")*(原始数据!$B$3:$B$1002&lt;&gt;""),0),0)),"")</f>
        <v>华北-北京</v>
      </c>
      <c r="C329" s="14" t="str">
        <f>IFERROR(INDEX(原始数据!$C$3:$C$1002,MATCH(1,INDEX((原始数据!$D$3:$D$1002="HT20260321")*(原始数据!$C$3:$C$1002&lt;&gt;""),0),0)),"")</f>
        <v>事业单位</v>
      </c>
      <c r="D329" s="15" t="inlineStr">
        <is>
          <t>HT20260321</t>
        </is>
      </c>
      <c r="E329" s="16">
        <f>IFERROR(INDEX(原始数据!$E$3:$E$1002,MATCH(1,INDEX((原始数据!$D$3:$D$1002="HT20260321")*(原始数据!$E$3:$E$1002&lt;&gt;""),0),0)),"")</f>
        <v>20260309</v>
      </c>
      <c r="F329" s="17">
        <f>SUMIFS(原始数据!$F$3:$F$1002,原始数据!$D$3:$D$1002,"HT20260321")</f>
        <v>534.304</v>
      </c>
      <c r="G329" s="17">
        <f>SUMIFS(原始数据!$H$3:$H$1002,原始数据!$D$3:$D$1002,"HT20260321")</f>
        <v>483.474</v>
      </c>
      <c r="H329" s="17">
        <f>SUMIFS(原始数据!$I$3:$I$1002,原始数据!$D$3:$D$1002,"HT20260321")</f>
        <v>50.83</v>
      </c>
      <c r="I329" s="17">
        <f>SUMIFS(原始数据!$J$3:$J$1002,原始数据!$D$3:$D$1002,"HT20260321")</f>
        <v>39.913</v>
      </c>
      <c r="J329" s="17">
        <f>SUMIFS(原始数据!$K$3:$K$1002,原始数据!$D$3:$D$1002,"HT20260321")</f>
        <v>10.917</v>
      </c>
      <c r="K329" s="14" t="str">
        <f>IFERROR(INDEX(原始数据!$L$3:$L$1002,MATCH(1,INDEX((原始数据!$D$3:$D$1002="HT20260321")*(原始数据!$L$3:$L$1002&lt;&gt;""),0),0)),"")</f>
        <v>一部</v>
      </c>
      <c r="L329" s="15" t="str">
        <f>IFERROR(INDEX(原始数据!$M$3:$M$1002,MATCH(1,INDEX((原始数据!$D$3:$D$1002="HT20260321")*(原始数据!$M$3:$M$1002&lt;&gt;""),0),0)),"")</f>
        <v>陈静</v>
      </c>
      <c r="M329" s="14" t="str">
        <f>IFERROR(INDEX(原始数据!$N$3:$N$1002,MATCH(1,INDEX((原始数据!$D$3:$D$1002="HT20260321")*(原始数据!$N$3:$N$1002&lt;&gt;""),0),0)),"")</f>
        <v>1年以内</v>
      </c>
      <c r="N329" s="14" t="inlineStr"/>
    </row>
    <row r="330">
      <c r="A330" s="18">
        <f>ROW()-2</f>
        <v>328</v>
      </c>
      <c r="B330" s="19" t="str">
        <f>IFERROR(INDEX(原始数据!$B$3:$B$1002,MATCH(1,INDEX((原始数据!$D$3:$D$1002="HT20260322")*(原始数据!$B$3:$B$1002&lt;&gt;""),0),0)),"")</f>
        <v>华东-上海</v>
      </c>
      <c r="C330" s="19" t="str">
        <f>IFERROR(INDEX(原始数据!$C$3:$C$1002,MATCH(1,INDEX((原始数据!$D$3:$D$1002="HT20260322")*(原始数据!$C$3:$C$1002&lt;&gt;""),0),0)),"")</f>
        <v>国有企业</v>
      </c>
      <c r="D330" s="20" t="inlineStr">
        <is>
          <t>HT20260322</t>
        </is>
      </c>
      <c r="E330" s="21">
        <f>IFERROR(INDEX(原始数据!$E$3:$E$1002,MATCH(1,INDEX((原始数据!$D$3:$D$1002="HT20260322")*(原始数据!$E$3:$E$1002&lt;&gt;""),0),0)),"")</f>
        <v>20260614</v>
      </c>
      <c r="F330" s="22">
        <f>SUMIFS(原始数据!$F$3:$F$1002,原始数据!$D$3:$D$1002,"HT20260322")</f>
        <v>1242.733</v>
      </c>
      <c r="G330" s="22">
        <f>SUMIFS(原始数据!$H$3:$H$1002,原始数据!$D$3:$D$1002,"HT20260322")</f>
        <v>341.597</v>
      </c>
      <c r="H330" s="22">
        <f>SUMIFS(原始数据!$I$3:$I$1002,原始数据!$D$3:$D$1002,"HT20260322")</f>
        <v>901.136</v>
      </c>
      <c r="I330" s="22">
        <f>SUMIFS(原始数据!$J$3:$J$1002,原始数据!$D$3:$D$1002,"HT20260322")</f>
        <v>780.9909999999999</v>
      </c>
      <c r="J330" s="22">
        <f>SUMIFS(原始数据!$K$3:$K$1002,原始数据!$D$3:$D$1002,"HT20260322")</f>
        <v>120.145</v>
      </c>
      <c r="K330" s="19" t="str">
        <f>IFERROR(INDEX(原始数据!$L$3:$L$1002,MATCH(1,INDEX((原始数据!$D$3:$D$1002="HT20260322")*(原始数据!$L$3:$L$1002&lt;&gt;""),0),0)),"")</f>
        <v>七部</v>
      </c>
      <c r="L330" s="20" t="str">
        <f>IFERROR(INDEX(原始数据!$M$3:$M$1002,MATCH(1,INDEX((原始数据!$D$3:$D$1002="HT20260322")*(原始数据!$M$3:$M$1002&lt;&gt;""),0),0)),"")</f>
        <v>许涛</v>
      </c>
      <c r="M330" s="19" t="str">
        <f>IFERROR(INDEX(原始数据!$N$3:$N$1002,MATCH(1,INDEX((原始数据!$D$3:$D$1002="HT20260322")*(原始数据!$N$3:$N$1002&lt;&gt;""),0),0)),"")</f>
        <v>1年以内</v>
      </c>
      <c r="N330" s="19" t="inlineStr"/>
    </row>
    <row r="331">
      <c r="A331" s="13">
        <f>ROW()-2</f>
        <v>329</v>
      </c>
      <c r="B331" s="14" t="str">
        <f>IFERROR(INDEX(原始数据!$B$3:$B$1002,MATCH(1,INDEX((原始数据!$D$3:$D$1002="HT20260323")*(原始数据!$B$3:$B$1002&lt;&gt;""),0),0)),"")</f>
        <v>西北-青海</v>
      </c>
      <c r="C331" s="14" t="str">
        <f>IFERROR(INDEX(原始数据!$C$3:$C$1002,MATCH(1,INDEX((原始数据!$D$3:$D$1002="HT20260323")*(原始数据!$C$3:$C$1002&lt;&gt;""),0),0)),"")</f>
        <v>基层自治组织</v>
      </c>
      <c r="D331" s="15" t="inlineStr">
        <is>
          <t>HT20260323</t>
        </is>
      </c>
      <c r="E331" s="16">
        <f>IFERROR(INDEX(原始数据!$E$3:$E$1002,MATCH(1,INDEX((原始数据!$D$3:$D$1002="HT20260323")*(原始数据!$E$3:$E$1002&lt;&gt;""),0),0)),"")</f>
        <v>20260716</v>
      </c>
      <c r="F331" s="17">
        <f>SUMIFS(原始数据!$F$3:$F$1002,原始数据!$D$3:$D$1002,"HT20260323")</f>
        <v>1262.668</v>
      </c>
      <c r="G331" s="17">
        <f>SUMIFS(原始数据!$H$3:$H$1002,原始数据!$D$3:$D$1002,"HT20260323")</f>
        <v>897.265</v>
      </c>
      <c r="H331" s="17">
        <f>SUMIFS(原始数据!$I$3:$I$1002,原始数据!$D$3:$D$1002,"HT20260323")</f>
        <v>365.403</v>
      </c>
      <c r="I331" s="17">
        <f>SUMIFS(原始数据!$J$3:$J$1002,原始数据!$D$3:$D$1002,"HT20260323")</f>
        <v>233.78300000000002</v>
      </c>
      <c r="J331" s="17">
        <f>SUMIFS(原始数据!$K$3:$K$1002,原始数据!$D$3:$D$1002,"HT20260323")</f>
        <v>131.62</v>
      </c>
      <c r="K331" s="14" t="str">
        <f>IFERROR(INDEX(原始数据!$L$3:$L$1002,MATCH(1,INDEX((原始数据!$D$3:$D$1002="HT20260323")*(原始数据!$L$3:$L$1002&lt;&gt;""),0),0)),"")</f>
        <v>七部</v>
      </c>
      <c r="L331" s="15" t="str">
        <f>IFERROR(INDEX(原始数据!$M$3:$M$1002,MATCH(1,INDEX((原始数据!$D$3:$D$1002="HT20260323")*(原始数据!$M$3:$M$1002&lt;&gt;""),0),0)),"")</f>
        <v>傅蓉</v>
      </c>
      <c r="M331" s="14" t="str">
        <f>IFERROR(INDEX(原始数据!$N$3:$N$1002,MATCH(1,INDEX((原始数据!$D$3:$D$1002="HT20260323")*(原始数据!$N$3:$N$1002&lt;&gt;""),0),0)),"")</f>
        <v>1-2年</v>
      </c>
      <c r="N331" s="14" t="inlineStr"/>
    </row>
    <row r="332">
      <c r="A332" s="18">
        <f>ROW()-2</f>
        <v>330</v>
      </c>
      <c r="B332" s="19" t="str">
        <f>IFERROR(INDEX(原始数据!$B$3:$B$1002,MATCH(1,INDEX((原始数据!$D$3:$D$1002="HT20260324")*(原始数据!$B$3:$B$1002&lt;&gt;""),0),0)),"")</f>
        <v>华北-山西</v>
      </c>
      <c r="C332" s="19" t="str">
        <f>IFERROR(INDEX(原始数据!$C$3:$C$1002,MATCH(1,INDEX((原始数据!$D$3:$D$1002="HT20260324")*(原始数据!$C$3:$C$1002&lt;&gt;""),0),0)),"")</f>
        <v>国有企业</v>
      </c>
      <c r="D332" s="20" t="inlineStr">
        <is>
          <t>HT20260324</t>
        </is>
      </c>
      <c r="E332" s="21">
        <f>IFERROR(INDEX(原始数据!$E$3:$E$1002,MATCH(1,INDEX((原始数据!$D$3:$D$1002="HT20260324")*(原始数据!$E$3:$E$1002&lt;&gt;""),0),0)),"")</f>
        <v>20260122</v>
      </c>
      <c r="F332" s="22">
        <f>SUMIFS(原始数据!$F$3:$F$1002,原始数据!$D$3:$D$1002,"HT20260324")</f>
        <v>7333.201</v>
      </c>
      <c r="G332" s="22">
        <f>SUMIFS(原始数据!$H$3:$H$1002,原始数据!$D$3:$D$1002,"HT20260324")</f>
        <v>3930.611</v>
      </c>
      <c r="H332" s="22">
        <f>SUMIFS(原始数据!$I$3:$I$1002,原始数据!$D$3:$D$1002,"HT20260324")</f>
        <v>3402.59</v>
      </c>
      <c r="I332" s="22">
        <f>SUMIFS(原始数据!$J$3:$J$1002,原始数据!$D$3:$D$1002,"HT20260324")</f>
        <v>2667.2210000000005</v>
      </c>
      <c r="J332" s="22">
        <f>SUMIFS(原始数据!$K$3:$K$1002,原始数据!$D$3:$D$1002,"HT20260324")</f>
        <v>735.3690000000001</v>
      </c>
      <c r="K332" s="19" t="str">
        <f>IFERROR(INDEX(原始数据!$L$3:$L$1002,MATCH(1,INDEX((原始数据!$D$3:$D$1002="HT20260324")*(原始数据!$L$3:$L$1002&lt;&gt;""),0),0)),"")</f>
        <v>十部</v>
      </c>
      <c r="L332" s="20" t="str">
        <f>IFERROR(INDEX(原始数据!$M$3:$M$1002,MATCH(1,INDEX((原始数据!$D$3:$D$1002="HT20260324")*(原始数据!$M$3:$M$1002&lt;&gt;""),0),0)),"")</f>
        <v>雷声</v>
      </c>
      <c r="M332" s="19" t="str">
        <f>IFERROR(INDEX(原始数据!$N$3:$N$1002,MATCH(1,INDEX((原始数据!$D$3:$D$1002="HT20260324")*(原始数据!$N$3:$N$1002&lt;&gt;""),0),0)),"")</f>
        <v>2-3年</v>
      </c>
      <c r="N332" s="19" t="inlineStr"/>
    </row>
    <row r="333">
      <c r="A333" s="13">
        <f>ROW()-2</f>
        <v>331</v>
      </c>
      <c r="B333" s="14" t="str">
        <f>IFERROR(INDEX(原始数据!$B$3:$B$1002,MATCH(1,INDEX((原始数据!$D$3:$D$1002="HT20260325")*(原始数据!$B$3:$B$1002&lt;&gt;""),0),0)),"")</f>
        <v>华东-江西</v>
      </c>
      <c r="C333" s="14" t="str">
        <f>IFERROR(INDEX(原始数据!$C$3:$C$1002,MATCH(1,INDEX((原始数据!$D$3:$D$1002="HT20260325")*(原始数据!$C$3:$C$1002&lt;&gt;""),0),0)),"")</f>
        <v>事业单位</v>
      </c>
      <c r="D333" s="15" t="inlineStr">
        <is>
          <t>HT20260325</t>
        </is>
      </c>
      <c r="E333" s="16">
        <f>IFERROR(INDEX(原始数据!$E$3:$E$1002,MATCH(1,INDEX((原始数据!$D$3:$D$1002="HT20260325")*(原始数据!$E$3:$E$1002&lt;&gt;""),0),0)),"")</f>
        <v>20260725</v>
      </c>
      <c r="F333" s="17">
        <f>SUMIFS(原始数据!$F$3:$F$1002,原始数据!$D$3:$D$1002,"HT20260325")</f>
        <v>144.031</v>
      </c>
      <c r="G333" s="17">
        <f>SUMIFS(原始数据!$H$3:$H$1002,原始数据!$D$3:$D$1002,"HT20260325")</f>
        <v>95.598</v>
      </c>
      <c r="H333" s="17">
        <f>SUMIFS(原始数据!$I$3:$I$1002,原始数据!$D$3:$D$1002,"HT20260325")</f>
        <v>48.433</v>
      </c>
      <c r="I333" s="17">
        <f>SUMIFS(原始数据!$J$3:$J$1002,原始数据!$D$3:$D$1002,"HT20260325")</f>
        <v>41.483</v>
      </c>
      <c r="J333" s="17">
        <f>SUMIFS(原始数据!$K$3:$K$1002,原始数据!$D$3:$D$1002,"HT20260325")</f>
        <v>6.95</v>
      </c>
      <c r="K333" s="14" t="str">
        <f>IFERROR(INDEX(原始数据!$L$3:$L$1002,MATCH(1,INDEX((原始数据!$D$3:$D$1002="HT20260325")*(原始数据!$L$3:$L$1002&lt;&gt;""),0),0)),"")</f>
        <v>九部</v>
      </c>
      <c r="L333" s="15" t="str">
        <f>IFERROR(INDEX(原始数据!$M$3:$M$1002,MATCH(1,INDEX((原始数据!$D$3:$D$1002="HT20260325")*(原始数据!$M$3:$M$1002&lt;&gt;""),0),0)),"")</f>
        <v>蔡明</v>
      </c>
      <c r="M333" s="14" t="str">
        <f>IFERROR(INDEX(原始数据!$N$3:$N$1002,MATCH(1,INDEX((原始数据!$D$3:$D$1002="HT20260325")*(原始数据!$N$3:$N$1002&lt;&gt;""),0),0)),"")</f>
        <v>1-2年</v>
      </c>
      <c r="N333" s="14" t="inlineStr"/>
    </row>
    <row r="334">
      <c r="A334" s="18">
        <f>ROW()-2</f>
        <v>332</v>
      </c>
      <c r="B334" s="19" t="str">
        <f>IFERROR(INDEX(原始数据!$B$3:$B$1002,MATCH(1,INDEX((原始数据!$D$3:$D$1002="HT20260326")*(原始数据!$B$3:$B$1002&lt;&gt;""),0),0)),"")</f>
        <v>华南-广东</v>
      </c>
      <c r="C334" s="19" t="str">
        <f>IFERROR(INDEX(原始数据!$C$3:$C$1002,MATCH(1,INDEX((原始数据!$D$3:$D$1002="HT20260326")*(原始数据!$C$3:$C$1002&lt;&gt;""),0),0)),"")</f>
        <v>基层自治组织</v>
      </c>
      <c r="D334" s="20" t="inlineStr">
        <is>
          <t>HT20260326</t>
        </is>
      </c>
      <c r="E334" s="21">
        <f>IFERROR(INDEX(原始数据!$E$3:$E$1002,MATCH(1,INDEX((原始数据!$D$3:$D$1002="HT20260326")*(原始数据!$E$3:$E$1002&lt;&gt;""),0),0)),"")</f>
        <v>20260801</v>
      </c>
      <c r="F334" s="22">
        <f>SUMIFS(原始数据!$F$3:$F$1002,原始数据!$D$3:$D$1002,"HT20260326")</f>
        <v>1025.228</v>
      </c>
      <c r="G334" s="22">
        <f>SUMIFS(原始数据!$H$3:$H$1002,原始数据!$D$3:$D$1002,"HT20260326")</f>
        <v>728.665</v>
      </c>
      <c r="H334" s="22">
        <f>SUMIFS(原始数据!$I$3:$I$1002,原始数据!$D$3:$D$1002,"HT20260326")</f>
        <v>296.563</v>
      </c>
      <c r="I334" s="22">
        <f>SUMIFS(原始数据!$J$3:$J$1002,原始数据!$D$3:$D$1002,"HT20260326")</f>
        <v>160.185</v>
      </c>
      <c r="J334" s="22">
        <f>SUMIFS(原始数据!$K$3:$K$1002,原始数据!$D$3:$D$1002,"HT20260326")</f>
        <v>136.378</v>
      </c>
      <c r="K334" s="19" t="str">
        <f>IFERROR(INDEX(原始数据!$L$3:$L$1002,MATCH(1,INDEX((原始数据!$D$3:$D$1002="HT20260326")*(原始数据!$L$3:$L$1002&lt;&gt;""),0),0)),"")</f>
        <v>六部</v>
      </c>
      <c r="L334" s="20" t="str">
        <f>IFERROR(INDEX(原始数据!$M$3:$M$1002,MATCH(1,INDEX((原始数据!$D$3:$D$1002="HT20260326")*(原始数据!$M$3:$M$1002&lt;&gt;""),0),0)),"")</f>
        <v>程琳</v>
      </c>
      <c r="M334" s="19" t="str">
        <f>IFERROR(INDEX(原始数据!$N$3:$N$1002,MATCH(1,INDEX((原始数据!$D$3:$D$1002="HT20260326")*(原始数据!$N$3:$N$1002&lt;&gt;""),0),0)),"")</f>
        <v>1年以内</v>
      </c>
      <c r="N334" s="19" t="inlineStr"/>
    </row>
    <row r="335">
      <c r="A335" s="13">
        <f>ROW()-2</f>
        <v>333</v>
      </c>
      <c r="B335" s="14" t="str">
        <f>IFERROR(INDEX(原始数据!$B$3:$B$1002,MATCH(1,INDEX((原始数据!$D$3:$D$1002="HT20260327")*(原始数据!$B$3:$B$1002&lt;&gt;""),0),0)),"")</f>
        <v>华东-浙江</v>
      </c>
      <c r="C335" s="14" t="str">
        <f>IFERROR(INDEX(原始数据!$C$3:$C$1002,MATCH(1,INDEX((原始数据!$D$3:$D$1002="HT20260327")*(原始数据!$C$3:$C$1002&lt;&gt;""),0),0)),"")</f>
        <v>政府机关</v>
      </c>
      <c r="D335" s="15" t="inlineStr">
        <is>
          <t>HT20260327</t>
        </is>
      </c>
      <c r="E335" s="16">
        <f>IFERROR(INDEX(原始数据!$E$3:$E$1002,MATCH(1,INDEX((原始数据!$D$3:$D$1002="HT20260327")*(原始数据!$E$3:$E$1002&lt;&gt;""),0),0)),"")</f>
        <v>20260403</v>
      </c>
      <c r="F335" s="17">
        <f>SUMIFS(原始数据!$F$3:$F$1002,原始数据!$D$3:$D$1002,"HT20260327")</f>
        <v>80.222</v>
      </c>
      <c r="G335" s="17">
        <f>SUMIFS(原始数据!$H$3:$H$1002,原始数据!$D$3:$D$1002,"HT20260327")</f>
        <v>44.922</v>
      </c>
      <c r="H335" s="17">
        <f>SUMIFS(原始数据!$I$3:$I$1002,原始数据!$D$3:$D$1002,"HT20260327")</f>
        <v>35.3</v>
      </c>
      <c r="I335" s="17">
        <f>SUMIFS(原始数据!$J$3:$J$1002,原始数据!$D$3:$D$1002,"HT20260327")</f>
        <v>26.41</v>
      </c>
      <c r="J335" s="17">
        <f>SUMIFS(原始数据!$K$3:$K$1002,原始数据!$D$3:$D$1002,"HT20260327")</f>
        <v>8.89</v>
      </c>
      <c r="K335" s="14" t="str">
        <f>IFERROR(INDEX(原始数据!$L$3:$L$1002,MATCH(1,INDEX((原始数据!$D$3:$D$1002="HT20260327")*(原始数据!$L$3:$L$1002&lt;&gt;""),0),0)),"")</f>
        <v>十部</v>
      </c>
      <c r="L335" s="15" t="str">
        <f>IFERROR(INDEX(原始数据!$M$3:$M$1002,MATCH(1,INDEX((原始数据!$D$3:$D$1002="HT20260327")*(原始数据!$M$3:$M$1002&lt;&gt;""),0),0)),"")</f>
        <v>段勇</v>
      </c>
      <c r="M335" s="14" t="str">
        <f>IFERROR(INDEX(原始数据!$N$3:$N$1002,MATCH(1,INDEX((原始数据!$D$3:$D$1002="HT20260327")*(原始数据!$N$3:$N$1002&lt;&gt;""),0),0)),"")</f>
        <v>1年以内</v>
      </c>
      <c r="N335" s="14" t="inlineStr"/>
    </row>
    <row r="336">
      <c r="A336" s="18">
        <f>ROW()-2</f>
        <v>334</v>
      </c>
      <c r="B336" s="19" t="str">
        <f>IFERROR(INDEX(原始数据!$B$3:$B$1002,MATCH(1,INDEX((原始数据!$D$3:$D$1002="HT20260329")*(原始数据!$B$3:$B$1002&lt;&gt;""),0),0)),"")</f>
        <v>华南-广东</v>
      </c>
      <c r="C336" s="19" t="str">
        <f>IFERROR(INDEX(原始数据!$C$3:$C$1002,MATCH(1,INDEX((原始数据!$D$3:$D$1002="HT20260329")*(原始数据!$C$3:$C$1002&lt;&gt;""),0),0)),"")</f>
        <v>人大政协</v>
      </c>
      <c r="D336" s="20" t="inlineStr">
        <is>
          <t>HT20260329</t>
        </is>
      </c>
      <c r="E336" s="21">
        <f>IFERROR(INDEX(原始数据!$E$3:$E$1002,MATCH(1,INDEX((原始数据!$D$3:$D$1002="HT20260329")*(原始数据!$E$3:$E$1002&lt;&gt;""),0),0)),"")</f>
        <v>20260404</v>
      </c>
      <c r="F336" s="22">
        <f>SUMIFS(原始数据!$F$3:$F$1002,原始数据!$D$3:$D$1002,"HT20260329")</f>
        <v>1719.663</v>
      </c>
      <c r="G336" s="22">
        <f>SUMIFS(原始数据!$H$3:$H$1002,原始数据!$D$3:$D$1002,"HT20260329")</f>
        <v>292.23199999999997</v>
      </c>
      <c r="H336" s="22">
        <f>SUMIFS(原始数据!$I$3:$I$1002,原始数据!$D$3:$D$1002,"HT20260329")</f>
        <v>1427.431</v>
      </c>
      <c r="I336" s="22">
        <f>SUMIFS(原始数据!$J$3:$J$1002,原始数据!$D$3:$D$1002,"HT20260329")</f>
        <v>723.902</v>
      </c>
      <c r="J336" s="22">
        <f>SUMIFS(原始数据!$K$3:$K$1002,原始数据!$D$3:$D$1002,"HT20260329")</f>
        <v>703.529</v>
      </c>
      <c r="K336" s="19" t="str">
        <f>IFERROR(INDEX(原始数据!$L$3:$L$1002,MATCH(1,INDEX((原始数据!$D$3:$D$1002="HT20260329")*(原始数据!$L$3:$L$1002&lt;&gt;""),0),0)),"")</f>
        <v>九部</v>
      </c>
      <c r="L336" s="20" t="str">
        <f>IFERROR(INDEX(原始数据!$M$3:$M$1002,MATCH(1,INDEX((原始数据!$D$3:$D$1002="HT20260329")*(原始数据!$M$3:$M$1002&lt;&gt;""),0),0)),"")</f>
        <v>贾静</v>
      </c>
      <c r="M336" s="19" t="str">
        <f>IFERROR(INDEX(原始数据!$N$3:$N$1002,MATCH(1,INDEX((原始数据!$D$3:$D$1002="HT20260329")*(原始数据!$N$3:$N$1002&lt;&gt;""),0),0)),"")</f>
        <v>1年以内</v>
      </c>
      <c r="N336" s="19" t="inlineStr"/>
    </row>
    <row r="337">
      <c r="A337" s="13">
        <f>ROW()-2</f>
        <v>335</v>
      </c>
      <c r="B337" s="14" t="str">
        <f>IFERROR(INDEX(原始数据!$B$3:$B$1002,MATCH(1,INDEX((原始数据!$D$3:$D$1002="HT20260330")*(原始数据!$B$3:$B$1002&lt;&gt;""),0),0)),"")</f>
        <v>华东-福建</v>
      </c>
      <c r="C337" s="14" t="str">
        <f>IFERROR(INDEX(原始数据!$C$3:$C$1002,MATCH(1,INDEX((原始数据!$D$3:$D$1002="HT20260330")*(原始数据!$C$3:$C$1002&lt;&gt;""),0),0)),"")</f>
        <v>党委机关</v>
      </c>
      <c r="D337" s="15" t="inlineStr">
        <is>
          <t>HT20260330</t>
        </is>
      </c>
      <c r="E337" s="16">
        <f>IFERROR(INDEX(原始数据!$E$3:$E$1002,MATCH(1,INDEX((原始数据!$D$3:$D$1002="HT20260330")*(原始数据!$E$3:$E$1002&lt;&gt;""),0),0)),"")</f>
        <v>20260402</v>
      </c>
      <c r="F337" s="17">
        <f>SUMIFS(原始数据!$F$3:$F$1002,原始数据!$D$3:$D$1002,"HT20260330")</f>
        <v>1033.257</v>
      </c>
      <c r="G337" s="17">
        <f>SUMIFS(原始数据!$H$3:$H$1002,原始数据!$D$3:$D$1002,"HT20260330")</f>
        <v>357.41499999999996</v>
      </c>
      <c r="H337" s="17">
        <f>SUMIFS(原始数据!$I$3:$I$1002,原始数据!$D$3:$D$1002,"HT20260330")</f>
        <v>675.8420000000001</v>
      </c>
      <c r="I337" s="17">
        <f>SUMIFS(原始数据!$J$3:$J$1002,原始数据!$D$3:$D$1002,"HT20260330")</f>
        <v>164.151</v>
      </c>
      <c r="J337" s="17">
        <f>SUMIFS(原始数据!$K$3:$K$1002,原始数据!$D$3:$D$1002,"HT20260330")</f>
        <v>511.69100000000003</v>
      </c>
      <c r="K337" s="14" t="str">
        <f>IFERROR(INDEX(原始数据!$L$3:$L$1002,MATCH(1,INDEX((原始数据!$D$3:$D$1002="HT20260330")*(原始数据!$L$3:$L$1002&lt;&gt;""),0),0)),"")</f>
        <v>五部</v>
      </c>
      <c r="L337" s="15" t="str">
        <f>IFERROR(INDEX(原始数据!$M$3:$M$1002,MATCH(1,INDEX((原始数据!$D$3:$D$1002="HT20260330")*(原始数据!$M$3:$M$1002&lt;&gt;""),0),0)),"")</f>
        <v>郑浩</v>
      </c>
      <c r="M337" s="14" t="str">
        <f>IFERROR(INDEX(原始数据!$N$3:$N$1002,MATCH(1,INDEX((原始数据!$D$3:$D$1002="HT20260330")*(原始数据!$N$3:$N$1002&lt;&gt;""),0),0)),"")</f>
        <v>1年以内</v>
      </c>
      <c r="N337" s="14" t="inlineStr"/>
    </row>
    <row r="338">
      <c r="A338" s="18">
        <f>ROW()-2</f>
        <v>336</v>
      </c>
      <c r="B338" s="19" t="str">
        <f>IFERROR(INDEX(原始数据!$B$3:$B$1002,MATCH(1,INDEX((原始数据!$D$3:$D$1002="HT20260401")*(原始数据!$B$3:$B$1002&lt;&gt;""),0),0)),"")</f>
        <v>西南-重庆</v>
      </c>
      <c r="C338" s="19" t="str">
        <f>IFERROR(INDEX(原始数据!$C$3:$C$1002,MATCH(1,INDEX((原始数据!$D$3:$D$1002="HT20260401")*(原始数据!$C$3:$C$1002&lt;&gt;""),0),0)),"")</f>
        <v>人大政协</v>
      </c>
      <c r="D338" s="20" t="inlineStr">
        <is>
          <t>HT20260401</t>
        </is>
      </c>
      <c r="E338" s="21">
        <f>IFERROR(INDEX(原始数据!$E$3:$E$1002,MATCH(1,INDEX((原始数据!$D$3:$D$1002="HT20260401")*(原始数据!$E$3:$E$1002&lt;&gt;""),0),0)),"")</f>
        <v>20260820</v>
      </c>
      <c r="F338" s="22">
        <f>SUMIFS(原始数据!$F$3:$F$1002,原始数据!$D$3:$D$1002,"HT20260401")</f>
        <v>2227.184</v>
      </c>
      <c r="G338" s="22">
        <f>SUMIFS(原始数据!$H$3:$H$1002,原始数据!$D$3:$D$1002,"HT20260401")</f>
        <v>1358.813</v>
      </c>
      <c r="H338" s="22">
        <f>SUMIFS(原始数据!$I$3:$I$1002,原始数据!$D$3:$D$1002,"HT20260401")</f>
        <v>868.371</v>
      </c>
      <c r="I338" s="22">
        <f>SUMIFS(原始数据!$J$3:$J$1002,原始数据!$D$3:$D$1002,"HT20260401")</f>
        <v>359.103</v>
      </c>
      <c r="J338" s="22">
        <f>SUMIFS(原始数据!$K$3:$K$1002,原始数据!$D$3:$D$1002,"HT20260401")</f>
        <v>509.268</v>
      </c>
      <c r="K338" s="19" t="str">
        <f>IFERROR(INDEX(原始数据!$L$3:$L$1002,MATCH(1,INDEX((原始数据!$D$3:$D$1002="HT20260401")*(原始数据!$L$3:$L$1002&lt;&gt;""),0),0)),"")</f>
        <v>八部</v>
      </c>
      <c r="L338" s="20" t="str">
        <f>IFERROR(INDEX(原始数据!$M$3:$M$1002,MATCH(1,INDEX((原始数据!$D$3:$D$1002="HT20260401")*(原始数据!$M$3:$M$1002&lt;&gt;""),0),0)),"")</f>
        <v>苏珊</v>
      </c>
      <c r="M338" s="19" t="str">
        <f>IFERROR(INDEX(原始数据!$N$3:$N$1002,MATCH(1,INDEX((原始数据!$D$3:$D$1002="HT20260401")*(原始数据!$N$3:$N$1002&lt;&gt;""),0),0)),"")</f>
        <v>1年以内</v>
      </c>
      <c r="N338" s="19" t="inlineStr"/>
    </row>
    <row r="339">
      <c r="A339" s="13">
        <f>ROW()-2</f>
        <v>337</v>
      </c>
      <c r="B339" s="14" t="str">
        <f>IFERROR(INDEX(原始数据!$B$3:$B$1002,MATCH(1,INDEX((原始数据!$D$3:$D$1002="HT20260404")*(原始数据!$B$3:$B$1002&lt;&gt;""),0),0)),"")</f>
        <v>华东-福建</v>
      </c>
      <c r="C339" s="14" t="str">
        <f>IFERROR(INDEX(原始数据!$C$3:$C$1002,MATCH(1,INDEX((原始数据!$D$3:$D$1002="HT20260404")*(原始数据!$C$3:$C$1002&lt;&gt;""),0),0)),"")</f>
        <v>事业单位</v>
      </c>
      <c r="D339" s="15" t="inlineStr">
        <is>
          <t>HT20260404</t>
        </is>
      </c>
      <c r="E339" s="16">
        <f>IFERROR(INDEX(原始数据!$E$3:$E$1002,MATCH(1,INDEX((原始数据!$D$3:$D$1002="HT20260404")*(原始数据!$E$3:$E$1002&lt;&gt;""),0),0)),"")</f>
        <v>20260304</v>
      </c>
      <c r="F339" s="17">
        <f>SUMIFS(原始数据!$F$3:$F$1002,原始数据!$D$3:$D$1002,"HT20260404")</f>
        <v>505.159</v>
      </c>
      <c r="G339" s="17">
        <f>SUMIFS(原始数据!$H$3:$H$1002,原始数据!$D$3:$D$1002,"HT20260404")</f>
        <v>11.553</v>
      </c>
      <c r="H339" s="17">
        <f>SUMIFS(原始数据!$I$3:$I$1002,原始数据!$D$3:$D$1002,"HT20260404")</f>
        <v>493.606</v>
      </c>
      <c r="I339" s="17">
        <f>SUMIFS(原始数据!$J$3:$J$1002,原始数据!$D$3:$D$1002,"HT20260404")</f>
        <v>109.223</v>
      </c>
      <c r="J339" s="17">
        <f>SUMIFS(原始数据!$K$3:$K$1002,原始数据!$D$3:$D$1002,"HT20260404")</f>
        <v>384.383</v>
      </c>
      <c r="K339" s="14" t="str">
        <f>IFERROR(INDEX(原始数据!$L$3:$L$1002,MATCH(1,INDEX((原始数据!$D$3:$D$1002="HT20260404")*(原始数据!$L$3:$L$1002&lt;&gt;""),0),0)),"")</f>
        <v>三部</v>
      </c>
      <c r="L339" s="15" t="str">
        <f>IFERROR(INDEX(原始数据!$M$3:$M$1002,MATCH(1,INDEX((原始数据!$D$3:$D$1002="HT20260404")*(原始数据!$M$3:$M$1002&lt;&gt;""),0),0)),"")</f>
        <v>朱军</v>
      </c>
      <c r="M339" s="14" t="str">
        <f>IFERROR(INDEX(原始数据!$N$3:$N$1002,MATCH(1,INDEX((原始数据!$D$3:$D$1002="HT20260404")*(原始数据!$N$3:$N$1002&lt;&gt;""),0),0)),"")</f>
        <v>1年以内</v>
      </c>
      <c r="N339" s="14" t="inlineStr"/>
    </row>
    <row r="340">
      <c r="A340" s="18">
        <f>ROW()-2</f>
        <v>338</v>
      </c>
      <c r="B340" s="19" t="str">
        <f>IFERROR(INDEX(原始数据!$B$3:$B$1002,MATCH(1,INDEX((原始数据!$D$3:$D$1002="HT20260405")*(原始数据!$B$3:$B$1002&lt;&gt;""),0),0)),"")</f>
        <v>华东-山东</v>
      </c>
      <c r="C340" s="19" t="str">
        <f>IFERROR(INDEX(原始数据!$C$3:$C$1002,MATCH(1,INDEX((原始数据!$D$3:$D$1002="HT20260405")*(原始数据!$C$3:$C$1002&lt;&gt;""),0),0)),"")</f>
        <v>事业单位</v>
      </c>
      <c r="D340" s="20" t="inlineStr">
        <is>
          <t>HT20260405</t>
        </is>
      </c>
      <c r="E340" s="21">
        <f>IFERROR(INDEX(原始数据!$E$3:$E$1002,MATCH(1,INDEX((原始数据!$D$3:$D$1002="HT20260405")*(原始数据!$E$3:$E$1002&lt;&gt;""),0),0)),"")</f>
        <v>20260721</v>
      </c>
      <c r="F340" s="22">
        <f>SUMIFS(原始数据!$F$3:$F$1002,原始数据!$D$3:$D$1002,"HT20260405")</f>
        <v>434.998</v>
      </c>
      <c r="G340" s="22">
        <f>SUMIFS(原始数据!$H$3:$H$1002,原始数据!$D$3:$D$1002,"HT20260405")</f>
        <v>72.912</v>
      </c>
      <c r="H340" s="22">
        <f>SUMIFS(原始数据!$I$3:$I$1002,原始数据!$D$3:$D$1002,"HT20260405")</f>
        <v>362.086</v>
      </c>
      <c r="I340" s="22">
        <f>SUMIFS(原始数据!$J$3:$J$1002,原始数据!$D$3:$D$1002,"HT20260405")</f>
        <v>191.538</v>
      </c>
      <c r="J340" s="22">
        <f>SUMIFS(原始数据!$K$3:$K$1002,原始数据!$D$3:$D$1002,"HT20260405")</f>
        <v>170.548</v>
      </c>
      <c r="K340" s="19" t="str">
        <f>IFERROR(INDEX(原始数据!$L$3:$L$1002,MATCH(1,INDEX((原始数据!$D$3:$D$1002="HT20260405")*(原始数据!$L$3:$L$1002&lt;&gt;""),0),0)),"")</f>
        <v>十部</v>
      </c>
      <c r="L340" s="20" t="str">
        <f>IFERROR(INDEX(原始数据!$M$3:$M$1002,MATCH(1,INDEX((原始数据!$D$3:$D$1002="HT20260405")*(原始数据!$M$3:$M$1002&lt;&gt;""),0),0)),"")</f>
        <v>薛峰</v>
      </c>
      <c r="M340" s="19" t="str">
        <f>IFERROR(INDEX(原始数据!$N$3:$N$1002,MATCH(1,INDEX((原始数据!$D$3:$D$1002="HT20260405")*(原始数据!$N$3:$N$1002&lt;&gt;""),0),0)),"")</f>
        <v>2-3年</v>
      </c>
      <c r="N340" s="19" t="inlineStr"/>
    </row>
    <row r="341">
      <c r="A341" s="13">
        <f>ROW()-2</f>
        <v>339</v>
      </c>
      <c r="B341" s="14" t="str">
        <f>IFERROR(INDEX(原始数据!$B$3:$B$1002,MATCH(1,INDEX((原始数据!$D$3:$D$1002="HT20260408")*(原始数据!$B$3:$B$1002&lt;&gt;""),0),0)),"")</f>
        <v>华东-安徽</v>
      </c>
      <c r="C341" s="14" t="str">
        <f>IFERROR(INDEX(原始数据!$C$3:$C$1002,MATCH(1,INDEX((原始数据!$D$3:$D$1002="HT20260408")*(原始数据!$C$3:$C$1002&lt;&gt;""),0),0)),"")</f>
        <v>监察司法机关</v>
      </c>
      <c r="D341" s="15" t="inlineStr">
        <is>
          <t>HT20260408</t>
        </is>
      </c>
      <c r="E341" s="16">
        <f>IFERROR(INDEX(原始数据!$E$3:$E$1002,MATCH(1,INDEX((原始数据!$D$3:$D$1002="HT20260408")*(原始数据!$E$3:$E$1002&lt;&gt;""),0),0)),"")</f>
        <v>20260322</v>
      </c>
      <c r="F341" s="17">
        <f>SUMIFS(原始数据!$F$3:$F$1002,原始数据!$D$3:$D$1002,"HT20260408")</f>
        <v>550.02</v>
      </c>
      <c r="G341" s="17">
        <f>SUMIFS(原始数据!$H$3:$H$1002,原始数据!$D$3:$D$1002,"HT20260408")</f>
        <v>330.486</v>
      </c>
      <c r="H341" s="17">
        <f>SUMIFS(原始数据!$I$3:$I$1002,原始数据!$D$3:$D$1002,"HT20260408")</f>
        <v>219.534</v>
      </c>
      <c r="I341" s="17">
        <f>SUMIFS(原始数据!$J$3:$J$1002,原始数据!$D$3:$D$1002,"HT20260408")</f>
        <v>192.189</v>
      </c>
      <c r="J341" s="17">
        <f>SUMIFS(原始数据!$K$3:$K$1002,原始数据!$D$3:$D$1002,"HT20260408")</f>
        <v>27.345</v>
      </c>
      <c r="K341" s="14" t="str">
        <f>IFERROR(INDEX(原始数据!$L$3:$L$1002,MATCH(1,INDEX((原始数据!$D$3:$D$1002="HT20260408")*(原始数据!$L$3:$L$1002&lt;&gt;""),0),0)),"")</f>
        <v>八部</v>
      </c>
      <c r="L341" s="15" t="str">
        <f>IFERROR(INDEX(原始数据!$M$3:$M$1002,MATCH(1,INDEX((原始数据!$D$3:$D$1002="HT20260408")*(原始数据!$M$3:$M$1002&lt;&gt;""),0),0)),"")</f>
        <v>彭燕</v>
      </c>
      <c r="M341" s="14" t="str">
        <f>IFERROR(INDEX(原始数据!$N$3:$N$1002,MATCH(1,INDEX((原始数据!$D$3:$D$1002="HT20260408")*(原始数据!$N$3:$N$1002&lt;&gt;""),0),0)),"")</f>
        <v>1-2年</v>
      </c>
      <c r="N341" s="14" t="inlineStr">
        <is>
          <t>公司负债</t>
        </is>
      </c>
    </row>
    <row r="342">
      <c r="A342" s="18">
        <f>ROW()-2</f>
        <v>340</v>
      </c>
      <c r="B342" s="19" t="str">
        <f>IFERROR(INDEX(原始数据!$B$3:$B$1002,MATCH(1,INDEX((原始数据!$D$3:$D$1002="HT20260410")*(原始数据!$B$3:$B$1002&lt;&gt;""),0),0)),"")</f>
        <v>东北-吉林</v>
      </c>
      <c r="C342" s="19" t="str">
        <f>IFERROR(INDEX(原始数据!$C$3:$C$1002,MATCH(1,INDEX((原始数据!$D$3:$D$1002="HT20260410")*(原始数据!$C$3:$C$1002&lt;&gt;""),0),0)),"")</f>
        <v>国有企业</v>
      </c>
      <c r="D342" s="20" t="inlineStr">
        <is>
          <t>HT20260410</t>
        </is>
      </c>
      <c r="E342" s="21">
        <f>IFERROR(INDEX(原始数据!$E$3:$E$1002,MATCH(1,INDEX((原始数据!$D$3:$D$1002="HT20260410")*(原始数据!$E$3:$E$1002&lt;&gt;""),0),0)),"")</f>
        <v>20260418</v>
      </c>
      <c r="F342" s="22">
        <f>SUMIFS(原始数据!$F$3:$F$1002,原始数据!$D$3:$D$1002,"HT20260410")</f>
        <v>7349.557000000001</v>
      </c>
      <c r="G342" s="22">
        <f>SUMIFS(原始数据!$H$3:$H$1002,原始数据!$D$3:$D$1002,"HT20260410")</f>
        <v>4728.530000000001</v>
      </c>
      <c r="H342" s="22">
        <f>SUMIFS(原始数据!$I$3:$I$1002,原始数据!$D$3:$D$1002,"HT20260410")</f>
        <v>2621.027</v>
      </c>
      <c r="I342" s="22">
        <f>SUMIFS(原始数据!$J$3:$J$1002,原始数据!$D$3:$D$1002,"HT20260410")</f>
        <v>2430.154</v>
      </c>
      <c r="J342" s="22">
        <f>SUMIFS(原始数据!$K$3:$K$1002,原始数据!$D$3:$D$1002,"HT20260410")</f>
        <v>190.873</v>
      </c>
      <c r="K342" s="19" t="str">
        <f>IFERROR(INDEX(原始数据!$L$3:$L$1002,MATCH(1,INDEX((原始数据!$D$3:$D$1002="HT20260410")*(原始数据!$L$3:$L$1002&lt;&gt;""),0),0)),"")</f>
        <v>六部</v>
      </c>
      <c r="L342" s="20" t="str">
        <f>IFERROR(INDEX(原始数据!$M$3:$M$1002,MATCH(1,INDEX((原始数据!$D$3:$D$1002="HT20260410")*(原始数据!$M$3:$M$1002&lt;&gt;""),0),0)),"")</f>
        <v>程琳</v>
      </c>
      <c r="M342" s="19" t="str">
        <f>IFERROR(INDEX(原始数据!$N$3:$N$1002,MATCH(1,INDEX((原始数据!$D$3:$D$1002="HT20260410")*(原始数据!$N$3:$N$1002&lt;&gt;""),0),0)),"")</f>
        <v>1年以内</v>
      </c>
      <c r="N342" s="19" t="inlineStr"/>
    </row>
    <row r="343">
      <c r="A343" s="13">
        <f>ROW()-2</f>
        <v>341</v>
      </c>
      <c r="B343" s="14" t="str">
        <f>IFERROR(INDEX(原始数据!$B$3:$B$1002,MATCH(1,INDEX((原始数据!$D$3:$D$1002="HT20260412")*(原始数据!$B$3:$B$1002&lt;&gt;""),0),0)),"")</f>
        <v>华东-安徽</v>
      </c>
      <c r="C343" s="14" t="str">
        <f>IFERROR(INDEX(原始数据!$C$3:$C$1002,MATCH(1,INDEX((原始数据!$D$3:$D$1002="HT20260412")*(原始数据!$C$3:$C$1002&lt;&gt;""),0),0)),"")</f>
        <v>监察司法机关</v>
      </c>
      <c r="D343" s="15" t="inlineStr">
        <is>
          <t>HT20260412</t>
        </is>
      </c>
      <c r="E343" s="16">
        <f>IFERROR(INDEX(原始数据!$E$3:$E$1002,MATCH(1,INDEX((原始数据!$D$3:$D$1002="HT20260412")*(原始数据!$E$3:$E$1002&lt;&gt;""),0),0)),"")</f>
        <v>20260321</v>
      </c>
      <c r="F343" s="17">
        <f>SUMIFS(原始数据!$F$3:$F$1002,原始数据!$D$3:$D$1002,"HT20260412")</f>
        <v>1762.38</v>
      </c>
      <c r="G343" s="17">
        <f>SUMIFS(原始数据!$H$3:$H$1002,原始数据!$D$3:$D$1002,"HT20260412")</f>
        <v>980.132</v>
      </c>
      <c r="H343" s="17">
        <f>SUMIFS(原始数据!$I$3:$I$1002,原始数据!$D$3:$D$1002,"HT20260412")</f>
        <v>782.248</v>
      </c>
      <c r="I343" s="17">
        <f>SUMIFS(原始数据!$J$3:$J$1002,原始数据!$D$3:$D$1002,"HT20260412")</f>
        <v>90.745</v>
      </c>
      <c r="J343" s="17">
        <f>SUMIFS(原始数据!$K$3:$K$1002,原始数据!$D$3:$D$1002,"HT20260412")</f>
        <v>691.503</v>
      </c>
      <c r="K343" s="14" t="str">
        <f>IFERROR(INDEX(原始数据!$L$3:$L$1002,MATCH(1,INDEX((原始数据!$D$3:$D$1002="HT20260412")*(原始数据!$L$3:$L$1002&lt;&gt;""),0),0)),"")</f>
        <v>六部</v>
      </c>
      <c r="L343" s="15" t="str">
        <f>IFERROR(INDEX(原始数据!$M$3:$M$1002,MATCH(1,INDEX((原始数据!$D$3:$D$1002="HT20260412")*(原始数据!$M$3:$M$1002&lt;&gt;""),0),0)),"")</f>
        <v>董辉</v>
      </c>
      <c r="M343" s="14" t="str">
        <f>IFERROR(INDEX(原始数据!$N$3:$N$1002,MATCH(1,INDEX((原始数据!$D$3:$D$1002="HT20260412")*(原始数据!$N$3:$N$1002&lt;&gt;""),0),0)),"")</f>
        <v>1年以内</v>
      </c>
      <c r="N343" s="14" t="inlineStr"/>
    </row>
    <row r="344">
      <c r="A344" s="18">
        <f>ROW()-2</f>
        <v>342</v>
      </c>
      <c r="B344" s="19" t="str">
        <f>IFERROR(INDEX(原始数据!$B$3:$B$1002,MATCH(1,INDEX((原始数据!$D$3:$D$1002="HT20260413")*(原始数据!$B$3:$B$1002&lt;&gt;""),0),0)),"")</f>
        <v>华东-江西</v>
      </c>
      <c r="C344" s="19" t="str">
        <f>IFERROR(INDEX(原始数据!$C$3:$C$1002,MATCH(1,INDEX((原始数据!$D$3:$D$1002="HT20260413")*(原始数据!$C$3:$C$1002&lt;&gt;""),0),0)),"")</f>
        <v>政府机关</v>
      </c>
      <c r="D344" s="20" t="inlineStr">
        <is>
          <t>HT20260413</t>
        </is>
      </c>
      <c r="E344" s="21">
        <f>IFERROR(INDEX(原始数据!$E$3:$E$1002,MATCH(1,INDEX((原始数据!$D$3:$D$1002="HT20260413")*(原始数据!$E$3:$E$1002&lt;&gt;""),0),0)),"")</f>
        <v>20260524</v>
      </c>
      <c r="F344" s="22">
        <f>SUMIFS(原始数据!$F$3:$F$1002,原始数据!$D$3:$D$1002,"HT20260413")</f>
        <v>424.46</v>
      </c>
      <c r="G344" s="22">
        <f>SUMIFS(原始数据!$H$3:$H$1002,原始数据!$D$3:$D$1002,"HT20260413")</f>
        <v>51.415</v>
      </c>
      <c r="H344" s="22">
        <f>SUMIFS(原始数据!$I$3:$I$1002,原始数据!$D$3:$D$1002,"HT20260413")</f>
        <v>373.045</v>
      </c>
      <c r="I344" s="22">
        <f>SUMIFS(原始数据!$J$3:$J$1002,原始数据!$D$3:$D$1002,"HT20260413")</f>
        <v>69.029</v>
      </c>
      <c r="J344" s="22">
        <f>SUMIFS(原始数据!$K$3:$K$1002,原始数据!$D$3:$D$1002,"HT20260413")</f>
        <v>304.016</v>
      </c>
      <c r="K344" s="19" t="str">
        <f>IFERROR(INDEX(原始数据!$L$3:$L$1002,MATCH(1,INDEX((原始数据!$D$3:$D$1002="HT20260413")*(原始数据!$L$3:$L$1002&lt;&gt;""),0),0)),"")</f>
        <v>一部</v>
      </c>
      <c r="L344" s="20" t="str">
        <f>IFERROR(INDEX(原始数据!$M$3:$M$1002,MATCH(1,INDEX((原始数据!$D$3:$D$1002="HT20260413")*(原始数据!$M$3:$M$1002&lt;&gt;""),0),0)),"")</f>
        <v>陈静</v>
      </c>
      <c r="M344" s="19" t="str">
        <f>IFERROR(INDEX(原始数据!$N$3:$N$1002,MATCH(1,INDEX((原始数据!$D$3:$D$1002="HT20260413")*(原始数据!$N$3:$N$1002&lt;&gt;""),0),0)),"")</f>
        <v>1年以内</v>
      </c>
      <c r="N344" s="19" t="inlineStr"/>
    </row>
    <row r="345">
      <c r="A345" s="13">
        <f>ROW()-2</f>
        <v>343</v>
      </c>
      <c r="B345" s="14" t="str">
        <f>IFERROR(INDEX(原始数据!$B$3:$B$1002,MATCH(1,INDEX((原始数据!$D$3:$D$1002="HT20260414")*(原始数据!$B$3:$B$1002&lt;&gt;""),0),0)),"")</f>
        <v>华北-河北</v>
      </c>
      <c r="C345" s="14" t="str">
        <f>IFERROR(INDEX(原始数据!$C$3:$C$1002,MATCH(1,INDEX((原始数据!$D$3:$D$1002="HT20260414")*(原始数据!$C$3:$C$1002&lt;&gt;""),0),0)),"")</f>
        <v>群团组织</v>
      </c>
      <c r="D345" s="15" t="inlineStr">
        <is>
          <t>HT20260414</t>
        </is>
      </c>
      <c r="E345" s="16">
        <f>IFERROR(INDEX(原始数据!$E$3:$E$1002,MATCH(1,INDEX((原始数据!$D$3:$D$1002="HT20260414")*(原始数据!$E$3:$E$1002&lt;&gt;""),0),0)),"")</f>
        <v>20260124</v>
      </c>
      <c r="F345" s="17">
        <f>SUMIFS(原始数据!$F$3:$F$1002,原始数据!$D$3:$D$1002,"HT20260414")</f>
        <v>211.956</v>
      </c>
      <c r="G345" s="17">
        <f>SUMIFS(原始数据!$H$3:$H$1002,原始数据!$D$3:$D$1002,"HT20260414")</f>
        <v>66.201</v>
      </c>
      <c r="H345" s="17">
        <f>SUMIFS(原始数据!$I$3:$I$1002,原始数据!$D$3:$D$1002,"HT20260414")</f>
        <v>145.755</v>
      </c>
      <c r="I345" s="17">
        <f>SUMIFS(原始数据!$J$3:$J$1002,原始数据!$D$3:$D$1002,"HT20260414")</f>
        <v>79.152</v>
      </c>
      <c r="J345" s="17">
        <f>SUMIFS(原始数据!$K$3:$K$1002,原始数据!$D$3:$D$1002,"HT20260414")</f>
        <v>66.603</v>
      </c>
      <c r="K345" s="14" t="str">
        <f>IFERROR(INDEX(原始数据!$L$3:$L$1002,MATCH(1,INDEX((原始数据!$D$3:$D$1002="HT20260414")*(原始数据!$L$3:$L$1002&lt;&gt;""),0),0)),"")</f>
        <v>五部</v>
      </c>
      <c r="L345" s="15" t="str">
        <f>IFERROR(INDEX(原始数据!$M$3:$M$1002,MATCH(1,INDEX((原始数据!$D$3:$D$1002="HT20260414")*(原始数据!$M$3:$M$1002&lt;&gt;""),0),0)),"")</f>
        <v>谢峰</v>
      </c>
      <c r="M345" s="14" t="str">
        <f>IFERROR(INDEX(原始数据!$N$3:$N$1002,MATCH(1,INDEX((原始数据!$D$3:$D$1002="HT20260414")*(原始数据!$N$3:$N$1002&lt;&gt;""),0),0)),"")</f>
        <v>1年以内</v>
      </c>
      <c r="N345" s="14" t="inlineStr"/>
    </row>
    <row r="346">
      <c r="A346" s="18">
        <f>ROW()-2</f>
        <v>344</v>
      </c>
      <c r="B346" s="19" t="str">
        <f>IFERROR(INDEX(原始数据!$B$3:$B$1002,MATCH(1,INDEX((原始数据!$D$3:$D$1002="HT20260415")*(原始数据!$B$3:$B$1002&lt;&gt;""),0),0)),"")</f>
        <v>东北-吉林</v>
      </c>
      <c r="C346" s="19" t="str">
        <f>IFERROR(INDEX(原始数据!$C$3:$C$1002,MATCH(1,INDEX((原始数据!$D$3:$D$1002="HT20260415")*(原始数据!$C$3:$C$1002&lt;&gt;""),0),0)),"")</f>
        <v>人大政协</v>
      </c>
      <c r="D346" s="20" t="inlineStr">
        <is>
          <t>HT20260415</t>
        </is>
      </c>
      <c r="E346" s="21">
        <f>IFERROR(INDEX(原始数据!$E$3:$E$1002,MATCH(1,INDEX((原始数据!$D$3:$D$1002="HT20260415")*(原始数据!$E$3:$E$1002&lt;&gt;""),0),0)),"")</f>
        <v>20260617</v>
      </c>
      <c r="F346" s="22">
        <f>SUMIFS(原始数据!$F$3:$F$1002,原始数据!$D$3:$D$1002,"HT20260415")</f>
        <v>1090.4679999999998</v>
      </c>
      <c r="G346" s="22">
        <f>SUMIFS(原始数据!$H$3:$H$1002,原始数据!$D$3:$D$1002,"HT20260415")</f>
        <v>888.191</v>
      </c>
      <c r="H346" s="22">
        <f>SUMIFS(原始数据!$I$3:$I$1002,原始数据!$D$3:$D$1002,"HT20260415")</f>
        <v>202.277</v>
      </c>
      <c r="I346" s="22">
        <f>SUMIFS(原始数据!$J$3:$J$1002,原始数据!$D$3:$D$1002,"HT20260415")</f>
        <v>59.282000000000004</v>
      </c>
      <c r="J346" s="22">
        <f>SUMIFS(原始数据!$K$3:$K$1002,原始数据!$D$3:$D$1002,"HT20260415")</f>
        <v>142.995</v>
      </c>
      <c r="K346" s="19" t="str">
        <f>IFERROR(INDEX(原始数据!$L$3:$L$1002,MATCH(1,INDEX((原始数据!$D$3:$D$1002="HT20260415")*(原始数据!$L$3:$L$1002&lt;&gt;""),0),0)),"")</f>
        <v>二部</v>
      </c>
      <c r="L346" s="20" t="str">
        <f>IFERROR(INDEX(原始数据!$M$3:$M$1002,MATCH(1,INDEX((原始数据!$D$3:$D$1002="HT20260415")*(原始数据!$M$3:$M$1002&lt;&gt;""),0),0)),"")</f>
        <v>黄强</v>
      </c>
      <c r="M346" s="19" t="str">
        <f>IFERROR(INDEX(原始数据!$N$3:$N$1002,MATCH(1,INDEX((原始数据!$D$3:$D$1002="HT20260415")*(原始数据!$N$3:$N$1002&lt;&gt;""),0),0)),"")</f>
        <v>1年以内</v>
      </c>
      <c r="N346" s="19" t="inlineStr"/>
    </row>
    <row r="347">
      <c r="A347" s="13">
        <f>ROW()-2</f>
        <v>345</v>
      </c>
      <c r="B347" s="14" t="str">
        <f>IFERROR(INDEX(原始数据!$B$3:$B$1002,MATCH(1,INDEX((原始数据!$D$3:$D$1002="HT20260417")*(原始数据!$B$3:$B$1002&lt;&gt;""),0),0)),"")</f>
        <v>西南-西藏</v>
      </c>
      <c r="C347" s="14" t="str">
        <f>IFERROR(INDEX(原始数据!$C$3:$C$1002,MATCH(1,INDEX((原始数据!$D$3:$D$1002="HT20260417")*(原始数据!$C$3:$C$1002&lt;&gt;""),0),0)),"")</f>
        <v>党委机关</v>
      </c>
      <c r="D347" s="15" t="inlineStr">
        <is>
          <t>HT20260417</t>
        </is>
      </c>
      <c r="E347" s="16">
        <f>IFERROR(INDEX(原始数据!$E$3:$E$1002,MATCH(1,INDEX((原始数据!$D$3:$D$1002="HT20260417")*(原始数据!$E$3:$E$1002&lt;&gt;""),0),0)),"")</f>
        <v>20260708</v>
      </c>
      <c r="F347" s="17">
        <f>SUMIFS(原始数据!$F$3:$F$1002,原始数据!$D$3:$D$1002,"HT20260417")</f>
        <v>566.27</v>
      </c>
      <c r="G347" s="17">
        <f>SUMIFS(原始数据!$H$3:$H$1002,原始数据!$D$3:$D$1002,"HT20260417")</f>
        <v>277.159</v>
      </c>
      <c r="H347" s="17">
        <f>SUMIFS(原始数据!$I$3:$I$1002,原始数据!$D$3:$D$1002,"HT20260417")</f>
        <v>289.111</v>
      </c>
      <c r="I347" s="17">
        <f>SUMIFS(原始数据!$J$3:$J$1002,原始数据!$D$3:$D$1002,"HT20260417")</f>
        <v>20.494</v>
      </c>
      <c r="J347" s="17">
        <f>SUMIFS(原始数据!$K$3:$K$1002,原始数据!$D$3:$D$1002,"HT20260417")</f>
        <v>268.617</v>
      </c>
      <c r="K347" s="14" t="str">
        <f>IFERROR(INDEX(原始数据!$L$3:$L$1002,MATCH(1,INDEX((原始数据!$D$3:$D$1002="HT20260417")*(原始数据!$L$3:$L$1002&lt;&gt;""),0),0)),"")</f>
        <v>六部</v>
      </c>
      <c r="L347" s="15" t="str">
        <f>IFERROR(INDEX(原始数据!$M$3:$M$1002,MATCH(1,INDEX((原始数据!$D$3:$D$1002="HT20260417")*(原始数据!$M$3:$M$1002&lt;&gt;""),0),0)),"")</f>
        <v>曹阳</v>
      </c>
      <c r="M347" s="14" t="str">
        <f>IFERROR(INDEX(原始数据!$N$3:$N$1002,MATCH(1,INDEX((原始数据!$D$3:$D$1002="HT20260417")*(原始数据!$N$3:$N$1002&lt;&gt;""),0),0)),"")</f>
        <v>2-3年</v>
      </c>
      <c r="N347" s="14" t="inlineStr"/>
    </row>
    <row r="348">
      <c r="A348" s="18">
        <f>ROW()-2</f>
        <v>346</v>
      </c>
      <c r="B348" s="19" t="str">
        <f>IFERROR(INDEX(原始数据!$B$3:$B$1002,MATCH(1,INDEX((原始数据!$D$3:$D$1002="HT20260418")*(原始数据!$B$3:$B$1002&lt;&gt;""),0),0)),"")</f>
        <v>华东-江西</v>
      </c>
      <c r="C348" s="19" t="str">
        <f>IFERROR(INDEX(原始数据!$C$3:$C$1002,MATCH(1,INDEX((原始数据!$D$3:$D$1002="HT20260418")*(原始数据!$C$3:$C$1002&lt;&gt;""),0),0)),"")</f>
        <v>党委机关</v>
      </c>
      <c r="D348" s="20" t="inlineStr">
        <is>
          <t>HT20260418</t>
        </is>
      </c>
      <c r="E348" s="21">
        <f>IFERROR(INDEX(原始数据!$E$3:$E$1002,MATCH(1,INDEX((原始数据!$D$3:$D$1002="HT20260418")*(原始数据!$E$3:$E$1002&lt;&gt;""),0),0)),"")</f>
        <v>20260407</v>
      </c>
      <c r="F348" s="22">
        <f>SUMIFS(原始数据!$F$3:$F$1002,原始数据!$D$3:$D$1002,"HT20260418")</f>
        <v>859.131</v>
      </c>
      <c r="G348" s="22">
        <f>SUMIFS(原始数据!$H$3:$H$1002,原始数据!$D$3:$D$1002,"HT20260418")</f>
        <v>501.328</v>
      </c>
      <c r="H348" s="22">
        <f>SUMIFS(原始数据!$I$3:$I$1002,原始数据!$D$3:$D$1002,"HT20260418")</f>
        <v>357.803</v>
      </c>
      <c r="I348" s="22">
        <f>SUMIFS(原始数据!$J$3:$J$1002,原始数据!$D$3:$D$1002,"HT20260418")</f>
        <v>23.687</v>
      </c>
      <c r="J348" s="22">
        <f>SUMIFS(原始数据!$K$3:$K$1002,原始数据!$D$3:$D$1002,"HT20260418")</f>
        <v>334.116</v>
      </c>
      <c r="K348" s="19" t="str">
        <f>IFERROR(INDEX(原始数据!$L$3:$L$1002,MATCH(1,INDEX((原始数据!$D$3:$D$1002="HT20260418")*(原始数据!$L$3:$L$1002&lt;&gt;""),0),0)),"")</f>
        <v>四部</v>
      </c>
      <c r="L348" s="20" t="str">
        <f>IFERROR(INDEX(原始数据!$M$3:$M$1002,MATCH(1,INDEX((原始数据!$D$3:$D$1002="HT20260418")*(原始数据!$M$3:$M$1002&lt;&gt;""),0),0)),"")</f>
        <v>何萍</v>
      </c>
      <c r="M348" s="19" t="str">
        <f>IFERROR(INDEX(原始数据!$N$3:$N$1002,MATCH(1,INDEX((原始数据!$D$3:$D$1002="HT20260418")*(原始数据!$N$3:$N$1002&lt;&gt;""),0),0)),"")</f>
        <v>1-2年</v>
      </c>
      <c r="N348" s="19" t="inlineStr"/>
    </row>
    <row r="349">
      <c r="A349" s="13">
        <f>ROW()-2</f>
        <v>347</v>
      </c>
      <c r="B349" s="14" t="str">
        <f>IFERROR(INDEX(原始数据!$B$3:$B$1002,MATCH(1,INDEX((原始数据!$D$3:$D$1002="HT20260419")*(原始数据!$B$3:$B$1002&lt;&gt;""),0),0)),"")</f>
        <v>华东-山东</v>
      </c>
      <c r="C349" s="14" t="str">
        <f>IFERROR(INDEX(原始数据!$C$3:$C$1002,MATCH(1,INDEX((原始数据!$D$3:$D$1002="HT20260419")*(原始数据!$C$3:$C$1002&lt;&gt;""),0),0)),"")</f>
        <v>党委机关</v>
      </c>
      <c r="D349" s="15" t="inlineStr">
        <is>
          <t>HT20260419</t>
        </is>
      </c>
      <c r="E349" s="16">
        <f>IFERROR(INDEX(原始数据!$E$3:$E$1002,MATCH(1,INDEX((原始数据!$D$3:$D$1002="HT20260419")*(原始数据!$E$3:$E$1002&lt;&gt;""),0),0)),"")</f>
        <v>20260515</v>
      </c>
      <c r="F349" s="17">
        <f>SUMIFS(原始数据!$F$3:$F$1002,原始数据!$D$3:$D$1002,"HT20260419")</f>
        <v>2413.154</v>
      </c>
      <c r="G349" s="17">
        <f>SUMIFS(原始数据!$H$3:$H$1002,原始数据!$D$3:$D$1002,"HT20260419")</f>
        <v>1586.533</v>
      </c>
      <c r="H349" s="17">
        <f>SUMIFS(原始数据!$I$3:$I$1002,原始数据!$D$3:$D$1002,"HT20260419")</f>
        <v>826.621</v>
      </c>
      <c r="I349" s="17">
        <f>SUMIFS(原始数据!$J$3:$J$1002,原始数据!$D$3:$D$1002,"HT20260419")</f>
        <v>536.317</v>
      </c>
      <c r="J349" s="17">
        <f>SUMIFS(原始数据!$K$3:$K$1002,原始数据!$D$3:$D$1002,"HT20260419")</f>
        <v>290.304</v>
      </c>
      <c r="K349" s="14" t="str">
        <f>IFERROR(INDEX(原始数据!$L$3:$L$1002,MATCH(1,INDEX((原始数据!$D$3:$D$1002="HT20260419")*(原始数据!$L$3:$L$1002&lt;&gt;""),0),0)),"")</f>
        <v>十部</v>
      </c>
      <c r="L349" s="15" t="str">
        <f>IFERROR(INDEX(原始数据!$M$3:$M$1002,MATCH(1,INDEX((原始数据!$D$3:$D$1002="HT20260419")*(原始数据!$M$3:$M$1002&lt;&gt;""),0),0)),"")</f>
        <v>阎莉</v>
      </c>
      <c r="M349" s="14" t="str">
        <f>IFERROR(INDEX(原始数据!$N$3:$N$1002,MATCH(1,INDEX((原始数据!$D$3:$D$1002="HT20260419")*(原始数据!$N$3:$N$1002&lt;&gt;""),0),0)),"")</f>
        <v>1年以内</v>
      </c>
      <c r="N349" s="14" t="inlineStr"/>
    </row>
    <row r="350">
      <c r="A350" s="18">
        <f>ROW()-2</f>
        <v>348</v>
      </c>
      <c r="B350" s="19" t="str">
        <f>IFERROR(INDEX(原始数据!$B$3:$B$1002,MATCH(1,INDEX((原始数据!$D$3:$D$1002="HT20260420")*(原始数据!$B$3:$B$1002&lt;&gt;""),0),0)),"")</f>
        <v>华中-湖北</v>
      </c>
      <c r="C350" s="19" t="str">
        <f>IFERROR(INDEX(原始数据!$C$3:$C$1002,MATCH(1,INDEX((原始数据!$D$3:$D$1002="HT20260420")*(原始数据!$C$3:$C$1002&lt;&gt;""),0),0)),"")</f>
        <v>基层自治组织</v>
      </c>
      <c r="D350" s="20" t="inlineStr">
        <is>
          <t>HT20260420</t>
        </is>
      </c>
      <c r="E350" s="21">
        <f>IFERROR(INDEX(原始数据!$E$3:$E$1002,MATCH(1,INDEX((原始数据!$D$3:$D$1002="HT20260420")*(原始数据!$E$3:$E$1002&lt;&gt;""),0),0)),"")</f>
        <v>20260312</v>
      </c>
      <c r="F350" s="22">
        <f>SUMIFS(原始数据!$F$3:$F$1002,原始数据!$D$3:$D$1002,"HT20260420")</f>
        <v>7071.263</v>
      </c>
      <c r="G350" s="22">
        <f>SUMIFS(原始数据!$H$3:$H$1002,原始数据!$D$3:$D$1002,"HT20260420")</f>
        <v>4307.733</v>
      </c>
      <c r="H350" s="22">
        <f>SUMIFS(原始数据!$I$3:$I$1002,原始数据!$D$3:$D$1002,"HT20260420")</f>
        <v>2763.53</v>
      </c>
      <c r="I350" s="22">
        <f>SUMIFS(原始数据!$J$3:$J$1002,原始数据!$D$3:$D$1002,"HT20260420")</f>
        <v>1856.587</v>
      </c>
      <c r="J350" s="22">
        <f>SUMIFS(原始数据!$K$3:$K$1002,原始数据!$D$3:$D$1002,"HT20260420")</f>
        <v>906.943</v>
      </c>
      <c r="K350" s="19" t="str">
        <f>IFERROR(INDEX(原始数据!$L$3:$L$1002,MATCH(1,INDEX((原始数据!$D$3:$D$1002="HT20260420")*(原始数据!$L$3:$L$1002&lt;&gt;""),0),0)),"")</f>
        <v>三部</v>
      </c>
      <c r="L350" s="20" t="str">
        <f>IFERROR(INDEX(原始数据!$M$3:$M$1002,MATCH(1,INDEX((原始数据!$D$3:$D$1002="HT20260420")*(原始数据!$M$3:$M$1002&lt;&gt;""),0),0)),"")</f>
        <v>朱军</v>
      </c>
      <c r="M350" s="19" t="str">
        <f>IFERROR(INDEX(原始数据!$N$3:$N$1002,MATCH(1,INDEX((原始数据!$D$3:$D$1002="HT20260420")*(原始数据!$N$3:$N$1002&lt;&gt;""),0),0)),"")</f>
        <v>2-3年</v>
      </c>
      <c r="N350" s="19" t="inlineStr"/>
    </row>
    <row r="351">
      <c r="A351" s="13">
        <f>ROW()-2</f>
        <v>349</v>
      </c>
      <c r="B351" s="14" t="str">
        <f>IFERROR(INDEX(原始数据!$B$3:$B$1002,MATCH(1,INDEX((原始数据!$D$3:$D$1002="HT20260421")*(原始数据!$B$3:$B$1002&lt;&gt;""),0),0)),"")</f>
        <v>华南-香港</v>
      </c>
      <c r="C351" s="14" t="str">
        <f>IFERROR(INDEX(原始数据!$C$3:$C$1002,MATCH(1,INDEX((原始数据!$D$3:$D$1002="HT20260421")*(原始数据!$C$3:$C$1002&lt;&gt;""),0),0)),"")</f>
        <v>国有企业</v>
      </c>
      <c r="D351" s="15" t="inlineStr">
        <is>
          <t>HT20260421</t>
        </is>
      </c>
      <c r="E351" s="16">
        <f>IFERROR(INDEX(原始数据!$E$3:$E$1002,MATCH(1,INDEX((原始数据!$D$3:$D$1002="HT20260421")*(原始数据!$E$3:$E$1002&lt;&gt;""),0),0)),"")</f>
        <v>20260228</v>
      </c>
      <c r="F351" s="17">
        <f>SUMIFS(原始数据!$F$3:$F$1002,原始数据!$D$3:$D$1002,"HT20260421")</f>
        <v>1722.571</v>
      </c>
      <c r="G351" s="17">
        <f>SUMIFS(原始数据!$H$3:$H$1002,原始数据!$D$3:$D$1002,"HT20260421")</f>
        <v>483.34900000000005</v>
      </c>
      <c r="H351" s="17">
        <f>SUMIFS(原始数据!$I$3:$I$1002,原始数据!$D$3:$D$1002,"HT20260421")</f>
        <v>1239.2220000000002</v>
      </c>
      <c r="I351" s="17">
        <f>SUMIFS(原始数据!$J$3:$J$1002,原始数据!$D$3:$D$1002,"HT20260421")</f>
        <v>577.28</v>
      </c>
      <c r="J351" s="17">
        <f>SUMIFS(原始数据!$K$3:$K$1002,原始数据!$D$3:$D$1002,"HT20260421")</f>
        <v>661.942</v>
      </c>
      <c r="K351" s="14" t="str">
        <f>IFERROR(INDEX(原始数据!$L$3:$L$1002,MATCH(1,INDEX((原始数据!$D$3:$D$1002="HT20260421")*(原始数据!$L$3:$L$1002&lt;&gt;""),0),0)),"")</f>
        <v>八部</v>
      </c>
      <c r="L351" s="15" t="str">
        <f>IFERROR(INDEX(原始数据!$M$3:$M$1002,MATCH(1,INDEX((原始数据!$D$3:$D$1002="HT20260421")*(原始数据!$M$3:$M$1002&lt;&gt;""),0),0)),"")</f>
        <v>吕强</v>
      </c>
      <c r="M351" s="14" t="str">
        <f>IFERROR(INDEX(原始数据!$N$3:$N$1002,MATCH(1,INDEX((原始数据!$D$3:$D$1002="HT20260421")*(原始数据!$N$3:$N$1002&lt;&gt;""),0),0)),"")</f>
        <v>1年以内</v>
      </c>
      <c r="N351" s="14" t="inlineStr"/>
    </row>
    <row r="352">
      <c r="A352" s="18">
        <f>ROW()-2</f>
        <v>350</v>
      </c>
      <c r="B352" s="19" t="str">
        <f>IFERROR(INDEX(原始数据!$B$3:$B$1002,MATCH(1,INDEX((原始数据!$D$3:$D$1002="HT20260422")*(原始数据!$B$3:$B$1002&lt;&gt;""),0),0)),"")</f>
        <v>西北-甘肃</v>
      </c>
      <c r="C352" s="19" t="str">
        <f>IFERROR(INDEX(原始数据!$C$3:$C$1002,MATCH(1,INDEX((原始数据!$D$3:$D$1002="HT20260422")*(原始数据!$C$3:$C$1002&lt;&gt;""),0),0)),"")</f>
        <v>国有企业</v>
      </c>
      <c r="D352" s="20" t="inlineStr">
        <is>
          <t>HT20260422</t>
        </is>
      </c>
      <c r="E352" s="21">
        <f>IFERROR(INDEX(原始数据!$E$3:$E$1002,MATCH(1,INDEX((原始数据!$D$3:$D$1002="HT20260422")*(原始数据!$E$3:$E$1002&lt;&gt;""),0),0)),"")</f>
        <v>20260214</v>
      </c>
      <c r="F352" s="22">
        <f>SUMIFS(原始数据!$F$3:$F$1002,原始数据!$D$3:$D$1002,"HT20260422")</f>
        <v>637.298</v>
      </c>
      <c r="G352" s="22">
        <f>SUMIFS(原始数据!$H$3:$H$1002,原始数据!$D$3:$D$1002,"HT20260422")</f>
        <v>212.972</v>
      </c>
      <c r="H352" s="22">
        <f>SUMIFS(原始数据!$I$3:$I$1002,原始数据!$D$3:$D$1002,"HT20260422")</f>
        <v>424.326</v>
      </c>
      <c r="I352" s="22">
        <f>SUMIFS(原始数据!$J$3:$J$1002,原始数据!$D$3:$D$1002,"HT20260422")</f>
        <v>338.342</v>
      </c>
      <c r="J352" s="22">
        <f>SUMIFS(原始数据!$K$3:$K$1002,原始数据!$D$3:$D$1002,"HT20260422")</f>
        <v>85.984</v>
      </c>
      <c r="K352" s="19" t="str">
        <f>IFERROR(INDEX(原始数据!$L$3:$L$1002,MATCH(1,INDEX((原始数据!$D$3:$D$1002="HT20260422")*(原始数据!$L$3:$L$1002&lt;&gt;""),0),0)),"")</f>
        <v>四部</v>
      </c>
      <c r="L352" s="20" t="str">
        <f>IFERROR(INDEX(原始数据!$M$3:$M$1002,MATCH(1,INDEX((原始数据!$D$3:$D$1002="HT20260422")*(原始数据!$M$3:$M$1002&lt;&gt;""),0),0)),"")</f>
        <v>郭鹏</v>
      </c>
      <c r="M352" s="19" t="str">
        <f>IFERROR(INDEX(原始数据!$N$3:$N$1002,MATCH(1,INDEX((原始数据!$D$3:$D$1002="HT20260422")*(原始数据!$N$3:$N$1002&lt;&gt;""),0),0)),"")</f>
        <v>1-2年</v>
      </c>
      <c r="N352" s="19" t="inlineStr"/>
    </row>
    <row r="353">
      <c r="A353" s="13">
        <f>ROW()-2</f>
        <v>351</v>
      </c>
      <c r="B353" s="14" t="str">
        <f>IFERROR(INDEX(原始数据!$B$3:$B$1002,MATCH(1,INDEX((原始数据!$D$3:$D$1002="HT20260424")*(原始数据!$B$3:$B$1002&lt;&gt;""),0),0)),"")</f>
        <v>东北-黑龙江</v>
      </c>
      <c r="C353" s="14" t="str">
        <f>IFERROR(INDEX(原始数据!$C$3:$C$1002,MATCH(1,INDEX((原始数据!$D$3:$D$1002="HT20260424")*(原始数据!$C$3:$C$1002&lt;&gt;""),0),0)),"")</f>
        <v>监察司法机关</v>
      </c>
      <c r="D353" s="15" t="inlineStr">
        <is>
          <t>HT20260424</t>
        </is>
      </c>
      <c r="E353" s="16">
        <f>IFERROR(INDEX(原始数据!$E$3:$E$1002,MATCH(1,INDEX((原始数据!$D$3:$D$1002="HT20260424")*(原始数据!$E$3:$E$1002&lt;&gt;""),0),0)),"")</f>
        <v>20260521</v>
      </c>
      <c r="F353" s="17">
        <f>SUMIFS(原始数据!$F$3:$F$1002,原始数据!$D$3:$D$1002,"HT20260424")</f>
        <v>1822.217</v>
      </c>
      <c r="G353" s="17">
        <f>SUMIFS(原始数据!$H$3:$H$1002,原始数据!$D$3:$D$1002,"HT20260424")</f>
        <v>1163.377</v>
      </c>
      <c r="H353" s="17">
        <f>SUMIFS(原始数据!$I$3:$I$1002,原始数据!$D$3:$D$1002,"HT20260424")</f>
        <v>658.84</v>
      </c>
      <c r="I353" s="17">
        <f>SUMIFS(原始数据!$J$3:$J$1002,原始数据!$D$3:$D$1002,"HT20260424")</f>
        <v>394.249</v>
      </c>
      <c r="J353" s="17">
        <f>SUMIFS(原始数据!$K$3:$K$1002,原始数据!$D$3:$D$1002,"HT20260424")</f>
        <v>264.591</v>
      </c>
      <c r="K353" s="14" t="str">
        <f>IFERROR(INDEX(原始数据!$L$3:$L$1002,MATCH(1,INDEX((原始数据!$D$3:$D$1002="HT20260424")*(原始数据!$L$3:$L$1002&lt;&gt;""),0),0)),"")</f>
        <v>六部</v>
      </c>
      <c r="L353" s="15" t="str">
        <f>IFERROR(INDEX(原始数据!$M$3:$M$1002,MATCH(1,INDEX((原始数据!$D$3:$D$1002="HT20260424")*(原始数据!$M$3:$M$1002&lt;&gt;""),0),0)),"")</f>
        <v>冯倩</v>
      </c>
      <c r="M353" s="14" t="str">
        <f>IFERROR(INDEX(原始数据!$N$3:$N$1002,MATCH(1,INDEX((原始数据!$D$3:$D$1002="HT20260424")*(原始数据!$N$3:$N$1002&lt;&gt;""),0),0)),"")</f>
        <v>2-3年</v>
      </c>
      <c r="N353" s="14" t="inlineStr"/>
    </row>
    <row r="354">
      <c r="A354" s="18">
        <f>ROW()-2</f>
        <v>352</v>
      </c>
      <c r="B354" s="19" t="str">
        <f>IFERROR(INDEX(原始数据!$B$3:$B$1002,MATCH(1,INDEX((原始数据!$D$3:$D$1002="HT20260426")*(原始数据!$B$3:$B$1002&lt;&gt;""),0),0)),"")</f>
        <v>华东-山东</v>
      </c>
      <c r="C354" s="19" t="str">
        <f>IFERROR(INDEX(原始数据!$C$3:$C$1002,MATCH(1,INDEX((原始数据!$D$3:$D$1002="HT20260426")*(原始数据!$C$3:$C$1002&lt;&gt;""),0),0)),"")</f>
        <v>基层自治组织</v>
      </c>
      <c r="D354" s="20" t="inlineStr">
        <is>
          <t>HT20260426</t>
        </is>
      </c>
      <c r="E354" s="21">
        <f>IFERROR(INDEX(原始数据!$E$3:$E$1002,MATCH(1,INDEX((原始数据!$D$3:$D$1002="HT20260426")*(原始数据!$E$3:$E$1002&lt;&gt;""),0),0)),"")</f>
        <v>20260513</v>
      </c>
      <c r="F354" s="22">
        <f>SUMIFS(原始数据!$F$3:$F$1002,原始数据!$D$3:$D$1002,"HT20260426")</f>
        <v>191.515</v>
      </c>
      <c r="G354" s="22">
        <f>SUMIFS(原始数据!$H$3:$H$1002,原始数据!$D$3:$D$1002,"HT20260426")</f>
        <v>50.843</v>
      </c>
      <c r="H354" s="22">
        <f>SUMIFS(原始数据!$I$3:$I$1002,原始数据!$D$3:$D$1002,"HT20260426")</f>
        <v>140.672</v>
      </c>
      <c r="I354" s="22">
        <f>SUMIFS(原始数据!$J$3:$J$1002,原始数据!$D$3:$D$1002,"HT20260426")</f>
        <v>79.958</v>
      </c>
      <c r="J354" s="22">
        <f>SUMIFS(原始数据!$K$3:$K$1002,原始数据!$D$3:$D$1002,"HT20260426")</f>
        <v>60.714</v>
      </c>
      <c r="K354" s="19" t="str">
        <f>IFERROR(INDEX(原始数据!$L$3:$L$1002,MATCH(1,INDEX((原始数据!$D$3:$D$1002="HT20260426")*(原始数据!$L$3:$L$1002&lt;&gt;""),0),0)),"")</f>
        <v>六部</v>
      </c>
      <c r="L354" s="20" t="str">
        <f>IFERROR(INDEX(原始数据!$M$3:$M$1002,MATCH(1,INDEX((原始数据!$D$3:$D$1002="HT20260426")*(原始数据!$M$3:$M$1002&lt;&gt;""),0),0)),"")</f>
        <v>冯倩</v>
      </c>
      <c r="M354" s="19" t="str">
        <f>IFERROR(INDEX(原始数据!$N$3:$N$1002,MATCH(1,INDEX((原始数据!$D$3:$D$1002="HT20260426")*(原始数据!$N$3:$N$1002&lt;&gt;""),0),0)),"")</f>
        <v>2-3年</v>
      </c>
      <c r="N354" s="19" t="inlineStr"/>
    </row>
    <row r="355">
      <c r="A355" s="13">
        <f>ROW()-2</f>
        <v>353</v>
      </c>
      <c r="B355" s="14" t="str">
        <f>IFERROR(INDEX(原始数据!$B$3:$B$1002,MATCH(1,INDEX((原始数据!$D$3:$D$1002="HT20260427")*(原始数据!$B$3:$B$1002&lt;&gt;""),0),0)),"")</f>
        <v>东北-黑龙江</v>
      </c>
      <c r="C355" s="14" t="str">
        <f>IFERROR(INDEX(原始数据!$C$3:$C$1002,MATCH(1,INDEX((原始数据!$D$3:$D$1002="HT20260427")*(原始数据!$C$3:$C$1002&lt;&gt;""),0),0)),"")</f>
        <v>事业单位</v>
      </c>
      <c r="D355" s="15" t="inlineStr">
        <is>
          <t>HT20260427</t>
        </is>
      </c>
      <c r="E355" s="16">
        <f>IFERROR(INDEX(原始数据!$E$3:$E$1002,MATCH(1,INDEX((原始数据!$D$3:$D$1002="HT20260427")*(原始数据!$E$3:$E$1002&lt;&gt;""),0),0)),"")</f>
        <v>20260603</v>
      </c>
      <c r="F355" s="17">
        <f>SUMIFS(原始数据!$F$3:$F$1002,原始数据!$D$3:$D$1002,"HT20260427")</f>
        <v>1661.861</v>
      </c>
      <c r="G355" s="17">
        <f>SUMIFS(原始数据!$H$3:$H$1002,原始数据!$D$3:$D$1002,"HT20260427")</f>
        <v>625.6869999999999</v>
      </c>
      <c r="H355" s="17">
        <f>SUMIFS(原始数据!$I$3:$I$1002,原始数据!$D$3:$D$1002,"HT20260427")</f>
        <v>1036.1740000000002</v>
      </c>
      <c r="I355" s="17">
        <f>SUMIFS(原始数据!$J$3:$J$1002,原始数据!$D$3:$D$1002,"HT20260427")</f>
        <v>581.365</v>
      </c>
      <c r="J355" s="17">
        <f>SUMIFS(原始数据!$K$3:$K$1002,原始数据!$D$3:$D$1002,"HT20260427")</f>
        <v>454.80899999999997</v>
      </c>
      <c r="K355" s="14" t="str">
        <f>IFERROR(INDEX(原始数据!$L$3:$L$1002,MATCH(1,INDEX((原始数据!$D$3:$D$1002="HT20260427")*(原始数据!$L$3:$L$1002&lt;&gt;""),0),0)),"")</f>
        <v>三部</v>
      </c>
      <c r="L355" s="15" t="str">
        <f>IFERROR(INDEX(原始数据!$M$3:$M$1002,MATCH(1,INDEX((原始数据!$D$3:$D$1002="HT20260427")*(原始数据!$M$3:$M$1002&lt;&gt;""),0),0)),"")</f>
        <v>胡蓉</v>
      </c>
      <c r="M355" s="14" t="str">
        <f>IFERROR(INDEX(原始数据!$N$3:$N$1002,MATCH(1,INDEX((原始数据!$D$3:$D$1002="HT20260427")*(原始数据!$N$3:$N$1002&lt;&gt;""),0),0)),"")</f>
        <v>2-3年</v>
      </c>
      <c r="N355" s="14" t="inlineStr"/>
    </row>
    <row r="356">
      <c r="A356" s="18">
        <f>ROW()-2</f>
        <v>354</v>
      </c>
      <c r="B356" s="19" t="str">
        <f>IFERROR(INDEX(原始数据!$B$3:$B$1002,MATCH(1,INDEX((原始数据!$D$3:$D$1002="HT20260428")*(原始数据!$B$3:$B$1002&lt;&gt;""),0),0)),"")</f>
        <v>华东-江西</v>
      </c>
      <c r="C356" s="19" t="str">
        <f>IFERROR(INDEX(原始数据!$C$3:$C$1002,MATCH(1,INDEX((原始数据!$D$3:$D$1002="HT20260428")*(原始数据!$C$3:$C$1002&lt;&gt;""),0),0)),"")</f>
        <v>监察司法机关</v>
      </c>
      <c r="D356" s="20" t="inlineStr">
        <is>
          <t>HT20260428</t>
        </is>
      </c>
      <c r="E356" s="21">
        <f>IFERROR(INDEX(原始数据!$E$3:$E$1002,MATCH(1,INDEX((原始数据!$D$3:$D$1002="HT20260428")*(原始数据!$E$3:$E$1002&lt;&gt;""),0),0)),"")</f>
        <v>20260418</v>
      </c>
      <c r="F356" s="22">
        <f>SUMIFS(原始数据!$F$3:$F$1002,原始数据!$D$3:$D$1002,"HT20260428")</f>
        <v>6548.733</v>
      </c>
      <c r="G356" s="22">
        <f>SUMIFS(原始数据!$H$3:$H$1002,原始数据!$D$3:$D$1002,"HT20260428")</f>
        <v>2863.046</v>
      </c>
      <c r="H356" s="22">
        <f>SUMIFS(原始数据!$I$3:$I$1002,原始数据!$D$3:$D$1002,"HT20260428")</f>
        <v>3685.687</v>
      </c>
      <c r="I356" s="22">
        <f>SUMIFS(原始数据!$J$3:$J$1002,原始数据!$D$3:$D$1002,"HT20260428")</f>
        <v>2132.542</v>
      </c>
      <c r="J356" s="22">
        <f>SUMIFS(原始数据!$K$3:$K$1002,原始数据!$D$3:$D$1002,"HT20260428")</f>
        <v>1553.145</v>
      </c>
      <c r="K356" s="19" t="str">
        <f>IFERROR(INDEX(原始数据!$L$3:$L$1002,MATCH(1,INDEX((原始数据!$D$3:$D$1002="HT20260428")*(原始数据!$L$3:$L$1002&lt;&gt;""),0),0)),"")</f>
        <v>十部</v>
      </c>
      <c r="L356" s="20" t="str">
        <f>IFERROR(INDEX(原始数据!$M$3:$M$1002,MATCH(1,INDEX((原始数据!$D$3:$D$1002="HT20260428")*(原始数据!$M$3:$M$1002&lt;&gt;""),0),0)),"")</f>
        <v>侯敏</v>
      </c>
      <c r="M356" s="19" t="str">
        <f>IFERROR(INDEX(原始数据!$N$3:$N$1002,MATCH(1,INDEX((原始数据!$D$3:$D$1002="HT20260428")*(原始数据!$N$3:$N$1002&lt;&gt;""),0),0)),"")</f>
        <v>1年以内</v>
      </c>
      <c r="N356" s="19" t="inlineStr"/>
    </row>
    <row r="357">
      <c r="A357" s="13">
        <f>ROW()-2</f>
        <v>355</v>
      </c>
      <c r="B357" s="14" t="str">
        <f>IFERROR(INDEX(原始数据!$B$3:$B$1002,MATCH(1,INDEX((原始数据!$D$3:$D$1002="HT20260429")*(原始数据!$B$3:$B$1002&lt;&gt;""),0),0)),"")</f>
        <v>华中-湖南</v>
      </c>
      <c r="C357" s="14" t="str">
        <f>IFERROR(INDEX(原始数据!$C$3:$C$1002,MATCH(1,INDEX((原始数据!$D$3:$D$1002="HT20260429")*(原始数据!$C$3:$C$1002&lt;&gt;""),0),0)),"")</f>
        <v>政府机关</v>
      </c>
      <c r="D357" s="15" t="inlineStr">
        <is>
          <t>HT20260429</t>
        </is>
      </c>
      <c r="E357" s="16">
        <f>IFERROR(INDEX(原始数据!$E$3:$E$1002,MATCH(1,INDEX((原始数据!$D$3:$D$1002="HT20260429")*(原始数据!$E$3:$E$1002&lt;&gt;""),0),0)),"")</f>
        <v>20260616</v>
      </c>
      <c r="F357" s="17">
        <f>SUMIFS(原始数据!$F$3:$F$1002,原始数据!$D$3:$D$1002,"HT20260429")</f>
        <v>919.097</v>
      </c>
      <c r="G357" s="17">
        <f>SUMIFS(原始数据!$H$3:$H$1002,原始数据!$D$3:$D$1002,"HT20260429")</f>
        <v>755.221</v>
      </c>
      <c r="H357" s="17">
        <f>SUMIFS(原始数据!$I$3:$I$1002,原始数据!$D$3:$D$1002,"HT20260429")</f>
        <v>163.87599999999998</v>
      </c>
      <c r="I357" s="17">
        <f>SUMIFS(原始数据!$J$3:$J$1002,原始数据!$D$3:$D$1002,"HT20260429")</f>
        <v>75.316</v>
      </c>
      <c r="J357" s="17">
        <f>SUMIFS(原始数据!$K$3:$K$1002,原始数据!$D$3:$D$1002,"HT20260429")</f>
        <v>88.56</v>
      </c>
      <c r="K357" s="14" t="str">
        <f>IFERROR(INDEX(原始数据!$L$3:$L$1002,MATCH(1,INDEX((原始数据!$D$3:$D$1002="HT20260429")*(原始数据!$L$3:$L$1002&lt;&gt;""),0),0)),"")</f>
        <v>一部</v>
      </c>
      <c r="L357" s="15" t="str">
        <f>IFERROR(INDEX(原始数据!$M$3:$M$1002,MATCH(1,INDEX((原始数据!$D$3:$D$1002="HT20260429")*(原始数据!$M$3:$M$1002&lt;&gt;""),0),0)),"")</f>
        <v>刘洋</v>
      </c>
      <c r="M357" s="14" t="str">
        <f>IFERROR(INDEX(原始数据!$N$3:$N$1002,MATCH(1,INDEX((原始数据!$D$3:$D$1002="HT20260429")*(原始数据!$N$3:$N$1002&lt;&gt;""),0),0)),"")</f>
        <v>1-2年</v>
      </c>
      <c r="N357" s="14" t="inlineStr"/>
    </row>
    <row r="358">
      <c r="A358" s="18">
        <f>ROW()-2</f>
        <v>356</v>
      </c>
      <c r="B358" s="19" t="str">
        <f>IFERROR(INDEX(原始数据!$B$3:$B$1002,MATCH(1,INDEX((原始数据!$D$3:$D$1002="HT20260430")*(原始数据!$B$3:$B$1002&lt;&gt;""),0),0)),"")</f>
        <v>西北-新疆</v>
      </c>
      <c r="C358" s="19" t="str">
        <f>IFERROR(INDEX(原始数据!$C$3:$C$1002,MATCH(1,INDEX((原始数据!$D$3:$D$1002="HT20260430")*(原始数据!$C$3:$C$1002&lt;&gt;""),0),0)),"")</f>
        <v>政府机关</v>
      </c>
      <c r="D358" s="20" t="inlineStr">
        <is>
          <t>HT20260430</t>
        </is>
      </c>
      <c r="E358" s="21">
        <f>IFERROR(INDEX(原始数据!$E$3:$E$1002,MATCH(1,INDEX((原始数据!$D$3:$D$1002="HT20260430")*(原始数据!$E$3:$E$1002&lt;&gt;""),0),0)),"")</f>
        <v>20260527</v>
      </c>
      <c r="F358" s="22">
        <f>SUMIFS(原始数据!$F$3:$F$1002,原始数据!$D$3:$D$1002,"HT20260430")</f>
        <v>5014.925</v>
      </c>
      <c r="G358" s="22">
        <f>SUMIFS(原始数据!$H$3:$H$1002,原始数据!$D$3:$D$1002,"HT20260430")</f>
        <v>2593.818</v>
      </c>
      <c r="H358" s="22">
        <f>SUMIFS(原始数据!$I$3:$I$1002,原始数据!$D$3:$D$1002,"HT20260430")</f>
        <v>2421.107</v>
      </c>
      <c r="I358" s="22">
        <f>SUMIFS(原始数据!$J$3:$J$1002,原始数据!$D$3:$D$1002,"HT20260430")</f>
        <v>2034.421</v>
      </c>
      <c r="J358" s="22">
        <f>SUMIFS(原始数据!$K$3:$K$1002,原始数据!$D$3:$D$1002,"HT20260430")</f>
        <v>386.686</v>
      </c>
      <c r="K358" s="19" t="str">
        <f>IFERROR(INDEX(原始数据!$L$3:$L$1002,MATCH(1,INDEX((原始数据!$D$3:$D$1002="HT20260430")*(原始数据!$L$3:$L$1002&lt;&gt;""),0),0)),"")</f>
        <v>一部</v>
      </c>
      <c r="L358" s="20" t="str">
        <f>IFERROR(INDEX(原始数据!$M$3:$M$1002,MATCH(1,INDEX((原始数据!$D$3:$D$1002="HT20260430")*(原始数据!$M$3:$M$1002&lt;&gt;""),0),0)),"")</f>
        <v>张伟</v>
      </c>
      <c r="M358" s="19" t="str">
        <f>IFERROR(INDEX(原始数据!$N$3:$N$1002,MATCH(1,INDEX((原始数据!$D$3:$D$1002="HT20260430")*(原始数据!$N$3:$N$1002&lt;&gt;""),0),0)),"")</f>
        <v>1年以内</v>
      </c>
      <c r="N358" s="19" t="inlineStr"/>
    </row>
    <row r="359">
      <c r="A359" s="13">
        <f>ROW()-2</f>
        <v>357</v>
      </c>
      <c r="B359" s="14" t="str">
        <f>IFERROR(INDEX(原始数据!$B$3:$B$1002,MATCH(1,INDEX((原始数据!$D$3:$D$1002="HT20260501")*(原始数据!$B$3:$B$1002&lt;&gt;""),0),0)),"")</f>
        <v>西北-陕西</v>
      </c>
      <c r="C359" s="14" t="str">
        <f>IFERROR(INDEX(原始数据!$C$3:$C$1002,MATCH(1,INDEX((原始数据!$D$3:$D$1002="HT20260501")*(原始数据!$C$3:$C$1002&lt;&gt;""),0),0)),"")</f>
        <v>基层自治组织</v>
      </c>
      <c r="D359" s="15" t="inlineStr">
        <is>
          <t>HT20260501</t>
        </is>
      </c>
      <c r="E359" s="16">
        <f>IFERROR(INDEX(原始数据!$E$3:$E$1002,MATCH(1,INDEX((原始数据!$D$3:$D$1002="HT20260501")*(原始数据!$E$3:$E$1002&lt;&gt;""),0),0)),"")</f>
        <v>20260318</v>
      </c>
      <c r="F359" s="17">
        <f>SUMIFS(原始数据!$F$3:$F$1002,原始数据!$D$3:$D$1002,"HT20260501")</f>
        <v>1014.1489999999999</v>
      </c>
      <c r="G359" s="17">
        <f>SUMIFS(原始数据!$H$3:$H$1002,原始数据!$D$3:$D$1002,"HT20260501")</f>
        <v>849.2909999999999</v>
      </c>
      <c r="H359" s="17">
        <f>SUMIFS(原始数据!$I$3:$I$1002,原始数据!$D$3:$D$1002,"HT20260501")</f>
        <v>164.858</v>
      </c>
      <c r="I359" s="17">
        <f>SUMIFS(原始数据!$J$3:$J$1002,原始数据!$D$3:$D$1002,"HT20260501")</f>
        <v>127.181</v>
      </c>
      <c r="J359" s="17">
        <f>SUMIFS(原始数据!$K$3:$K$1002,原始数据!$D$3:$D$1002,"HT20260501")</f>
        <v>37.677</v>
      </c>
      <c r="K359" s="14" t="str">
        <f>IFERROR(INDEX(原始数据!$L$3:$L$1002,MATCH(1,INDEX((原始数据!$D$3:$D$1002="HT20260501")*(原始数据!$L$3:$L$1002&lt;&gt;""),0),0)),"")</f>
        <v>四部</v>
      </c>
      <c r="L359" s="15" t="str">
        <f>IFERROR(INDEX(原始数据!$M$3:$M$1002,MATCH(1,INDEX((原始数据!$D$3:$D$1002="HT20260501")*(原始数据!$M$3:$M$1002&lt;&gt;""),0),0)),"")</f>
        <v>罗刚</v>
      </c>
      <c r="M359" s="14" t="str">
        <f>IFERROR(INDEX(原始数据!$N$3:$N$1002,MATCH(1,INDEX((原始数据!$D$3:$D$1002="HT20260501")*(原始数据!$N$3:$N$1002&lt;&gt;""),0),0)),"")</f>
        <v>2-3年</v>
      </c>
      <c r="N359" s="14" t="inlineStr"/>
    </row>
    <row r="360">
      <c r="A360" s="18">
        <f>ROW()-2</f>
        <v>358</v>
      </c>
      <c r="B360" s="19" t="str">
        <f>IFERROR(INDEX(原始数据!$B$3:$B$1002,MATCH(1,INDEX((原始数据!$D$3:$D$1002="HT20260502")*(原始数据!$B$3:$B$1002&lt;&gt;""),0),0)),"")</f>
        <v>华南-海南</v>
      </c>
      <c r="C360" s="19" t="str">
        <f>IFERROR(INDEX(原始数据!$C$3:$C$1002,MATCH(1,INDEX((原始数据!$D$3:$D$1002="HT20260502")*(原始数据!$C$3:$C$1002&lt;&gt;""),0),0)),"")</f>
        <v>党委机关</v>
      </c>
      <c r="D360" s="20" t="inlineStr">
        <is>
          <t>HT20260502</t>
        </is>
      </c>
      <c r="E360" s="21">
        <f>IFERROR(INDEX(原始数据!$E$3:$E$1002,MATCH(1,INDEX((原始数据!$D$3:$D$1002="HT20260502")*(原始数据!$E$3:$E$1002&lt;&gt;""),0),0)),"")</f>
        <v>20260418</v>
      </c>
      <c r="F360" s="22">
        <f>SUMIFS(原始数据!$F$3:$F$1002,原始数据!$D$3:$D$1002,"HT20260502")</f>
        <v>1283.892</v>
      </c>
      <c r="G360" s="22">
        <f>SUMIFS(原始数据!$H$3:$H$1002,原始数据!$D$3:$D$1002,"HT20260502")</f>
        <v>419.269</v>
      </c>
      <c r="H360" s="22">
        <f>SUMIFS(原始数据!$I$3:$I$1002,原始数据!$D$3:$D$1002,"HT20260502")</f>
        <v>864.623</v>
      </c>
      <c r="I360" s="22">
        <f>SUMIFS(原始数据!$J$3:$J$1002,原始数据!$D$3:$D$1002,"HT20260502")</f>
        <v>532.111</v>
      </c>
      <c r="J360" s="22">
        <f>SUMIFS(原始数据!$K$3:$K$1002,原始数据!$D$3:$D$1002,"HT20260502")</f>
        <v>332.512</v>
      </c>
      <c r="K360" s="19" t="str">
        <f>IFERROR(INDEX(原始数据!$L$3:$L$1002,MATCH(1,INDEX((原始数据!$D$3:$D$1002="HT20260502")*(原始数据!$L$3:$L$1002&lt;&gt;""),0),0)),"")</f>
        <v>八部</v>
      </c>
      <c r="L360" s="20" t="str">
        <f>IFERROR(INDEX(原始数据!$M$3:$M$1002,MATCH(1,INDEX((原始数据!$D$3:$D$1002="HT20260502")*(原始数据!$M$3:$M$1002&lt;&gt;""),0),0)),"")</f>
        <v>彭燕</v>
      </c>
      <c r="M360" s="19" t="str">
        <f>IFERROR(INDEX(原始数据!$N$3:$N$1002,MATCH(1,INDEX((原始数据!$D$3:$D$1002="HT20260502")*(原始数据!$N$3:$N$1002&lt;&gt;""),0),0)),"")</f>
        <v>2-3年</v>
      </c>
      <c r="N360" s="19" t="inlineStr"/>
    </row>
    <row r="361">
      <c r="A361" s="13">
        <f>ROW()-2</f>
        <v>359</v>
      </c>
      <c r="B361" s="14" t="str">
        <f>IFERROR(INDEX(原始数据!$B$3:$B$1002,MATCH(1,INDEX((原始数据!$D$3:$D$1002="HT20260503")*(原始数据!$B$3:$B$1002&lt;&gt;""),0),0)),"")</f>
        <v>华东-福建</v>
      </c>
      <c r="C361" s="14" t="str">
        <f>IFERROR(INDEX(原始数据!$C$3:$C$1002,MATCH(1,INDEX((原始数据!$D$3:$D$1002="HT20260503")*(原始数据!$C$3:$C$1002&lt;&gt;""),0),0)),"")</f>
        <v>政府机关</v>
      </c>
      <c r="D361" s="15" t="inlineStr">
        <is>
          <t>HT20260503</t>
        </is>
      </c>
      <c r="E361" s="16">
        <f>IFERROR(INDEX(原始数据!$E$3:$E$1002,MATCH(1,INDEX((原始数据!$D$3:$D$1002="HT20260503")*(原始数据!$E$3:$E$1002&lt;&gt;""),0),0)),"")</f>
        <v>20260629</v>
      </c>
      <c r="F361" s="17">
        <f>SUMIFS(原始数据!$F$3:$F$1002,原始数据!$D$3:$D$1002,"HT20260503")</f>
        <v>570.096</v>
      </c>
      <c r="G361" s="17">
        <f>SUMIFS(原始数据!$H$3:$H$1002,原始数据!$D$3:$D$1002,"HT20260503")</f>
        <v>535.207</v>
      </c>
      <c r="H361" s="17">
        <f>SUMIFS(原始数据!$I$3:$I$1002,原始数据!$D$3:$D$1002,"HT20260503")</f>
        <v>34.888999999999996</v>
      </c>
      <c r="I361" s="17">
        <f>SUMIFS(原始数据!$J$3:$J$1002,原始数据!$D$3:$D$1002,"HT20260503")</f>
        <v>11.749</v>
      </c>
      <c r="J361" s="17">
        <f>SUMIFS(原始数据!$K$3:$K$1002,原始数据!$D$3:$D$1002,"HT20260503")</f>
        <v>23.14</v>
      </c>
      <c r="K361" s="14" t="str">
        <f>IFERROR(INDEX(原始数据!$L$3:$L$1002,MATCH(1,INDEX((原始数据!$D$3:$D$1002="HT20260503")*(原始数据!$L$3:$L$1002&lt;&gt;""),0),0)),"")</f>
        <v>四部</v>
      </c>
      <c r="L361" s="15" t="str">
        <f>IFERROR(INDEX(原始数据!$M$3:$M$1002,MATCH(1,INDEX((原始数据!$D$3:$D$1002="HT20260503")*(原始数据!$M$3:$M$1002&lt;&gt;""),0),0)),"")</f>
        <v>何萍</v>
      </c>
      <c r="M361" s="14" t="str">
        <f>IFERROR(INDEX(原始数据!$N$3:$N$1002,MATCH(1,INDEX((原始数据!$D$3:$D$1002="HT20260503")*(原始数据!$N$3:$N$1002&lt;&gt;""),0),0)),"")</f>
        <v>1年以内</v>
      </c>
      <c r="N361" s="14" t="inlineStr"/>
    </row>
    <row r="362">
      <c r="A362" s="18">
        <f>ROW()-2</f>
        <v>360</v>
      </c>
      <c r="B362" s="19" t="str">
        <f>IFERROR(INDEX(原始数据!$B$3:$B$1002,MATCH(1,INDEX((原始数据!$D$3:$D$1002="HT20260504")*(原始数据!$B$3:$B$1002&lt;&gt;""),0),0)),"")</f>
        <v>华东-安徽</v>
      </c>
      <c r="C362" s="19" t="str">
        <f>IFERROR(INDEX(原始数据!$C$3:$C$1002,MATCH(1,INDEX((原始数据!$D$3:$D$1002="HT20260504")*(原始数据!$C$3:$C$1002&lt;&gt;""),0),0)),"")</f>
        <v>基层自治组织</v>
      </c>
      <c r="D362" s="20" t="inlineStr">
        <is>
          <t>HT20260504</t>
        </is>
      </c>
      <c r="E362" s="21">
        <f>IFERROR(INDEX(原始数据!$E$3:$E$1002,MATCH(1,INDEX((原始数据!$D$3:$D$1002="HT20260504")*(原始数据!$E$3:$E$1002&lt;&gt;""),0),0)),"")</f>
        <v>20260815</v>
      </c>
      <c r="F362" s="22">
        <f>SUMIFS(原始数据!$F$3:$F$1002,原始数据!$D$3:$D$1002,"HT20260504")</f>
        <v>955.848</v>
      </c>
      <c r="G362" s="22">
        <f>SUMIFS(原始数据!$H$3:$H$1002,原始数据!$D$3:$D$1002,"HT20260504")</f>
        <v>355.24</v>
      </c>
      <c r="H362" s="22">
        <f>SUMIFS(原始数据!$I$3:$I$1002,原始数据!$D$3:$D$1002,"HT20260504")</f>
        <v>600.608</v>
      </c>
      <c r="I362" s="22">
        <f>SUMIFS(原始数据!$J$3:$J$1002,原始数据!$D$3:$D$1002,"HT20260504")</f>
        <v>459.88</v>
      </c>
      <c r="J362" s="22">
        <f>SUMIFS(原始数据!$K$3:$K$1002,原始数据!$D$3:$D$1002,"HT20260504")</f>
        <v>140.728</v>
      </c>
      <c r="K362" s="19" t="str">
        <f>IFERROR(INDEX(原始数据!$L$3:$L$1002,MATCH(1,INDEX((原始数据!$D$3:$D$1002="HT20260504")*(原始数据!$L$3:$L$1002&lt;&gt;""),0),0)),"")</f>
        <v>九部</v>
      </c>
      <c r="L362" s="20" t="str">
        <f>IFERROR(INDEX(原始数据!$M$3:$M$1002,MATCH(1,INDEX((原始数据!$D$3:$D$1002="HT20260504")*(原始数据!$M$3:$M$1002&lt;&gt;""),0),0)),"")</f>
        <v>贾静</v>
      </c>
      <c r="M362" s="19" t="str">
        <f>IFERROR(INDEX(原始数据!$N$3:$N$1002,MATCH(1,INDEX((原始数据!$D$3:$D$1002="HT20260504")*(原始数据!$N$3:$N$1002&lt;&gt;""),0),0)),"")</f>
        <v>2-3年</v>
      </c>
      <c r="N362" s="19" t="inlineStr"/>
    </row>
    <row r="363">
      <c r="A363" s="13">
        <f>ROW()-2</f>
        <v>361</v>
      </c>
      <c r="B363" s="14" t="str">
        <f>IFERROR(INDEX(原始数据!$B$3:$B$1002,MATCH(1,INDEX((原始数据!$D$3:$D$1002="HT20260505")*(原始数据!$B$3:$B$1002&lt;&gt;""),0),0)),"")</f>
        <v>华南-广东</v>
      </c>
      <c r="C363" s="14" t="str">
        <f>IFERROR(INDEX(原始数据!$C$3:$C$1002,MATCH(1,INDEX((原始数据!$D$3:$D$1002="HT20260505")*(原始数据!$C$3:$C$1002&lt;&gt;""),0),0)),"")</f>
        <v>人大政协</v>
      </c>
      <c r="D363" s="15" t="inlineStr">
        <is>
          <t>HT20260505</t>
        </is>
      </c>
      <c r="E363" s="16">
        <f>IFERROR(INDEX(原始数据!$E$3:$E$1002,MATCH(1,INDEX((原始数据!$D$3:$D$1002="HT20260505")*(原始数据!$E$3:$E$1002&lt;&gt;""),0),0)),"")</f>
        <v>20260712</v>
      </c>
      <c r="F363" s="17">
        <f>SUMIFS(原始数据!$F$3:$F$1002,原始数据!$D$3:$D$1002,"HT20260505")</f>
        <v>663.691</v>
      </c>
      <c r="G363" s="17">
        <f>SUMIFS(原始数据!$H$3:$H$1002,原始数据!$D$3:$D$1002,"HT20260505")</f>
        <v>196.778</v>
      </c>
      <c r="H363" s="17">
        <f>SUMIFS(原始数据!$I$3:$I$1002,原始数据!$D$3:$D$1002,"HT20260505")</f>
        <v>466.913</v>
      </c>
      <c r="I363" s="17">
        <f>SUMIFS(原始数据!$J$3:$J$1002,原始数据!$D$3:$D$1002,"HT20260505")</f>
        <v>45.182</v>
      </c>
      <c r="J363" s="17">
        <f>SUMIFS(原始数据!$K$3:$K$1002,原始数据!$D$3:$D$1002,"HT20260505")</f>
        <v>421.731</v>
      </c>
      <c r="K363" s="14" t="str">
        <f>IFERROR(INDEX(原始数据!$L$3:$L$1002,MATCH(1,INDEX((原始数据!$D$3:$D$1002="HT20260505")*(原始数据!$L$3:$L$1002&lt;&gt;""),0),0)),"")</f>
        <v>一部</v>
      </c>
      <c r="L363" s="15" t="str">
        <f>IFERROR(INDEX(原始数据!$M$3:$M$1002,MATCH(1,INDEX((原始数据!$D$3:$D$1002="HT20260505")*(原始数据!$M$3:$M$1002&lt;&gt;""),0),0)),"")</f>
        <v>王芳</v>
      </c>
      <c r="M363" s="14" t="str">
        <f>IFERROR(INDEX(原始数据!$N$3:$N$1002,MATCH(1,INDEX((原始数据!$D$3:$D$1002="HT20260505")*(原始数据!$N$3:$N$1002&lt;&gt;""),0),0)),"")</f>
        <v>1-2年</v>
      </c>
      <c r="N363" s="14" t="inlineStr"/>
    </row>
    <row r="364">
      <c r="A364" s="18">
        <f>ROW()-2</f>
        <v>362</v>
      </c>
      <c r="B364" s="19" t="str">
        <f>IFERROR(INDEX(原始数据!$B$3:$B$1002,MATCH(1,INDEX((原始数据!$D$3:$D$1002="HT20260506")*(原始数据!$B$3:$B$1002&lt;&gt;""),0),0)),"")</f>
        <v>华北-河北</v>
      </c>
      <c r="C364" s="19" t="str">
        <f>IFERROR(INDEX(原始数据!$C$3:$C$1002,MATCH(1,INDEX((原始数据!$D$3:$D$1002="HT20260506")*(原始数据!$C$3:$C$1002&lt;&gt;""),0),0)),"")</f>
        <v>事业单位</v>
      </c>
      <c r="D364" s="20" t="inlineStr">
        <is>
          <t>HT20260506</t>
        </is>
      </c>
      <c r="E364" s="21">
        <f>IFERROR(INDEX(原始数据!$E$3:$E$1002,MATCH(1,INDEX((原始数据!$D$3:$D$1002="HT20260506")*(原始数据!$E$3:$E$1002&lt;&gt;""),0),0)),"")</f>
        <v>20260904</v>
      </c>
      <c r="F364" s="22">
        <f>SUMIFS(原始数据!$F$3:$F$1002,原始数据!$D$3:$D$1002,"HT20260506")</f>
        <v>1138.733</v>
      </c>
      <c r="G364" s="22">
        <f>SUMIFS(原始数据!$H$3:$H$1002,原始数据!$D$3:$D$1002,"HT20260506")</f>
        <v>330.435</v>
      </c>
      <c r="H364" s="22">
        <f>SUMIFS(原始数据!$I$3:$I$1002,原始数据!$D$3:$D$1002,"HT20260506")</f>
        <v>808.2980000000001</v>
      </c>
      <c r="I364" s="22">
        <f>SUMIFS(原始数据!$J$3:$J$1002,原始数据!$D$3:$D$1002,"HT20260506")</f>
        <v>380.576</v>
      </c>
      <c r="J364" s="22">
        <f>SUMIFS(原始数据!$K$3:$K$1002,原始数据!$D$3:$D$1002,"HT20260506")</f>
        <v>427.722</v>
      </c>
      <c r="K364" s="19" t="str">
        <f>IFERROR(INDEX(原始数据!$L$3:$L$1002,MATCH(1,INDEX((原始数据!$D$3:$D$1002="HT20260506")*(原始数据!$L$3:$L$1002&lt;&gt;""),0),0)),"")</f>
        <v>十部</v>
      </c>
      <c r="L364" s="20" t="str">
        <f>IFERROR(INDEX(原始数据!$M$3:$M$1002,MATCH(1,INDEX((原始数据!$D$3:$D$1002="HT20260506")*(原始数据!$M$3:$M$1002&lt;&gt;""),0),0)),"")</f>
        <v>侯敏</v>
      </c>
      <c r="M364" s="19" t="str">
        <f>IFERROR(INDEX(原始数据!$N$3:$N$1002,MATCH(1,INDEX((原始数据!$D$3:$D$1002="HT20260506")*(原始数据!$N$3:$N$1002&lt;&gt;""),0),0)),"")</f>
        <v>2-3年</v>
      </c>
      <c r="N364" s="19" t="inlineStr"/>
    </row>
    <row r="365">
      <c r="A365" s="13">
        <f>ROW()-2</f>
        <v>363</v>
      </c>
      <c r="B365" s="14" t="str">
        <f>IFERROR(INDEX(原始数据!$B$3:$B$1002,MATCH(1,INDEX((原始数据!$D$3:$D$1002="HT20260508")*(原始数据!$B$3:$B$1002&lt;&gt;""),0),0)),"")</f>
        <v>华中-湖北</v>
      </c>
      <c r="C365" s="14" t="str">
        <f>IFERROR(INDEX(原始数据!$C$3:$C$1002,MATCH(1,INDEX((原始数据!$D$3:$D$1002="HT20260508")*(原始数据!$C$3:$C$1002&lt;&gt;""),0),0)),"")</f>
        <v>事业单位</v>
      </c>
      <c r="D365" s="15" t="inlineStr">
        <is>
          <t>HT20260508</t>
        </is>
      </c>
      <c r="E365" s="16">
        <f>IFERROR(INDEX(原始数据!$E$3:$E$1002,MATCH(1,INDEX((原始数据!$D$3:$D$1002="HT20260508")*(原始数据!$E$3:$E$1002&lt;&gt;""),0),0)),"")</f>
        <v>20260427</v>
      </c>
      <c r="F365" s="17">
        <f>SUMIFS(原始数据!$F$3:$F$1002,原始数据!$D$3:$D$1002,"HT20260508")</f>
        <v>675.319</v>
      </c>
      <c r="G365" s="17">
        <f>SUMIFS(原始数据!$H$3:$H$1002,原始数据!$D$3:$D$1002,"HT20260508")</f>
        <v>440.791</v>
      </c>
      <c r="H365" s="17">
        <f>SUMIFS(原始数据!$I$3:$I$1002,原始数据!$D$3:$D$1002,"HT20260508")</f>
        <v>234.528</v>
      </c>
      <c r="I365" s="17">
        <f>SUMIFS(原始数据!$J$3:$J$1002,原始数据!$D$3:$D$1002,"HT20260508")</f>
        <v>28.877</v>
      </c>
      <c r="J365" s="17">
        <f>SUMIFS(原始数据!$K$3:$K$1002,原始数据!$D$3:$D$1002,"HT20260508")</f>
        <v>205.651</v>
      </c>
      <c r="K365" s="14" t="str">
        <f>IFERROR(INDEX(原始数据!$L$3:$L$1002,MATCH(1,INDEX((原始数据!$D$3:$D$1002="HT20260508")*(原始数据!$L$3:$L$1002&lt;&gt;""),0),0)),"")</f>
        <v>五部</v>
      </c>
      <c r="L365" s="15" t="str">
        <f>IFERROR(INDEX(原始数据!$M$3:$M$1002,MATCH(1,INDEX((原始数据!$D$3:$D$1002="HT20260508")*(原始数据!$M$3:$M$1002&lt;&gt;""),0),0)),"")</f>
        <v>韩梅</v>
      </c>
      <c r="M365" s="14" t="str">
        <f>IFERROR(INDEX(原始数据!$N$3:$N$1002,MATCH(1,INDEX((原始数据!$D$3:$D$1002="HT20260508")*(原始数据!$N$3:$N$1002&lt;&gt;""),0),0)),"")</f>
        <v>2-3年</v>
      </c>
      <c r="N365" s="14" t="inlineStr"/>
    </row>
    <row r="366">
      <c r="A366" s="18">
        <f>ROW()-2</f>
        <v>364</v>
      </c>
      <c r="B366" s="19" t="str">
        <f>IFERROR(INDEX(原始数据!$B$3:$B$1002,MATCH(1,INDEX((原始数据!$D$3:$D$1002="HT20260509")*(原始数据!$B$3:$B$1002&lt;&gt;""),0),0)),"")</f>
        <v>华南-海南</v>
      </c>
      <c r="C366" s="19" t="str">
        <f>IFERROR(INDEX(原始数据!$C$3:$C$1002,MATCH(1,INDEX((原始数据!$D$3:$D$1002="HT20260509")*(原始数据!$C$3:$C$1002&lt;&gt;""),0),0)),"")</f>
        <v>基层自治组织</v>
      </c>
      <c r="D366" s="20" t="inlineStr">
        <is>
          <t>HT20260509</t>
        </is>
      </c>
      <c r="E366" s="21">
        <f>IFERROR(INDEX(原始数据!$E$3:$E$1002,MATCH(1,INDEX((原始数据!$D$3:$D$1002="HT20260509")*(原始数据!$E$3:$E$1002&lt;&gt;""),0),0)),"")</f>
        <v>20260810</v>
      </c>
      <c r="F366" s="22">
        <f>SUMIFS(原始数据!$F$3:$F$1002,原始数据!$D$3:$D$1002,"HT20260509")</f>
        <v>68.335</v>
      </c>
      <c r="G366" s="22">
        <f>SUMIFS(原始数据!$H$3:$H$1002,原始数据!$D$3:$D$1002,"HT20260509")</f>
        <v>68.275</v>
      </c>
      <c r="H366" s="22">
        <f>SUMIFS(原始数据!$I$3:$I$1002,原始数据!$D$3:$D$1002,"HT20260509")</f>
        <v>0.06</v>
      </c>
      <c r="I366" s="22">
        <f>SUMIFS(原始数据!$J$3:$J$1002,原始数据!$D$3:$D$1002,"HT20260509")</f>
        <v>0.025</v>
      </c>
      <c r="J366" s="22">
        <f>SUMIFS(原始数据!$K$3:$K$1002,原始数据!$D$3:$D$1002,"HT20260509")</f>
        <v>0.035</v>
      </c>
      <c r="K366" s="19" t="str">
        <f>IFERROR(INDEX(原始数据!$L$3:$L$1002,MATCH(1,INDEX((原始数据!$D$3:$D$1002="HT20260509")*(原始数据!$L$3:$L$1002&lt;&gt;""),0),0)),"")</f>
        <v>五部</v>
      </c>
      <c r="L366" s="20" t="str">
        <f>IFERROR(INDEX(原始数据!$M$3:$M$1002,MATCH(1,INDEX((原始数据!$D$3:$D$1002="HT20260509")*(原始数据!$M$3:$M$1002&lt;&gt;""),0),0)),"")</f>
        <v>梁雪</v>
      </c>
      <c r="M366" s="19" t="str">
        <f>IFERROR(INDEX(原始数据!$N$3:$N$1002,MATCH(1,INDEX((原始数据!$D$3:$D$1002="HT20260509")*(原始数据!$N$3:$N$1002&lt;&gt;""),0),0)),"")</f>
        <v>2-3年</v>
      </c>
      <c r="N366" s="19" t="inlineStr"/>
    </row>
    <row r="367">
      <c r="A367" s="13">
        <f>ROW()-2</f>
        <v>365</v>
      </c>
      <c r="B367" s="14" t="str">
        <f>IFERROR(INDEX(原始数据!$B$3:$B$1002,MATCH(1,INDEX((原始数据!$D$3:$D$1002="HT20260512")*(原始数据!$B$3:$B$1002&lt;&gt;""),0),0)),"")</f>
        <v>华东-江苏</v>
      </c>
      <c r="C367" s="14" t="str">
        <f>IFERROR(INDEX(原始数据!$C$3:$C$1002,MATCH(1,INDEX((原始数据!$D$3:$D$1002="HT20260512")*(原始数据!$C$3:$C$1002&lt;&gt;""),0),0)),"")</f>
        <v>人大政协</v>
      </c>
      <c r="D367" s="15" t="inlineStr">
        <is>
          <t>HT20260512</t>
        </is>
      </c>
      <c r="E367" s="16">
        <f>IFERROR(INDEX(原始数据!$E$3:$E$1002,MATCH(1,INDEX((原始数据!$D$3:$D$1002="HT20260512")*(原始数据!$E$3:$E$1002&lt;&gt;""),0),0)),"")</f>
        <v>20260425</v>
      </c>
      <c r="F367" s="17">
        <f>SUMIFS(原始数据!$F$3:$F$1002,原始数据!$D$3:$D$1002,"HT20260512")</f>
        <v>404.281</v>
      </c>
      <c r="G367" s="17">
        <f>SUMIFS(原始数据!$H$3:$H$1002,原始数据!$D$3:$D$1002,"HT20260512")</f>
        <v>154.933</v>
      </c>
      <c r="H367" s="17">
        <f>SUMIFS(原始数据!$I$3:$I$1002,原始数据!$D$3:$D$1002,"HT20260512")</f>
        <v>249.348</v>
      </c>
      <c r="I367" s="17">
        <f>SUMIFS(原始数据!$J$3:$J$1002,原始数据!$D$3:$D$1002,"HT20260512")</f>
        <v>31.976</v>
      </c>
      <c r="J367" s="17">
        <f>SUMIFS(原始数据!$K$3:$K$1002,原始数据!$D$3:$D$1002,"HT20260512")</f>
        <v>217.372</v>
      </c>
      <c r="K367" s="14" t="str">
        <f>IFERROR(INDEX(原始数据!$L$3:$L$1002,MATCH(1,INDEX((原始数据!$D$3:$D$1002="HT20260512")*(原始数据!$L$3:$L$1002&lt;&gt;""),0),0)),"")</f>
        <v>五部</v>
      </c>
      <c r="L367" s="15" t="str">
        <f>IFERROR(INDEX(原始数据!$M$3:$M$1002,MATCH(1,INDEX((原始数据!$D$3:$D$1002="HT20260512")*(原始数据!$M$3:$M$1002&lt;&gt;""),0),0)),"")</f>
        <v>韩梅</v>
      </c>
      <c r="M367" s="14" t="str">
        <f>IFERROR(INDEX(原始数据!$N$3:$N$1002,MATCH(1,INDEX((原始数据!$D$3:$D$1002="HT20260512")*(原始数据!$N$3:$N$1002&lt;&gt;""),0),0)),"")</f>
        <v>2-3年</v>
      </c>
      <c r="N367" s="14" t="inlineStr"/>
    </row>
    <row r="368">
      <c r="A368" s="18">
        <f>ROW()-2</f>
        <v>366</v>
      </c>
      <c r="B368" s="19" t="str">
        <f>IFERROR(INDEX(原始数据!$B$3:$B$1002,MATCH(1,INDEX((原始数据!$D$3:$D$1002="HT20260513")*(原始数据!$B$3:$B$1002&lt;&gt;""),0),0)),"")</f>
        <v>西南-西藏</v>
      </c>
      <c r="C368" s="19" t="str">
        <f>IFERROR(INDEX(原始数据!$C$3:$C$1002,MATCH(1,INDEX((原始数据!$D$3:$D$1002="HT20260513")*(原始数据!$C$3:$C$1002&lt;&gt;""),0),0)),"")</f>
        <v>事业单位</v>
      </c>
      <c r="D368" s="20" t="inlineStr">
        <is>
          <t>HT20260513</t>
        </is>
      </c>
      <c r="E368" s="21">
        <f>IFERROR(INDEX(原始数据!$E$3:$E$1002,MATCH(1,INDEX((原始数据!$D$3:$D$1002="HT20260513")*(原始数据!$E$3:$E$1002&lt;&gt;""),0),0)),"")</f>
        <v>20260610</v>
      </c>
      <c r="F368" s="22">
        <f>SUMIFS(原始数据!$F$3:$F$1002,原始数据!$D$3:$D$1002,"HT20260513")</f>
        <v>720.763</v>
      </c>
      <c r="G368" s="22">
        <f>SUMIFS(原始数据!$H$3:$H$1002,原始数据!$D$3:$D$1002,"HT20260513")</f>
        <v>594.044</v>
      </c>
      <c r="H368" s="22">
        <f>SUMIFS(原始数据!$I$3:$I$1002,原始数据!$D$3:$D$1002,"HT20260513")</f>
        <v>126.719</v>
      </c>
      <c r="I368" s="22">
        <f>SUMIFS(原始数据!$J$3:$J$1002,原始数据!$D$3:$D$1002,"HT20260513")</f>
        <v>49.647</v>
      </c>
      <c r="J368" s="22">
        <f>SUMIFS(原始数据!$K$3:$K$1002,原始数据!$D$3:$D$1002,"HT20260513")</f>
        <v>77.072</v>
      </c>
      <c r="K368" s="19" t="str">
        <f>IFERROR(INDEX(原始数据!$L$3:$L$1002,MATCH(1,INDEX((原始数据!$D$3:$D$1002="HT20260513")*(原始数据!$L$3:$L$1002&lt;&gt;""),0),0)),"")</f>
        <v>九部</v>
      </c>
      <c r="L368" s="20" t="str">
        <f>IFERROR(INDEX(原始数据!$M$3:$M$1002,MATCH(1,INDEX((原始数据!$D$3:$D$1002="HT20260513")*(原始数据!$M$3:$M$1002&lt;&gt;""),0),0)),"")</f>
        <v>蔡明</v>
      </c>
      <c r="M368" s="19" t="str">
        <f>IFERROR(INDEX(原始数据!$N$3:$N$1002,MATCH(1,INDEX((原始数据!$D$3:$D$1002="HT20260513")*(原始数据!$N$3:$N$1002&lt;&gt;""),0),0)),"")</f>
        <v>1-2年</v>
      </c>
      <c r="N368" s="19" t="inlineStr"/>
    </row>
    <row r="369">
      <c r="A369" s="13">
        <f>ROW()-2</f>
        <v>367</v>
      </c>
      <c r="B369" s="14" t="str">
        <f>IFERROR(INDEX(原始数据!$B$3:$B$1002,MATCH(1,INDEX((原始数据!$D$3:$D$1002="HT20260514")*(原始数据!$B$3:$B$1002&lt;&gt;""),0),0)),"")</f>
        <v>华东-福建</v>
      </c>
      <c r="C369" s="14" t="str">
        <f>IFERROR(INDEX(原始数据!$C$3:$C$1002,MATCH(1,INDEX((原始数据!$D$3:$D$1002="HT20260514")*(原始数据!$C$3:$C$1002&lt;&gt;""),0),0)),"")</f>
        <v>国有企业</v>
      </c>
      <c r="D369" s="15" t="inlineStr">
        <is>
          <t>HT20260514</t>
        </is>
      </c>
      <c r="E369" s="16">
        <f>IFERROR(INDEX(原始数据!$E$3:$E$1002,MATCH(1,INDEX((原始数据!$D$3:$D$1002="HT20260514")*(原始数据!$E$3:$E$1002&lt;&gt;""),0),0)),"")</f>
        <v>20260511</v>
      </c>
      <c r="F369" s="17">
        <f>SUMIFS(原始数据!$F$3:$F$1002,原始数据!$D$3:$D$1002,"HT20260514")</f>
        <v>5522.476</v>
      </c>
      <c r="G369" s="17">
        <f>SUMIFS(原始数据!$H$3:$H$1002,原始数据!$D$3:$D$1002,"HT20260514")</f>
        <v>200.849</v>
      </c>
      <c r="H369" s="17">
        <f>SUMIFS(原始数据!$I$3:$I$1002,原始数据!$D$3:$D$1002,"HT20260514")</f>
        <v>5321.627</v>
      </c>
      <c r="I369" s="17">
        <f>SUMIFS(原始数据!$J$3:$J$1002,原始数据!$D$3:$D$1002,"HT20260514")</f>
        <v>2199.373</v>
      </c>
      <c r="J369" s="17">
        <f>SUMIFS(原始数据!$K$3:$K$1002,原始数据!$D$3:$D$1002,"HT20260514")</f>
        <v>3122.254</v>
      </c>
      <c r="K369" s="14" t="str">
        <f>IFERROR(INDEX(原始数据!$L$3:$L$1002,MATCH(1,INDEX((原始数据!$D$3:$D$1002="HT20260514")*(原始数据!$L$3:$L$1002&lt;&gt;""),0),0)),"")</f>
        <v>三部</v>
      </c>
      <c r="L369" s="15" t="str">
        <f>IFERROR(INDEX(原始数据!$M$3:$M$1002,MATCH(1,INDEX((原始数据!$D$3:$D$1002="HT20260514")*(原始数据!$M$3:$M$1002&lt;&gt;""),0),0)),"")</f>
        <v>徐涛</v>
      </c>
      <c r="M369" s="14" t="str">
        <f>IFERROR(INDEX(原始数据!$N$3:$N$1002,MATCH(1,INDEX((原始数据!$D$3:$D$1002="HT20260514")*(原始数据!$N$3:$N$1002&lt;&gt;""),0),0)),"")</f>
        <v>1-2年</v>
      </c>
      <c r="N369" s="14" t="inlineStr"/>
    </row>
    <row r="370">
      <c r="A370" s="18">
        <f>ROW()-2</f>
        <v>368</v>
      </c>
      <c r="B370" s="19" t="str">
        <f>IFERROR(INDEX(原始数据!$B$3:$B$1002,MATCH(1,INDEX((原始数据!$D$3:$D$1002="HT20260515")*(原始数据!$B$3:$B$1002&lt;&gt;""),0),0)),"")</f>
        <v>华东-江苏</v>
      </c>
      <c r="C370" s="19" t="str">
        <f>IFERROR(INDEX(原始数据!$C$3:$C$1002,MATCH(1,INDEX((原始数据!$D$3:$D$1002="HT20260515")*(原始数据!$C$3:$C$1002&lt;&gt;""),0),0)),"")</f>
        <v>监察司法机关</v>
      </c>
      <c r="D370" s="20" t="inlineStr">
        <is>
          <t>HT20260515</t>
        </is>
      </c>
      <c r="E370" s="21">
        <f>IFERROR(INDEX(原始数据!$E$3:$E$1002,MATCH(1,INDEX((原始数据!$D$3:$D$1002="HT20260515")*(原始数据!$E$3:$E$1002&lt;&gt;""),0),0)),"")</f>
        <v>20260901</v>
      </c>
      <c r="F370" s="22">
        <f>SUMIFS(原始数据!$F$3:$F$1002,原始数据!$D$3:$D$1002,"HT20260515")</f>
        <v>5847.887000000001</v>
      </c>
      <c r="G370" s="22">
        <f>SUMIFS(原始数据!$H$3:$H$1002,原始数据!$D$3:$D$1002,"HT20260515")</f>
        <v>2816.856</v>
      </c>
      <c r="H370" s="22">
        <f>SUMIFS(原始数据!$I$3:$I$1002,原始数据!$D$3:$D$1002,"HT20260515")</f>
        <v>3031.031</v>
      </c>
      <c r="I370" s="22">
        <f>SUMIFS(原始数据!$J$3:$J$1002,原始数据!$D$3:$D$1002,"HT20260515")</f>
        <v>1898.403</v>
      </c>
      <c r="J370" s="22">
        <f>SUMIFS(原始数据!$K$3:$K$1002,原始数据!$D$3:$D$1002,"HT20260515")</f>
        <v>1132.628</v>
      </c>
      <c r="K370" s="19" t="str">
        <f>IFERROR(INDEX(原始数据!$L$3:$L$1002,MATCH(1,INDEX((原始数据!$D$3:$D$1002="HT20260515")*(原始数据!$L$3:$L$1002&lt;&gt;""),0),0)),"")</f>
        <v>七部</v>
      </c>
      <c r="L370" s="20" t="str">
        <f>IFERROR(INDEX(原始数据!$M$3:$M$1002,MATCH(1,INDEX((原始数据!$D$3:$D$1002="HT20260515")*(原始数据!$M$3:$M$1002&lt;&gt;""),0),0)),"")</f>
        <v>傅蓉</v>
      </c>
      <c r="M370" s="19" t="str">
        <f>IFERROR(INDEX(原始数据!$N$3:$N$1002,MATCH(1,INDEX((原始数据!$D$3:$D$1002="HT20260515")*(原始数据!$N$3:$N$1002&lt;&gt;""),0),0)),"")</f>
        <v>1年以内</v>
      </c>
      <c r="N370" s="19" t="inlineStr"/>
    </row>
    <row r="371">
      <c r="A371" s="13">
        <f>ROW()-2</f>
        <v>369</v>
      </c>
      <c r="B371" s="14" t="str">
        <f>IFERROR(INDEX(原始数据!$B$3:$B$1002,MATCH(1,INDEX((原始数据!$D$3:$D$1002="HT20260516")*(原始数据!$B$3:$B$1002&lt;&gt;""),0),0)),"")</f>
        <v>西北-青海</v>
      </c>
      <c r="C371" s="14" t="str">
        <f>IFERROR(INDEX(原始数据!$C$3:$C$1002,MATCH(1,INDEX((原始数据!$D$3:$D$1002="HT20260516")*(原始数据!$C$3:$C$1002&lt;&gt;""),0),0)),"")</f>
        <v>国有企业</v>
      </c>
      <c r="D371" s="15" t="inlineStr">
        <is>
          <t>HT20260516</t>
        </is>
      </c>
      <c r="E371" s="16">
        <f>IFERROR(INDEX(原始数据!$E$3:$E$1002,MATCH(1,INDEX((原始数据!$D$3:$D$1002="HT20260516")*(原始数据!$E$3:$E$1002&lt;&gt;""),0),0)),"")</f>
        <v>20260821</v>
      </c>
      <c r="F371" s="17">
        <f>SUMIFS(原始数据!$F$3:$F$1002,原始数据!$D$3:$D$1002,"HT20260516")</f>
        <v>2496.407</v>
      </c>
      <c r="G371" s="17">
        <f>SUMIFS(原始数据!$H$3:$H$1002,原始数据!$D$3:$D$1002,"HT20260516")</f>
        <v>1972.292</v>
      </c>
      <c r="H371" s="17">
        <f>SUMIFS(原始数据!$I$3:$I$1002,原始数据!$D$3:$D$1002,"HT20260516")</f>
        <v>524.115</v>
      </c>
      <c r="I371" s="17">
        <f>SUMIFS(原始数据!$J$3:$J$1002,原始数据!$D$3:$D$1002,"HT20260516")</f>
        <v>299.315</v>
      </c>
      <c r="J371" s="17">
        <f>SUMIFS(原始数据!$K$3:$K$1002,原始数据!$D$3:$D$1002,"HT20260516")</f>
        <v>224.8</v>
      </c>
      <c r="K371" s="14" t="str">
        <f>IFERROR(INDEX(原始数据!$L$3:$L$1002,MATCH(1,INDEX((原始数据!$D$3:$D$1002="HT20260516")*(原始数据!$L$3:$L$1002&lt;&gt;""),0),0)),"")</f>
        <v>六部</v>
      </c>
      <c r="L371" s="15" t="str">
        <f>IFERROR(INDEX(原始数据!$M$3:$M$1002,MATCH(1,INDEX((原始数据!$D$3:$D$1002="HT20260516")*(原始数据!$M$3:$M$1002&lt;&gt;""),0),0)),"")</f>
        <v>董辉</v>
      </c>
      <c r="M371" s="14" t="str">
        <f>IFERROR(INDEX(原始数据!$N$3:$N$1002,MATCH(1,INDEX((原始数据!$D$3:$D$1002="HT20260516")*(原始数据!$N$3:$N$1002&lt;&gt;""),0),0)),"")</f>
        <v>2-3年</v>
      </c>
      <c r="N371" s="14" t="inlineStr"/>
    </row>
    <row r="372">
      <c r="A372" s="18">
        <f>ROW()-2</f>
        <v>370</v>
      </c>
      <c r="B372" s="19" t="str">
        <f>IFERROR(INDEX(原始数据!$B$3:$B$1002,MATCH(1,INDEX((原始数据!$D$3:$D$1002="HT20260517")*(原始数据!$B$3:$B$1002&lt;&gt;""),0),0)),"")</f>
        <v>华东-上海</v>
      </c>
      <c r="C372" s="19" t="str">
        <f>IFERROR(INDEX(原始数据!$C$3:$C$1002,MATCH(1,INDEX((原始数据!$D$3:$D$1002="HT20260517")*(原始数据!$C$3:$C$1002&lt;&gt;""),0),0)),"")</f>
        <v>事业单位</v>
      </c>
      <c r="D372" s="20" t="inlineStr">
        <is>
          <t>HT20260517</t>
        </is>
      </c>
      <c r="E372" s="21">
        <f>IFERROR(INDEX(原始数据!$E$3:$E$1002,MATCH(1,INDEX((原始数据!$D$3:$D$1002="HT20260517")*(原始数据!$E$3:$E$1002&lt;&gt;""),0),0)),"")</f>
        <v>20260517</v>
      </c>
      <c r="F372" s="22">
        <f>SUMIFS(原始数据!$F$3:$F$1002,原始数据!$D$3:$D$1002,"HT20260517")</f>
        <v>2517.7470000000003</v>
      </c>
      <c r="G372" s="22">
        <f>SUMIFS(原始数据!$H$3:$H$1002,原始数据!$D$3:$D$1002,"HT20260517")</f>
        <v>1525.1390000000001</v>
      </c>
      <c r="H372" s="22">
        <f>SUMIFS(原始数据!$I$3:$I$1002,原始数据!$D$3:$D$1002,"HT20260517")</f>
        <v>992.608</v>
      </c>
      <c r="I372" s="22">
        <f>SUMIFS(原始数据!$J$3:$J$1002,原始数据!$D$3:$D$1002,"HT20260517")</f>
        <v>802.251</v>
      </c>
      <c r="J372" s="22">
        <f>SUMIFS(原始数据!$K$3:$K$1002,原始数据!$D$3:$D$1002,"HT20260517")</f>
        <v>190.357</v>
      </c>
      <c r="K372" s="19" t="str">
        <f>IFERROR(INDEX(原始数据!$L$3:$L$1002,MATCH(1,INDEX((原始数据!$D$3:$D$1002="HT20260517")*(原始数据!$L$3:$L$1002&lt;&gt;""),0),0)),"")</f>
        <v>三部</v>
      </c>
      <c r="L372" s="20" t="str">
        <f>IFERROR(INDEX(原始数据!$M$3:$M$1002,MATCH(1,INDEX((原始数据!$D$3:$D$1002="HT20260517")*(原始数据!$M$3:$M$1002&lt;&gt;""),0),0)),"")</f>
        <v>孙艳</v>
      </c>
      <c r="M372" s="19" t="str">
        <f>IFERROR(INDEX(原始数据!$N$3:$N$1002,MATCH(1,INDEX((原始数据!$D$3:$D$1002="HT20260517")*(原始数据!$N$3:$N$1002&lt;&gt;""),0),0)),"")</f>
        <v>1年以内</v>
      </c>
      <c r="N372" s="19" t="inlineStr"/>
    </row>
    <row r="373">
      <c r="A373" s="13">
        <f>ROW()-2</f>
        <v>371</v>
      </c>
      <c r="B373" s="14" t="str">
        <f>IFERROR(INDEX(原始数据!$B$3:$B$1002,MATCH(1,INDEX((原始数据!$D$3:$D$1002="HT20260518")*(原始数据!$B$3:$B$1002&lt;&gt;""),0),0)),"")</f>
        <v>华东-上海</v>
      </c>
      <c r="C373" s="14" t="str">
        <f>IFERROR(INDEX(原始数据!$C$3:$C$1002,MATCH(1,INDEX((原始数据!$D$3:$D$1002="HT20260518")*(原始数据!$C$3:$C$1002&lt;&gt;""),0),0)),"")</f>
        <v>党委机关</v>
      </c>
      <c r="D373" s="15" t="inlineStr">
        <is>
          <t>HT20260518</t>
        </is>
      </c>
      <c r="E373" s="16">
        <f>IFERROR(INDEX(原始数据!$E$3:$E$1002,MATCH(1,INDEX((原始数据!$D$3:$D$1002="HT20260518")*(原始数据!$E$3:$E$1002&lt;&gt;""),0),0)),"")</f>
        <v>20260630</v>
      </c>
      <c r="F373" s="17">
        <f>SUMIFS(原始数据!$F$3:$F$1002,原始数据!$D$3:$D$1002,"HT20260518")</f>
        <v>733.9449999999999</v>
      </c>
      <c r="G373" s="17">
        <f>SUMIFS(原始数据!$H$3:$H$1002,原始数据!$D$3:$D$1002,"HT20260518")</f>
        <v>246.918</v>
      </c>
      <c r="H373" s="17">
        <f>SUMIFS(原始数据!$I$3:$I$1002,原始数据!$D$3:$D$1002,"HT20260518")</f>
        <v>487.027</v>
      </c>
      <c r="I373" s="17">
        <f>SUMIFS(原始数据!$J$3:$J$1002,原始数据!$D$3:$D$1002,"HT20260518")</f>
        <v>316.37</v>
      </c>
      <c r="J373" s="17">
        <f>SUMIFS(原始数据!$K$3:$K$1002,原始数据!$D$3:$D$1002,"HT20260518")</f>
        <v>170.657</v>
      </c>
      <c r="K373" s="14" t="str">
        <f>IFERROR(INDEX(原始数据!$L$3:$L$1002,MATCH(1,INDEX((原始数据!$D$3:$D$1002="HT20260518")*(原始数据!$L$3:$L$1002&lt;&gt;""),0),0)),"")</f>
        <v>一部</v>
      </c>
      <c r="L373" s="15" t="str">
        <f>IFERROR(INDEX(原始数据!$M$3:$M$1002,MATCH(1,INDEX((原始数据!$D$3:$D$1002="HT20260518")*(原始数据!$M$3:$M$1002&lt;&gt;""),0),0)),"")</f>
        <v>张伟</v>
      </c>
      <c r="M373" s="14" t="str">
        <f>IFERROR(INDEX(原始数据!$N$3:$N$1002,MATCH(1,INDEX((原始数据!$D$3:$D$1002="HT20260518")*(原始数据!$N$3:$N$1002&lt;&gt;""),0),0)),"")</f>
        <v>1-2年</v>
      </c>
      <c r="N373" s="14" t="inlineStr"/>
    </row>
    <row r="374">
      <c r="A374" s="18">
        <f>ROW()-2</f>
        <v>372</v>
      </c>
      <c r="B374" s="19" t="str">
        <f>IFERROR(INDEX(原始数据!$B$3:$B$1002,MATCH(1,INDEX((原始数据!$D$3:$D$1002="HT20260519")*(原始数据!$B$3:$B$1002&lt;&gt;""),0),0)),"")</f>
        <v>华南-广东</v>
      </c>
      <c r="C374" s="19" t="str">
        <f>IFERROR(INDEX(原始数据!$C$3:$C$1002,MATCH(1,INDEX((原始数据!$D$3:$D$1002="HT20260519")*(原始数据!$C$3:$C$1002&lt;&gt;""),0),0)),"")</f>
        <v>事业单位</v>
      </c>
      <c r="D374" s="20" t="inlineStr">
        <is>
          <t>HT20260519</t>
        </is>
      </c>
      <c r="E374" s="21">
        <f>IFERROR(INDEX(原始数据!$E$3:$E$1002,MATCH(1,INDEX((原始数据!$D$3:$D$1002="HT20260519")*(原始数据!$E$3:$E$1002&lt;&gt;""),0),0)),"")</f>
        <v>20260716</v>
      </c>
      <c r="F374" s="22">
        <f>SUMIFS(原始数据!$F$3:$F$1002,原始数据!$D$3:$D$1002,"HT20260519")</f>
        <v>497.78000000000003</v>
      </c>
      <c r="G374" s="22">
        <f>SUMIFS(原始数据!$H$3:$H$1002,原始数据!$D$3:$D$1002,"HT20260519")</f>
        <v>136.31</v>
      </c>
      <c r="H374" s="22">
        <f>SUMIFS(原始数据!$I$3:$I$1002,原始数据!$D$3:$D$1002,"HT20260519")</f>
        <v>361.46999999999997</v>
      </c>
      <c r="I374" s="22">
        <f>SUMIFS(原始数据!$J$3:$J$1002,原始数据!$D$3:$D$1002,"HT20260519")</f>
        <v>94.39999999999999</v>
      </c>
      <c r="J374" s="22">
        <f>SUMIFS(原始数据!$K$3:$K$1002,原始数据!$D$3:$D$1002,"HT20260519")</f>
        <v>267.07</v>
      </c>
      <c r="K374" s="19" t="str">
        <f>IFERROR(INDEX(原始数据!$L$3:$L$1002,MATCH(1,INDEX((原始数据!$D$3:$D$1002="HT20260519")*(原始数据!$L$3:$L$1002&lt;&gt;""),0),0)),"")</f>
        <v>八部</v>
      </c>
      <c r="L374" s="20" t="str">
        <f>IFERROR(INDEX(原始数据!$M$3:$M$1002,MATCH(1,INDEX((原始数据!$D$3:$D$1002="HT20260519")*(原始数据!$M$3:$M$1002&lt;&gt;""),0),0)),"")</f>
        <v>卢俊</v>
      </c>
      <c r="M374" s="19" t="str">
        <f>IFERROR(INDEX(原始数据!$N$3:$N$1002,MATCH(1,INDEX((原始数据!$D$3:$D$1002="HT20260519")*(原始数据!$N$3:$N$1002&lt;&gt;""),0),0)),"")</f>
        <v>1-2年</v>
      </c>
      <c r="N374" s="19" t="inlineStr"/>
    </row>
    <row r="375">
      <c r="A375" s="13">
        <f>ROW()-2</f>
        <v>373</v>
      </c>
      <c r="B375" s="14" t="str">
        <f>IFERROR(INDEX(原始数据!$B$3:$B$1002,MATCH(1,INDEX((原始数据!$D$3:$D$1002="HT20260521")*(原始数据!$B$3:$B$1002&lt;&gt;""),0),0)),"")</f>
        <v>西北-宁夏</v>
      </c>
      <c r="C375" s="14" t="str">
        <f>IFERROR(INDEX(原始数据!$C$3:$C$1002,MATCH(1,INDEX((原始数据!$D$3:$D$1002="HT20260521")*(原始数据!$C$3:$C$1002&lt;&gt;""),0),0)),"")</f>
        <v>监察司法机关</v>
      </c>
      <c r="D375" s="15" t="inlineStr">
        <is>
          <t>HT20260521</t>
        </is>
      </c>
      <c r="E375" s="16">
        <f>IFERROR(INDEX(原始数据!$E$3:$E$1002,MATCH(1,INDEX((原始数据!$D$3:$D$1002="HT20260521")*(原始数据!$E$3:$E$1002&lt;&gt;""),0),0)),"")</f>
        <v>20260628</v>
      </c>
      <c r="F375" s="17">
        <f>SUMIFS(原始数据!$F$3:$F$1002,原始数据!$D$3:$D$1002,"HT20260521")</f>
        <v>1508.1219999999998</v>
      </c>
      <c r="G375" s="17">
        <f>SUMIFS(原始数据!$H$3:$H$1002,原始数据!$D$3:$D$1002,"HT20260521")</f>
        <v>459.331</v>
      </c>
      <c r="H375" s="17">
        <f>SUMIFS(原始数据!$I$3:$I$1002,原始数据!$D$3:$D$1002,"HT20260521")</f>
        <v>1048.791</v>
      </c>
      <c r="I375" s="17">
        <f>SUMIFS(原始数据!$J$3:$J$1002,原始数据!$D$3:$D$1002,"HT20260521")</f>
        <v>529.483</v>
      </c>
      <c r="J375" s="17">
        <f>SUMIFS(原始数据!$K$3:$K$1002,原始数据!$D$3:$D$1002,"HT20260521")</f>
        <v>519.308</v>
      </c>
      <c r="K375" s="14" t="str">
        <f>IFERROR(INDEX(原始数据!$L$3:$L$1002,MATCH(1,INDEX((原始数据!$D$3:$D$1002="HT20260521")*(原始数据!$L$3:$L$1002&lt;&gt;""),0),0)),"")</f>
        <v>六部</v>
      </c>
      <c r="L375" s="15" t="str">
        <f>IFERROR(INDEX(原始数据!$M$3:$M$1002,MATCH(1,INDEX((原始数据!$D$3:$D$1002="HT20260521")*(原始数据!$M$3:$M$1002&lt;&gt;""),0),0)),"")</f>
        <v>唐亮</v>
      </c>
      <c r="M375" s="14" t="str">
        <f>IFERROR(INDEX(原始数据!$N$3:$N$1002,MATCH(1,INDEX((原始数据!$D$3:$D$1002="HT20260521")*(原始数据!$N$3:$N$1002&lt;&gt;""),0),0)),"")</f>
        <v>2-3年</v>
      </c>
      <c r="N375" s="14" t="inlineStr"/>
    </row>
    <row r="376">
      <c r="A376" s="18">
        <f>ROW()-2</f>
        <v>374</v>
      </c>
      <c r="B376" s="19" t="str">
        <f>IFERROR(INDEX(原始数据!$B$3:$B$1002,MATCH(1,INDEX((原始数据!$D$3:$D$1002="HT20260522")*(原始数据!$B$3:$B$1002&lt;&gt;""),0),0)),"")</f>
        <v>华东-安徽</v>
      </c>
      <c r="C376" s="19" t="str">
        <f>IFERROR(INDEX(原始数据!$C$3:$C$1002,MATCH(1,INDEX((原始数据!$D$3:$D$1002="HT20260522")*(原始数据!$C$3:$C$1002&lt;&gt;""),0),0)),"")</f>
        <v>人大政协</v>
      </c>
      <c r="D376" s="20" t="inlineStr">
        <is>
          <t>HT20260522</t>
        </is>
      </c>
      <c r="E376" s="21">
        <f>IFERROR(INDEX(原始数据!$E$3:$E$1002,MATCH(1,INDEX((原始数据!$D$3:$D$1002="HT20260522")*(原始数据!$E$3:$E$1002&lt;&gt;""),0),0)),"")</f>
        <v>20260603</v>
      </c>
      <c r="F376" s="22">
        <f>SUMIFS(原始数据!$F$3:$F$1002,原始数据!$D$3:$D$1002,"HT20260522")</f>
        <v>8.078</v>
      </c>
      <c r="G376" s="22">
        <f>SUMIFS(原始数据!$H$3:$H$1002,原始数据!$D$3:$D$1002,"HT20260522")</f>
        <v>3.842</v>
      </c>
      <c r="H376" s="22">
        <f>SUMIFS(原始数据!$I$3:$I$1002,原始数据!$D$3:$D$1002,"HT20260522")</f>
        <v>4.236</v>
      </c>
      <c r="I376" s="22">
        <f>SUMIFS(原始数据!$J$3:$J$1002,原始数据!$D$3:$D$1002,"HT20260522")</f>
        <v>3.434</v>
      </c>
      <c r="J376" s="22">
        <f>SUMIFS(原始数据!$K$3:$K$1002,原始数据!$D$3:$D$1002,"HT20260522")</f>
        <v>0.802</v>
      </c>
      <c r="K376" s="19" t="str">
        <f>IFERROR(INDEX(原始数据!$L$3:$L$1002,MATCH(1,INDEX((原始数据!$D$3:$D$1002="HT20260522")*(原始数据!$L$3:$L$1002&lt;&gt;""),0),0)),"")</f>
        <v>二部</v>
      </c>
      <c r="L376" s="20" t="str">
        <f>IFERROR(INDEX(原始数据!$M$3:$M$1002,MATCH(1,INDEX((原始数据!$D$3:$D$1002="HT20260522")*(原始数据!$M$3:$M$1002&lt;&gt;""),0),0)),"")</f>
        <v>赵敏</v>
      </c>
      <c r="M376" s="19" t="str">
        <f>IFERROR(INDEX(原始数据!$N$3:$N$1002,MATCH(1,INDEX((原始数据!$D$3:$D$1002="HT20260522")*(原始数据!$N$3:$N$1002&lt;&gt;""),0),0)),"")</f>
        <v>1-2年</v>
      </c>
      <c r="N376" s="19" t="inlineStr"/>
    </row>
    <row r="377">
      <c r="A377" s="13">
        <f>ROW()-2</f>
        <v>375</v>
      </c>
      <c r="B377" s="14" t="str">
        <f>IFERROR(INDEX(原始数据!$B$3:$B$1002,MATCH(1,INDEX((原始数据!$D$3:$D$1002="HT20260523")*(原始数据!$B$3:$B$1002&lt;&gt;""),0),0)),"")</f>
        <v>华北-北京</v>
      </c>
      <c r="C377" s="14" t="str">
        <f>IFERROR(INDEX(原始数据!$C$3:$C$1002,MATCH(1,INDEX((原始数据!$D$3:$D$1002="HT20260523")*(原始数据!$C$3:$C$1002&lt;&gt;""),0),0)),"")</f>
        <v>基层自治组织</v>
      </c>
      <c r="D377" s="15" t="inlineStr">
        <is>
          <t>HT20260523</t>
        </is>
      </c>
      <c r="E377" s="16">
        <f>IFERROR(INDEX(原始数据!$E$3:$E$1002,MATCH(1,INDEX((原始数据!$D$3:$D$1002="HT20260523")*(原始数据!$E$3:$E$1002&lt;&gt;""),0),0)),"")</f>
        <v>20260321</v>
      </c>
      <c r="F377" s="17">
        <f>SUMIFS(原始数据!$F$3:$F$1002,原始数据!$D$3:$D$1002,"HT20260523")</f>
        <v>635.186</v>
      </c>
      <c r="G377" s="17">
        <f>SUMIFS(原始数据!$H$3:$H$1002,原始数据!$D$3:$D$1002,"HT20260523")</f>
        <v>410.472</v>
      </c>
      <c r="H377" s="17">
        <f>SUMIFS(原始数据!$I$3:$I$1002,原始数据!$D$3:$D$1002,"HT20260523")</f>
        <v>224.714</v>
      </c>
      <c r="I377" s="17">
        <f>SUMIFS(原始数据!$J$3:$J$1002,原始数据!$D$3:$D$1002,"HT20260523")</f>
        <v>43.619</v>
      </c>
      <c r="J377" s="17">
        <f>SUMIFS(原始数据!$K$3:$K$1002,原始数据!$D$3:$D$1002,"HT20260523")</f>
        <v>181.095</v>
      </c>
      <c r="K377" s="14" t="str">
        <f>IFERROR(INDEX(原始数据!$L$3:$L$1002,MATCH(1,INDEX((原始数据!$D$3:$D$1002="HT20260523")*(原始数据!$L$3:$L$1002&lt;&gt;""),0),0)),"")</f>
        <v>二部</v>
      </c>
      <c r="L377" s="15" t="str">
        <f>IFERROR(INDEX(原始数据!$M$3:$M$1002,MATCH(1,INDEX((原始数据!$D$3:$D$1002="HT20260523")*(原始数据!$M$3:$M$1002&lt;&gt;""),0),0)),"")</f>
        <v>赵敏</v>
      </c>
      <c r="M377" s="14" t="str">
        <f>IFERROR(INDEX(原始数据!$N$3:$N$1002,MATCH(1,INDEX((原始数据!$D$3:$D$1002="HT20260523")*(原始数据!$N$3:$N$1002&lt;&gt;""),0),0)),"")</f>
        <v>1-2年</v>
      </c>
      <c r="N377" s="14" t="inlineStr"/>
    </row>
    <row r="378">
      <c r="A378" s="18">
        <f>ROW()-2</f>
        <v>376</v>
      </c>
      <c r="B378" s="19" t="str">
        <f>IFERROR(INDEX(原始数据!$B$3:$B$1002,MATCH(1,INDEX((原始数据!$D$3:$D$1002="HT20260524")*(原始数据!$B$3:$B$1002&lt;&gt;""),0),0)),"")</f>
        <v>华东-福建</v>
      </c>
      <c r="C378" s="19" t="str">
        <f>IFERROR(INDEX(原始数据!$C$3:$C$1002,MATCH(1,INDEX((原始数据!$D$3:$D$1002="HT20260524")*(原始数据!$C$3:$C$1002&lt;&gt;""),0),0)),"")</f>
        <v>群团组织</v>
      </c>
      <c r="D378" s="20" t="inlineStr">
        <is>
          <t>HT20260524</t>
        </is>
      </c>
      <c r="E378" s="21">
        <f>IFERROR(INDEX(原始数据!$E$3:$E$1002,MATCH(1,INDEX((原始数据!$D$3:$D$1002="HT20260524")*(原始数据!$E$3:$E$1002&lt;&gt;""),0),0)),"")</f>
        <v>20260213</v>
      </c>
      <c r="F378" s="22">
        <f>SUMIFS(原始数据!$F$3:$F$1002,原始数据!$D$3:$D$1002,"HT20260524")</f>
        <v>236.839</v>
      </c>
      <c r="G378" s="22">
        <f>SUMIFS(原始数据!$H$3:$H$1002,原始数据!$D$3:$D$1002,"HT20260524")</f>
        <v>200.827</v>
      </c>
      <c r="H378" s="22">
        <f>SUMIFS(原始数据!$I$3:$I$1002,原始数据!$D$3:$D$1002,"HT20260524")</f>
        <v>36.012</v>
      </c>
      <c r="I378" s="22">
        <f>SUMIFS(原始数据!$J$3:$J$1002,原始数据!$D$3:$D$1002,"HT20260524")</f>
        <v>23.970999999999997</v>
      </c>
      <c r="J378" s="22">
        <f>SUMIFS(原始数据!$K$3:$K$1002,原始数据!$D$3:$D$1002,"HT20260524")</f>
        <v>12.041</v>
      </c>
      <c r="K378" s="19" t="str">
        <f>IFERROR(INDEX(原始数据!$L$3:$L$1002,MATCH(1,INDEX((原始数据!$D$3:$D$1002="HT20260524")*(原始数据!$L$3:$L$1002&lt;&gt;""),0),0)),"")</f>
        <v>七部</v>
      </c>
      <c r="L378" s="20" t="str">
        <f>IFERROR(INDEX(原始数据!$M$3:$M$1002,MATCH(1,INDEX((原始数据!$D$3:$D$1002="HT20260524")*(原始数据!$M$3:$M$1002&lt;&gt;""),0),0)),"")</f>
        <v>傅蓉</v>
      </c>
      <c r="M378" s="19" t="str">
        <f>IFERROR(INDEX(原始数据!$N$3:$N$1002,MATCH(1,INDEX((原始数据!$D$3:$D$1002="HT20260524")*(原始数据!$N$3:$N$1002&lt;&gt;""),0),0)),"")</f>
        <v>2-3年</v>
      </c>
      <c r="N378" s="19" t="inlineStr"/>
    </row>
    <row r="379">
      <c r="A379" s="13">
        <f>ROW()-2</f>
        <v>377</v>
      </c>
      <c r="B379" s="14" t="str">
        <f>IFERROR(INDEX(原始数据!$B$3:$B$1002,MATCH(1,INDEX((原始数据!$D$3:$D$1002="HT20260525")*(原始数据!$B$3:$B$1002&lt;&gt;""),0),0)),"")</f>
        <v>华东-上海</v>
      </c>
      <c r="C379" s="14" t="str">
        <f>IFERROR(INDEX(原始数据!$C$3:$C$1002,MATCH(1,INDEX((原始数据!$D$3:$D$1002="HT20260525")*(原始数据!$C$3:$C$1002&lt;&gt;""),0),0)),"")</f>
        <v>群团组织</v>
      </c>
      <c r="D379" s="15" t="inlineStr">
        <is>
          <t>HT20260525</t>
        </is>
      </c>
      <c r="E379" s="16">
        <f>IFERROR(INDEX(原始数据!$E$3:$E$1002,MATCH(1,INDEX((原始数据!$D$3:$D$1002="HT20260525")*(原始数据!$E$3:$E$1002&lt;&gt;""),0),0)),"")</f>
        <v>20260321</v>
      </c>
      <c r="F379" s="17">
        <f>SUMIFS(原始数据!$F$3:$F$1002,原始数据!$D$3:$D$1002,"HT20260525")</f>
        <v>177.685</v>
      </c>
      <c r="G379" s="17">
        <f>SUMIFS(原始数据!$H$3:$H$1002,原始数据!$D$3:$D$1002,"HT20260525")</f>
        <v>106.168</v>
      </c>
      <c r="H379" s="17">
        <f>SUMIFS(原始数据!$I$3:$I$1002,原始数据!$D$3:$D$1002,"HT20260525")</f>
        <v>71.517</v>
      </c>
      <c r="I379" s="17">
        <f>SUMIFS(原始数据!$J$3:$J$1002,原始数据!$D$3:$D$1002,"HT20260525")</f>
        <v>12.682</v>
      </c>
      <c r="J379" s="17">
        <f>SUMIFS(原始数据!$K$3:$K$1002,原始数据!$D$3:$D$1002,"HT20260525")</f>
        <v>58.835</v>
      </c>
      <c r="K379" s="14" t="str">
        <f>IFERROR(INDEX(原始数据!$L$3:$L$1002,MATCH(1,INDEX((原始数据!$D$3:$D$1002="HT20260525")*(原始数据!$L$3:$L$1002&lt;&gt;""),0),0)),"")</f>
        <v>九部</v>
      </c>
      <c r="L379" s="15" t="str">
        <f>IFERROR(INDEX(原始数据!$M$3:$M$1002,MATCH(1,INDEX((原始数据!$D$3:$D$1002="HT20260525")*(原始数据!$M$3:$M$1002&lt;&gt;""),0),0)),"")</f>
        <v>贾静</v>
      </c>
      <c r="M379" s="14" t="str">
        <f>IFERROR(INDEX(原始数据!$N$3:$N$1002,MATCH(1,INDEX((原始数据!$D$3:$D$1002="HT20260525")*(原始数据!$N$3:$N$1002&lt;&gt;""),0),0)),"")</f>
        <v>1年以内</v>
      </c>
      <c r="N379" s="14" t="inlineStr"/>
    </row>
    <row r="380">
      <c r="A380" s="18">
        <f>ROW()-2</f>
        <v>378</v>
      </c>
      <c r="B380" s="19" t="str">
        <f>IFERROR(INDEX(原始数据!$B$3:$B$1002,MATCH(1,INDEX((原始数据!$D$3:$D$1002="HT20260526")*(原始数据!$B$3:$B$1002&lt;&gt;""),0),0)),"")</f>
        <v>西南-重庆</v>
      </c>
      <c r="C380" s="19" t="str">
        <f>IFERROR(INDEX(原始数据!$C$3:$C$1002,MATCH(1,INDEX((原始数据!$D$3:$D$1002="HT20260526")*(原始数据!$C$3:$C$1002&lt;&gt;""),0),0)),"")</f>
        <v>国有企业</v>
      </c>
      <c r="D380" s="20" t="inlineStr">
        <is>
          <t>HT20260526</t>
        </is>
      </c>
      <c r="E380" s="21">
        <f>IFERROR(INDEX(原始数据!$E$3:$E$1002,MATCH(1,INDEX((原始数据!$D$3:$D$1002="HT20260526")*(原始数据!$E$3:$E$1002&lt;&gt;""),0),0)),"")</f>
        <v>20260318</v>
      </c>
      <c r="F380" s="22">
        <f>SUMIFS(原始数据!$F$3:$F$1002,原始数据!$D$3:$D$1002,"HT20260526")</f>
        <v>3872.2290000000003</v>
      </c>
      <c r="G380" s="22">
        <f>SUMIFS(原始数据!$H$3:$H$1002,原始数据!$D$3:$D$1002,"HT20260526")</f>
        <v>2200.154</v>
      </c>
      <c r="H380" s="22">
        <f>SUMIFS(原始数据!$I$3:$I$1002,原始数据!$D$3:$D$1002,"HT20260526")</f>
        <v>1672.075</v>
      </c>
      <c r="I380" s="22">
        <f>SUMIFS(原始数据!$J$3:$J$1002,原始数据!$D$3:$D$1002,"HT20260526")</f>
        <v>669.466</v>
      </c>
      <c r="J380" s="22">
        <f>SUMIFS(原始数据!$K$3:$K$1002,原始数据!$D$3:$D$1002,"HT20260526")</f>
        <v>1002.609</v>
      </c>
      <c r="K380" s="19" t="str">
        <f>IFERROR(INDEX(原始数据!$L$3:$L$1002,MATCH(1,INDEX((原始数据!$D$3:$D$1002="HT20260526")*(原始数据!$L$3:$L$1002&lt;&gt;""),0),0)),"")</f>
        <v>十部</v>
      </c>
      <c r="L380" s="20" t="str">
        <f>IFERROR(INDEX(原始数据!$M$3:$M$1002,MATCH(1,INDEX((原始数据!$D$3:$D$1002="HT20260526")*(原始数据!$M$3:$M$1002&lt;&gt;""),0),0)),"")</f>
        <v>阎莉</v>
      </c>
      <c r="M380" s="19" t="str">
        <f>IFERROR(INDEX(原始数据!$N$3:$N$1002,MATCH(1,INDEX((原始数据!$D$3:$D$1002="HT20260526")*(原始数据!$N$3:$N$1002&lt;&gt;""),0),0)),"")</f>
        <v>2-3年</v>
      </c>
      <c r="N380" s="19" t="inlineStr"/>
    </row>
    <row r="381">
      <c r="A381" s="13">
        <f>ROW()-2</f>
        <v>379</v>
      </c>
      <c r="B381" s="14" t="str">
        <f>IFERROR(INDEX(原始数据!$B$3:$B$1002,MATCH(1,INDEX((原始数据!$D$3:$D$1002="HT20260527")*(原始数据!$B$3:$B$1002&lt;&gt;""),0),0)),"")</f>
        <v>华中-湖北</v>
      </c>
      <c r="C381" s="14" t="str">
        <f>IFERROR(INDEX(原始数据!$C$3:$C$1002,MATCH(1,INDEX((原始数据!$D$3:$D$1002="HT20260527")*(原始数据!$C$3:$C$1002&lt;&gt;""),0),0)),"")</f>
        <v>群团组织</v>
      </c>
      <c r="D381" s="15" t="inlineStr">
        <is>
          <t>HT20260527</t>
        </is>
      </c>
      <c r="E381" s="16">
        <f>IFERROR(INDEX(原始数据!$E$3:$E$1002,MATCH(1,INDEX((原始数据!$D$3:$D$1002="HT20260527")*(原始数据!$E$3:$E$1002&lt;&gt;""),0),0)),"")</f>
        <v>20260315</v>
      </c>
      <c r="F381" s="17">
        <f>SUMIFS(原始数据!$F$3:$F$1002,原始数据!$D$3:$D$1002,"HT20260527")</f>
        <v>736.07</v>
      </c>
      <c r="G381" s="17">
        <f>SUMIFS(原始数据!$H$3:$H$1002,原始数据!$D$3:$D$1002,"HT20260527")</f>
        <v>120.606</v>
      </c>
      <c r="H381" s="17">
        <f>SUMIFS(原始数据!$I$3:$I$1002,原始数据!$D$3:$D$1002,"HT20260527")</f>
        <v>615.464</v>
      </c>
      <c r="I381" s="17">
        <f>SUMIFS(原始数据!$J$3:$J$1002,原始数据!$D$3:$D$1002,"HT20260527")</f>
        <v>563.216</v>
      </c>
      <c r="J381" s="17">
        <f>SUMIFS(原始数据!$K$3:$K$1002,原始数据!$D$3:$D$1002,"HT20260527")</f>
        <v>52.248</v>
      </c>
      <c r="K381" s="14" t="str">
        <f>IFERROR(INDEX(原始数据!$L$3:$L$1002,MATCH(1,INDEX((原始数据!$D$3:$D$1002="HT20260527")*(原始数据!$L$3:$L$1002&lt;&gt;""),0),0)),"")</f>
        <v>四部</v>
      </c>
      <c r="L381" s="15" t="str">
        <f>IFERROR(INDEX(原始数据!$M$3:$M$1002,MATCH(1,INDEX((原始数据!$D$3:$D$1002="HT20260527")*(原始数据!$M$3:$M$1002&lt;&gt;""),0),0)),"")</f>
        <v>林燕</v>
      </c>
      <c r="M381" s="14" t="str">
        <f>IFERROR(INDEX(原始数据!$N$3:$N$1002,MATCH(1,INDEX((原始数据!$D$3:$D$1002="HT20260527")*(原始数据!$N$3:$N$1002&lt;&gt;""),0),0)),"")</f>
        <v>1年以内</v>
      </c>
      <c r="N381" s="14" t="inlineStr"/>
    </row>
    <row r="382">
      <c r="A382" s="18">
        <f>ROW()-2</f>
        <v>380</v>
      </c>
      <c r="B382" s="19" t="str">
        <f>IFERROR(INDEX(原始数据!$B$3:$B$1002,MATCH(1,INDEX((原始数据!$D$3:$D$1002="HT20260529")*(原始数据!$B$3:$B$1002&lt;&gt;""),0),0)),"")</f>
        <v>西南-贵州</v>
      </c>
      <c r="C382" s="19" t="str">
        <f>IFERROR(INDEX(原始数据!$C$3:$C$1002,MATCH(1,INDEX((原始数据!$D$3:$D$1002="HT20260529")*(原始数据!$C$3:$C$1002&lt;&gt;""),0),0)),"")</f>
        <v>国有企业</v>
      </c>
      <c r="D382" s="20" t="inlineStr">
        <is>
          <t>HT20260529</t>
        </is>
      </c>
      <c r="E382" s="21">
        <f>IFERROR(INDEX(原始数据!$E$3:$E$1002,MATCH(1,INDEX((原始数据!$D$3:$D$1002="HT20260529")*(原始数据!$E$3:$E$1002&lt;&gt;""),0),0)),"")</f>
        <v>20260915</v>
      </c>
      <c r="F382" s="22">
        <f>SUMIFS(原始数据!$F$3:$F$1002,原始数据!$D$3:$D$1002,"HT20260529")</f>
        <v>4239.293</v>
      </c>
      <c r="G382" s="22">
        <f>SUMIFS(原始数据!$H$3:$H$1002,原始数据!$D$3:$D$1002,"HT20260529")</f>
        <v>1046.463</v>
      </c>
      <c r="H382" s="22">
        <f>SUMIFS(原始数据!$I$3:$I$1002,原始数据!$D$3:$D$1002,"HT20260529")</f>
        <v>3192.83</v>
      </c>
      <c r="I382" s="22">
        <f>SUMIFS(原始数据!$J$3:$J$1002,原始数据!$D$3:$D$1002,"HT20260529")</f>
        <v>839.987</v>
      </c>
      <c r="J382" s="22">
        <f>SUMIFS(原始数据!$K$3:$K$1002,原始数据!$D$3:$D$1002,"HT20260529")</f>
        <v>2352.843</v>
      </c>
      <c r="K382" s="19" t="str">
        <f>IFERROR(INDEX(原始数据!$L$3:$L$1002,MATCH(1,INDEX((原始数据!$D$3:$D$1002="HT20260529")*(原始数据!$L$3:$L$1002&lt;&gt;""),0),0)),"")</f>
        <v>四部</v>
      </c>
      <c r="L382" s="20" t="str">
        <f>IFERROR(INDEX(原始数据!$M$3:$M$1002,MATCH(1,INDEX((原始数据!$D$3:$D$1002="HT20260529")*(原始数据!$M$3:$M$1002&lt;&gt;""),0),0)),"")</f>
        <v>罗刚</v>
      </c>
      <c r="M382" s="19" t="str">
        <f>IFERROR(INDEX(原始数据!$N$3:$N$1002,MATCH(1,INDEX((原始数据!$D$3:$D$1002="HT20260529")*(原始数据!$N$3:$N$1002&lt;&gt;""),0),0)),"")</f>
        <v>1年以内</v>
      </c>
      <c r="N382" s="19" t="inlineStr"/>
    </row>
    <row r="383">
      <c r="A383" s="13">
        <f>ROW()-2</f>
        <v>381</v>
      </c>
      <c r="B383" s="14" t="str">
        <f>IFERROR(INDEX(原始数据!$B$3:$B$1002,MATCH(1,INDEX((原始数据!$D$3:$D$1002="HT20260531")*(原始数据!$B$3:$B$1002&lt;&gt;""),0),0)),"")</f>
        <v>华东-上海</v>
      </c>
      <c r="C383" s="14" t="str">
        <f>IFERROR(INDEX(原始数据!$C$3:$C$1002,MATCH(1,INDEX((原始数据!$D$3:$D$1002="HT20260531")*(原始数据!$C$3:$C$1002&lt;&gt;""),0),0)),"")</f>
        <v>党委机关</v>
      </c>
      <c r="D383" s="15" t="inlineStr">
        <is>
          <t>HT20260531</t>
        </is>
      </c>
      <c r="E383" s="16">
        <f>IFERROR(INDEX(原始数据!$E$3:$E$1002,MATCH(1,INDEX((原始数据!$D$3:$D$1002="HT20260531")*(原始数据!$E$3:$E$1002&lt;&gt;""),0),0)),"")</f>
        <v>20260303</v>
      </c>
      <c r="F383" s="17">
        <f>SUMIFS(原始数据!$F$3:$F$1002,原始数据!$D$3:$D$1002,"HT20260531")</f>
        <v>84.364</v>
      </c>
      <c r="G383" s="17">
        <f>SUMIFS(原始数据!$H$3:$H$1002,原始数据!$D$3:$D$1002,"HT20260531")</f>
        <v>79.513</v>
      </c>
      <c r="H383" s="17">
        <f>SUMIFS(原始数据!$I$3:$I$1002,原始数据!$D$3:$D$1002,"HT20260531")</f>
        <v>4.851</v>
      </c>
      <c r="I383" s="17">
        <f>SUMIFS(原始数据!$J$3:$J$1002,原始数据!$D$3:$D$1002,"HT20260531")</f>
        <v>2.762</v>
      </c>
      <c r="J383" s="17">
        <f>SUMIFS(原始数据!$K$3:$K$1002,原始数据!$D$3:$D$1002,"HT20260531")</f>
        <v>2.089</v>
      </c>
      <c r="K383" s="14" t="str">
        <f>IFERROR(INDEX(原始数据!$L$3:$L$1002,MATCH(1,INDEX((原始数据!$D$3:$D$1002="HT20260531")*(原始数据!$L$3:$L$1002&lt;&gt;""),0),0)),"")</f>
        <v>二部</v>
      </c>
      <c r="L383" s="15" t="str">
        <f>IFERROR(INDEX(原始数据!$M$3:$M$1002,MATCH(1,INDEX((原始数据!$D$3:$D$1002="HT20260531")*(原始数据!$M$3:$M$1002&lt;&gt;""),0),0)),"")</f>
        <v>吴丽</v>
      </c>
      <c r="M383" s="14" t="str">
        <f>IFERROR(INDEX(原始数据!$N$3:$N$1002,MATCH(1,INDEX((原始数据!$D$3:$D$1002="HT20260531")*(原始数据!$N$3:$N$1002&lt;&gt;""),0),0)),"")</f>
        <v>2-3年</v>
      </c>
      <c r="N383" s="14" t="inlineStr"/>
    </row>
    <row r="384">
      <c r="A384" s="18">
        <f>ROW()-2</f>
        <v>382</v>
      </c>
      <c r="B384" s="19" t="str">
        <f>IFERROR(INDEX(原始数据!$B$3:$B$1002,MATCH(1,INDEX((原始数据!$D$3:$D$1002="HT20260601")*(原始数据!$B$3:$B$1002&lt;&gt;""),0),0)),"")</f>
        <v>华南-香港</v>
      </c>
      <c r="C384" s="19" t="str">
        <f>IFERROR(INDEX(原始数据!$C$3:$C$1002,MATCH(1,INDEX((原始数据!$D$3:$D$1002="HT20260601")*(原始数据!$C$3:$C$1002&lt;&gt;""),0),0)),"")</f>
        <v>基层自治组织</v>
      </c>
      <c r="D384" s="20" t="inlineStr">
        <is>
          <t>HT20260601</t>
        </is>
      </c>
      <c r="E384" s="21">
        <f>IFERROR(INDEX(原始数据!$E$3:$E$1002,MATCH(1,INDEX((原始数据!$D$3:$D$1002="HT20260601")*(原始数据!$E$3:$E$1002&lt;&gt;""),0),0)),"")</f>
        <v>20260506</v>
      </c>
      <c r="F384" s="22">
        <f>SUMIFS(原始数据!$F$3:$F$1002,原始数据!$D$3:$D$1002,"HT20260601")</f>
        <v>6254.525000000001</v>
      </c>
      <c r="G384" s="22">
        <f>SUMIFS(原始数据!$H$3:$H$1002,原始数据!$D$3:$D$1002,"HT20260601")</f>
        <v>2225.131</v>
      </c>
      <c r="H384" s="22">
        <f>SUMIFS(原始数据!$I$3:$I$1002,原始数据!$D$3:$D$1002,"HT20260601")</f>
        <v>4029.3940000000002</v>
      </c>
      <c r="I384" s="22">
        <f>SUMIFS(原始数据!$J$3:$J$1002,原始数据!$D$3:$D$1002,"HT20260601")</f>
        <v>3255.209</v>
      </c>
      <c r="J384" s="22">
        <f>SUMIFS(原始数据!$K$3:$K$1002,原始数据!$D$3:$D$1002,"HT20260601")</f>
        <v>774.185</v>
      </c>
      <c r="K384" s="19" t="str">
        <f>IFERROR(INDEX(原始数据!$L$3:$L$1002,MATCH(1,INDEX((原始数据!$D$3:$D$1002="HT20260601")*(原始数据!$L$3:$L$1002&lt;&gt;""),0),0)),"")</f>
        <v>九部</v>
      </c>
      <c r="L384" s="20" t="str">
        <f>IFERROR(INDEX(原始数据!$M$3:$M$1002,MATCH(1,INDEX((原始数据!$D$3:$D$1002="HT20260601")*(原始数据!$M$3:$M$1002&lt;&gt;""),0),0)),"")</f>
        <v>蔡明</v>
      </c>
      <c r="M384" s="19" t="str">
        <f>IFERROR(INDEX(原始数据!$N$3:$N$1002,MATCH(1,INDEX((原始数据!$D$3:$D$1002="HT20260601")*(原始数据!$N$3:$N$1002&lt;&gt;""),0),0)),"")</f>
        <v>2-3年</v>
      </c>
      <c r="N384" s="19" t="inlineStr"/>
    </row>
    <row r="385">
      <c r="A385" s="13">
        <f>ROW()-2</f>
        <v>383</v>
      </c>
      <c r="B385" s="14" t="str">
        <f>IFERROR(INDEX(原始数据!$B$3:$B$1002,MATCH(1,INDEX((原始数据!$D$3:$D$1002="HT20260602")*(原始数据!$B$3:$B$1002&lt;&gt;""),0),0)),"")</f>
        <v>西南-西藏</v>
      </c>
      <c r="C385" s="14" t="str">
        <f>IFERROR(INDEX(原始数据!$C$3:$C$1002,MATCH(1,INDEX((原始数据!$D$3:$D$1002="HT20260602")*(原始数据!$C$3:$C$1002&lt;&gt;""),0),0)),"")</f>
        <v>政府机关</v>
      </c>
      <c r="D385" s="15" t="inlineStr">
        <is>
          <t>HT20260602</t>
        </is>
      </c>
      <c r="E385" s="16">
        <f>IFERROR(INDEX(原始数据!$E$3:$E$1002,MATCH(1,INDEX((原始数据!$D$3:$D$1002="HT20260602")*(原始数据!$E$3:$E$1002&lt;&gt;""),0),0)),"")</f>
        <v>20260620</v>
      </c>
      <c r="F385" s="17">
        <f>SUMIFS(原始数据!$F$3:$F$1002,原始数据!$D$3:$D$1002,"HT20260602")</f>
        <v>433.847</v>
      </c>
      <c r="G385" s="17">
        <f>SUMIFS(原始数据!$H$3:$H$1002,原始数据!$D$3:$D$1002,"HT20260602")</f>
        <v>36.102</v>
      </c>
      <c r="H385" s="17">
        <f>SUMIFS(原始数据!$I$3:$I$1002,原始数据!$D$3:$D$1002,"HT20260602")</f>
        <v>397.745</v>
      </c>
      <c r="I385" s="17">
        <f>SUMIFS(原始数据!$J$3:$J$1002,原始数据!$D$3:$D$1002,"HT20260602")</f>
        <v>73.453</v>
      </c>
      <c r="J385" s="17">
        <f>SUMIFS(原始数据!$K$3:$K$1002,原始数据!$D$3:$D$1002,"HT20260602")</f>
        <v>324.292</v>
      </c>
      <c r="K385" s="14" t="str">
        <f>IFERROR(INDEX(原始数据!$L$3:$L$1002,MATCH(1,INDEX((原始数据!$D$3:$D$1002="HT20260602")*(原始数据!$L$3:$L$1002&lt;&gt;""),0),0)),"")</f>
        <v>十部</v>
      </c>
      <c r="L385" s="15" t="str">
        <f>IFERROR(INDEX(原始数据!$M$3:$M$1002,MATCH(1,INDEX((原始数据!$D$3:$D$1002="HT20260602")*(原始数据!$M$3:$M$1002&lt;&gt;""),0),0)),"")</f>
        <v>薛峰</v>
      </c>
      <c r="M385" s="14" t="str">
        <f>IFERROR(INDEX(原始数据!$N$3:$N$1002,MATCH(1,INDEX((原始数据!$D$3:$D$1002="HT20260602")*(原始数据!$N$3:$N$1002&lt;&gt;""),0),0)),"")</f>
        <v>1年以内</v>
      </c>
      <c r="N385" s="14" t="inlineStr"/>
    </row>
    <row r="386">
      <c r="A386" s="18">
        <f>ROW()-2</f>
        <v>384</v>
      </c>
      <c r="B386" s="19" t="str">
        <f>IFERROR(INDEX(原始数据!$B$3:$B$1002,MATCH(1,INDEX((原始数据!$D$3:$D$1002="HT20260603")*(原始数据!$B$3:$B$1002&lt;&gt;""),0),0)),"")</f>
        <v>华东-台湾</v>
      </c>
      <c r="C386" s="19" t="str">
        <f>IFERROR(INDEX(原始数据!$C$3:$C$1002,MATCH(1,INDEX((原始数据!$D$3:$D$1002="HT20260603")*(原始数据!$C$3:$C$1002&lt;&gt;""),0),0)),"")</f>
        <v>党委机关</v>
      </c>
      <c r="D386" s="20" t="inlineStr">
        <is>
          <t>HT20260603</t>
        </is>
      </c>
      <c r="E386" s="21">
        <f>IFERROR(INDEX(原始数据!$E$3:$E$1002,MATCH(1,INDEX((原始数据!$D$3:$D$1002="HT20260603")*(原始数据!$E$3:$E$1002&lt;&gt;""),0),0)),"")</f>
        <v>20260815</v>
      </c>
      <c r="F386" s="22">
        <f>SUMIFS(原始数据!$F$3:$F$1002,原始数据!$D$3:$D$1002,"HT20260603")</f>
        <v>8307.845</v>
      </c>
      <c r="G386" s="22">
        <f>SUMIFS(原始数据!$H$3:$H$1002,原始数据!$D$3:$D$1002,"HT20260603")</f>
        <v>3512.325</v>
      </c>
      <c r="H386" s="22">
        <f>SUMIFS(原始数据!$I$3:$I$1002,原始数据!$D$3:$D$1002,"HT20260603")</f>
        <v>4795.5199999999995</v>
      </c>
      <c r="I386" s="22">
        <f>SUMIFS(原始数据!$J$3:$J$1002,原始数据!$D$3:$D$1002,"HT20260603")</f>
        <v>3609.7050000000004</v>
      </c>
      <c r="J386" s="22">
        <f>SUMIFS(原始数据!$K$3:$K$1002,原始数据!$D$3:$D$1002,"HT20260603")</f>
        <v>1185.815</v>
      </c>
      <c r="K386" s="19" t="str">
        <f>IFERROR(INDEX(原始数据!$L$3:$L$1002,MATCH(1,INDEX((原始数据!$D$3:$D$1002="HT20260603")*(原始数据!$L$3:$L$1002&lt;&gt;""),0),0)),"")</f>
        <v>一部</v>
      </c>
      <c r="L386" s="20" t="str">
        <f>IFERROR(INDEX(原始数据!$M$3:$M$1002,MATCH(1,INDEX((原始数据!$D$3:$D$1002="HT20260603")*(原始数据!$M$3:$M$1002&lt;&gt;""),0),0)),"")</f>
        <v>王芳</v>
      </c>
      <c r="M386" s="19" t="str">
        <f>IFERROR(INDEX(原始数据!$N$3:$N$1002,MATCH(1,INDEX((原始数据!$D$3:$D$1002="HT20260603")*(原始数据!$N$3:$N$1002&lt;&gt;""),0),0)),"")</f>
        <v>1-2年</v>
      </c>
      <c r="N386" s="19" t="inlineStr"/>
    </row>
    <row r="387">
      <c r="A387" s="13">
        <f>ROW()-2</f>
        <v>385</v>
      </c>
      <c r="B387" s="14" t="str">
        <f>IFERROR(INDEX(原始数据!$B$3:$B$1002,MATCH(1,INDEX((原始数据!$D$3:$D$1002="HT20260604")*(原始数据!$B$3:$B$1002&lt;&gt;""),0),0)),"")</f>
        <v>西北-青海</v>
      </c>
      <c r="C387" s="14" t="str">
        <f>IFERROR(INDEX(原始数据!$C$3:$C$1002,MATCH(1,INDEX((原始数据!$D$3:$D$1002="HT20260604")*(原始数据!$C$3:$C$1002&lt;&gt;""),0),0)),"")</f>
        <v>党委机关</v>
      </c>
      <c r="D387" s="15" t="inlineStr">
        <is>
          <t>HT20260604</t>
        </is>
      </c>
      <c r="E387" s="16">
        <f>IFERROR(INDEX(原始数据!$E$3:$E$1002,MATCH(1,INDEX((原始数据!$D$3:$D$1002="HT20260604")*(原始数据!$E$3:$E$1002&lt;&gt;""),0),0)),"")</f>
        <v>20260517</v>
      </c>
      <c r="F387" s="17">
        <f>SUMIFS(原始数据!$F$3:$F$1002,原始数据!$D$3:$D$1002,"HT20260604")</f>
        <v>1139.734</v>
      </c>
      <c r="G387" s="17">
        <f>SUMIFS(原始数据!$H$3:$H$1002,原始数据!$D$3:$D$1002,"HT20260604")</f>
        <v>325.353</v>
      </c>
      <c r="H387" s="17">
        <f>SUMIFS(原始数据!$I$3:$I$1002,原始数据!$D$3:$D$1002,"HT20260604")</f>
        <v>814.381</v>
      </c>
      <c r="I387" s="17">
        <f>SUMIFS(原始数据!$J$3:$J$1002,原始数据!$D$3:$D$1002,"HT20260604")</f>
        <v>109.481</v>
      </c>
      <c r="J387" s="17">
        <f>SUMIFS(原始数据!$K$3:$K$1002,原始数据!$D$3:$D$1002,"HT20260604")</f>
        <v>704.9</v>
      </c>
      <c r="K387" s="14" t="str">
        <f>IFERROR(INDEX(原始数据!$L$3:$L$1002,MATCH(1,INDEX((原始数据!$D$3:$D$1002="HT20260604")*(原始数据!$L$3:$L$1002&lt;&gt;""),0),0)),"")</f>
        <v>四部</v>
      </c>
      <c r="L387" s="15" t="str">
        <f>IFERROR(INDEX(原始数据!$M$3:$M$1002,MATCH(1,INDEX((原始数据!$D$3:$D$1002="HT20260604")*(原始数据!$M$3:$M$1002&lt;&gt;""),0),0)),"")</f>
        <v>罗刚</v>
      </c>
      <c r="M387" s="14" t="str">
        <f>IFERROR(INDEX(原始数据!$N$3:$N$1002,MATCH(1,INDEX((原始数据!$D$3:$D$1002="HT20260604")*(原始数据!$N$3:$N$1002&lt;&gt;""),0),0)),"")</f>
        <v>1-2年</v>
      </c>
      <c r="N387" s="14" t="inlineStr"/>
    </row>
    <row r="388">
      <c r="A388" s="18">
        <f>ROW()-2</f>
        <v>386</v>
      </c>
      <c r="B388" s="19" t="str">
        <f>IFERROR(INDEX(原始数据!$B$3:$B$1002,MATCH(1,INDEX((原始数据!$D$3:$D$1002="HT20260606")*(原始数据!$B$3:$B$1002&lt;&gt;""),0),0)),"")</f>
        <v>东北-黑龙江</v>
      </c>
      <c r="C388" s="19" t="str">
        <f>IFERROR(INDEX(原始数据!$C$3:$C$1002,MATCH(1,INDEX((原始数据!$D$3:$D$1002="HT20260606")*(原始数据!$C$3:$C$1002&lt;&gt;""),0),0)),"")</f>
        <v>国有企业</v>
      </c>
      <c r="D388" s="20" t="inlineStr">
        <is>
          <t>HT20260606</t>
        </is>
      </c>
      <c r="E388" s="21">
        <f>IFERROR(INDEX(原始数据!$E$3:$E$1002,MATCH(1,INDEX((原始数据!$D$3:$D$1002="HT20260606")*(原始数据!$E$3:$E$1002&lt;&gt;""),0),0)),"")</f>
        <v>20260129</v>
      </c>
      <c r="F388" s="22">
        <f>SUMIFS(原始数据!$F$3:$F$1002,原始数据!$D$3:$D$1002,"HT20260606")</f>
        <v>3397.718</v>
      </c>
      <c r="G388" s="22">
        <f>SUMIFS(原始数据!$H$3:$H$1002,原始数据!$D$3:$D$1002,"HT20260606")</f>
        <v>2822.0679999999993</v>
      </c>
      <c r="H388" s="22">
        <f>SUMIFS(原始数据!$I$3:$I$1002,原始数据!$D$3:$D$1002,"HT20260606")</f>
        <v>575.6500000000001</v>
      </c>
      <c r="I388" s="22">
        <f>SUMIFS(原始数据!$J$3:$J$1002,原始数据!$D$3:$D$1002,"HT20260606")</f>
        <v>337.315</v>
      </c>
      <c r="J388" s="22">
        <f>SUMIFS(原始数据!$K$3:$K$1002,原始数据!$D$3:$D$1002,"HT20260606")</f>
        <v>238.335</v>
      </c>
      <c r="K388" s="19" t="str">
        <f>IFERROR(INDEX(原始数据!$L$3:$L$1002,MATCH(1,INDEX((原始数据!$D$3:$D$1002="HT20260606")*(原始数据!$L$3:$L$1002&lt;&gt;""),0),0)),"")</f>
        <v>九部</v>
      </c>
      <c r="L388" s="20" t="str">
        <f>IFERROR(INDEX(原始数据!$M$3:$M$1002,MATCH(1,INDEX((原始数据!$D$3:$D$1002="HT20260606")*(原始数据!$M$3:$M$1002&lt;&gt;""),0),0)),"")</f>
        <v>蒋涛</v>
      </c>
      <c r="M388" s="19" t="str">
        <f>IFERROR(INDEX(原始数据!$N$3:$N$1002,MATCH(1,INDEX((原始数据!$D$3:$D$1002="HT20260606")*(原始数据!$N$3:$N$1002&lt;&gt;""),0),0)),"")</f>
        <v>1年以内</v>
      </c>
      <c r="N388" s="19" t="inlineStr"/>
    </row>
    <row r="389">
      <c r="A389" s="13">
        <f>ROW()-2</f>
        <v>387</v>
      </c>
      <c r="B389" s="14" t="str">
        <f>IFERROR(INDEX(原始数据!$B$3:$B$1002,MATCH(1,INDEX((原始数据!$D$3:$D$1002="HT20260608")*(原始数据!$B$3:$B$1002&lt;&gt;""),0),0)),"")</f>
        <v>华东-江西</v>
      </c>
      <c r="C389" s="14" t="str">
        <f>IFERROR(INDEX(原始数据!$C$3:$C$1002,MATCH(1,INDEX((原始数据!$D$3:$D$1002="HT20260608")*(原始数据!$C$3:$C$1002&lt;&gt;""),0),0)),"")</f>
        <v>监察司法机关</v>
      </c>
      <c r="D389" s="15" t="inlineStr">
        <is>
          <t>HT20260608</t>
        </is>
      </c>
      <c r="E389" s="16">
        <f>IFERROR(INDEX(原始数据!$E$3:$E$1002,MATCH(1,INDEX((原始数据!$D$3:$D$1002="HT20260608")*(原始数据!$E$3:$E$1002&lt;&gt;""),0),0)),"")</f>
        <v>20260429</v>
      </c>
      <c r="F389" s="17">
        <f>SUMIFS(原始数据!$F$3:$F$1002,原始数据!$D$3:$D$1002,"HT20260608")</f>
        <v>6710.65</v>
      </c>
      <c r="G389" s="17">
        <f>SUMIFS(原始数据!$H$3:$H$1002,原始数据!$D$3:$D$1002,"HT20260608")</f>
        <v>5099.38</v>
      </c>
      <c r="H389" s="17">
        <f>SUMIFS(原始数据!$I$3:$I$1002,原始数据!$D$3:$D$1002,"HT20260608")</f>
        <v>1611.27</v>
      </c>
      <c r="I389" s="17">
        <f>SUMIFS(原始数据!$J$3:$J$1002,原始数据!$D$3:$D$1002,"HT20260608")</f>
        <v>1567.055</v>
      </c>
      <c r="J389" s="17">
        <f>SUMIFS(原始数据!$K$3:$K$1002,原始数据!$D$3:$D$1002,"HT20260608")</f>
        <v>44.215</v>
      </c>
      <c r="K389" s="14" t="str">
        <f>IFERROR(INDEX(原始数据!$L$3:$L$1002,MATCH(1,INDEX((原始数据!$D$3:$D$1002="HT20260608")*(原始数据!$L$3:$L$1002&lt;&gt;""),0),0)),"")</f>
        <v>八部</v>
      </c>
      <c r="L389" s="15" t="str">
        <f>IFERROR(INDEX(原始数据!$M$3:$M$1002,MATCH(1,INDEX((原始数据!$D$3:$D$1002="HT20260608")*(原始数据!$M$3:$M$1002&lt;&gt;""),0),0)),"")</f>
        <v>吕强</v>
      </c>
      <c r="M389" s="14" t="str">
        <f>IFERROR(INDEX(原始数据!$N$3:$N$1002,MATCH(1,INDEX((原始数据!$D$3:$D$1002="HT20260608")*(原始数据!$N$3:$N$1002&lt;&gt;""),0),0)),"")</f>
        <v>1-2年</v>
      </c>
      <c r="N389" s="14" t="inlineStr"/>
    </row>
    <row r="390">
      <c r="A390" s="18">
        <f>ROW()-2</f>
        <v>388</v>
      </c>
      <c r="B390" s="19" t="str">
        <f>IFERROR(INDEX(原始数据!$B$3:$B$1002,MATCH(1,INDEX((原始数据!$D$3:$D$1002="HT20260609")*(原始数据!$B$3:$B$1002&lt;&gt;""),0),0)),"")</f>
        <v>华南-海南</v>
      </c>
      <c r="C390" s="19" t="str">
        <f>IFERROR(INDEX(原始数据!$C$3:$C$1002,MATCH(1,INDEX((原始数据!$D$3:$D$1002="HT20260609")*(原始数据!$C$3:$C$1002&lt;&gt;""),0),0)),"")</f>
        <v>监察司法机关</v>
      </c>
      <c r="D390" s="20" t="inlineStr">
        <is>
          <t>HT20260609</t>
        </is>
      </c>
      <c r="E390" s="21">
        <f>IFERROR(INDEX(原始数据!$E$3:$E$1002,MATCH(1,INDEX((原始数据!$D$3:$D$1002="HT20260609")*(原始数据!$E$3:$E$1002&lt;&gt;""),0),0)),"")</f>
        <v>20260311</v>
      </c>
      <c r="F390" s="22">
        <f>SUMIFS(原始数据!$F$3:$F$1002,原始数据!$D$3:$D$1002,"HT20260609")</f>
        <v>665.302</v>
      </c>
      <c r="G390" s="22">
        <f>SUMIFS(原始数据!$H$3:$H$1002,原始数据!$D$3:$D$1002,"HT20260609")</f>
        <v>204.295</v>
      </c>
      <c r="H390" s="22">
        <f>SUMIFS(原始数据!$I$3:$I$1002,原始数据!$D$3:$D$1002,"HT20260609")</f>
        <v>461.007</v>
      </c>
      <c r="I390" s="22">
        <f>SUMIFS(原始数据!$J$3:$J$1002,原始数据!$D$3:$D$1002,"HT20260609")</f>
        <v>255.483</v>
      </c>
      <c r="J390" s="22">
        <f>SUMIFS(原始数据!$K$3:$K$1002,原始数据!$D$3:$D$1002,"HT20260609")</f>
        <v>205.524</v>
      </c>
      <c r="K390" s="19" t="str">
        <f>IFERROR(INDEX(原始数据!$L$3:$L$1002,MATCH(1,INDEX((原始数据!$D$3:$D$1002="HT20260609")*(原始数据!$L$3:$L$1002&lt;&gt;""),0),0)),"")</f>
        <v>一部</v>
      </c>
      <c r="L390" s="20" t="str">
        <f>IFERROR(INDEX(原始数据!$M$3:$M$1002,MATCH(1,INDEX((原始数据!$D$3:$D$1002="HT20260609")*(原始数据!$M$3:$M$1002&lt;&gt;""),0),0)),"")</f>
        <v>张伟</v>
      </c>
      <c r="M390" s="19" t="str">
        <f>IFERROR(INDEX(原始数据!$N$3:$N$1002,MATCH(1,INDEX((原始数据!$D$3:$D$1002="HT20260609")*(原始数据!$N$3:$N$1002&lt;&gt;""),0),0)),"")</f>
        <v>1年以内</v>
      </c>
      <c r="N390" s="19" t="inlineStr"/>
    </row>
    <row r="391">
      <c r="A391" s="13">
        <f>ROW()-2</f>
        <v>389</v>
      </c>
      <c r="B391" s="14" t="str">
        <f>IFERROR(INDEX(原始数据!$B$3:$B$1002,MATCH(1,INDEX((原始数据!$D$3:$D$1002="HT20260610")*(原始数据!$B$3:$B$1002&lt;&gt;""),0),0)),"")</f>
        <v>华南-海南</v>
      </c>
      <c r="C391" s="14" t="str">
        <f>IFERROR(INDEX(原始数据!$C$3:$C$1002,MATCH(1,INDEX((原始数据!$D$3:$D$1002="HT20260610")*(原始数据!$C$3:$C$1002&lt;&gt;""),0),0)),"")</f>
        <v>事业单位</v>
      </c>
      <c r="D391" s="15" t="inlineStr">
        <is>
          <t>HT20260610</t>
        </is>
      </c>
      <c r="E391" s="16">
        <f>IFERROR(INDEX(原始数据!$E$3:$E$1002,MATCH(1,INDEX((原始数据!$D$3:$D$1002="HT20260610")*(原始数据!$E$3:$E$1002&lt;&gt;""),0),0)),"")</f>
        <v>20260120</v>
      </c>
      <c r="F391" s="17">
        <f>SUMIFS(原始数据!$F$3:$F$1002,原始数据!$D$3:$D$1002,"HT20260610")</f>
        <v>803.543</v>
      </c>
      <c r="G391" s="17">
        <f>SUMIFS(原始数据!$H$3:$H$1002,原始数据!$D$3:$D$1002,"HT20260610")</f>
        <v>511.93</v>
      </c>
      <c r="H391" s="17">
        <f>SUMIFS(原始数据!$I$3:$I$1002,原始数据!$D$3:$D$1002,"HT20260610")</f>
        <v>291.613</v>
      </c>
      <c r="I391" s="17">
        <f>SUMIFS(原始数据!$J$3:$J$1002,原始数据!$D$3:$D$1002,"HT20260610")</f>
        <v>5.847</v>
      </c>
      <c r="J391" s="17">
        <f>SUMIFS(原始数据!$K$3:$K$1002,原始数据!$D$3:$D$1002,"HT20260610")</f>
        <v>285.766</v>
      </c>
      <c r="K391" s="14" t="str">
        <f>IFERROR(INDEX(原始数据!$L$3:$L$1002,MATCH(1,INDEX((原始数据!$D$3:$D$1002="HT20260610")*(原始数据!$L$3:$L$1002&lt;&gt;""),0),0)),"")</f>
        <v>五部</v>
      </c>
      <c r="L391" s="15" t="str">
        <f>IFERROR(INDEX(原始数据!$M$3:$M$1002,MATCH(1,INDEX((原始数据!$D$3:$D$1002="HT20260610")*(原始数据!$M$3:$M$1002&lt;&gt;""),0),0)),"")</f>
        <v>宋佳</v>
      </c>
      <c r="M391" s="14" t="str">
        <f>IFERROR(INDEX(原始数据!$N$3:$N$1002,MATCH(1,INDEX((原始数据!$D$3:$D$1002="HT20260610")*(原始数据!$N$3:$N$1002&lt;&gt;""),0),0)),"")</f>
        <v>1年以内</v>
      </c>
      <c r="N391" s="14" t="inlineStr"/>
    </row>
    <row r="392">
      <c r="A392" s="18">
        <f>ROW()-2</f>
        <v>390</v>
      </c>
      <c r="B392" s="19" t="str">
        <f>IFERROR(INDEX(原始数据!$B$3:$B$1002,MATCH(1,INDEX((原始数据!$D$3:$D$1002="HT20260611")*(原始数据!$B$3:$B$1002&lt;&gt;""),0),0)),"")</f>
        <v>西南-贵州</v>
      </c>
      <c r="C392" s="19" t="str">
        <f>IFERROR(INDEX(原始数据!$C$3:$C$1002,MATCH(1,INDEX((原始数据!$D$3:$D$1002="HT20260611")*(原始数据!$C$3:$C$1002&lt;&gt;""),0),0)),"")</f>
        <v>人大政协</v>
      </c>
      <c r="D392" s="20" t="inlineStr">
        <is>
          <t>HT20260611</t>
        </is>
      </c>
      <c r="E392" s="21">
        <f>IFERROR(INDEX(原始数据!$E$3:$E$1002,MATCH(1,INDEX((原始数据!$D$3:$D$1002="HT20260611")*(原始数据!$E$3:$E$1002&lt;&gt;""),0),0)),"")</f>
        <v>20260503</v>
      </c>
      <c r="F392" s="22">
        <f>SUMIFS(原始数据!$F$3:$F$1002,原始数据!$D$3:$D$1002,"HT20260611")</f>
        <v>792.509</v>
      </c>
      <c r="G392" s="22">
        <f>SUMIFS(原始数据!$H$3:$H$1002,原始数据!$D$3:$D$1002,"HT20260611")</f>
        <v>177.39</v>
      </c>
      <c r="H392" s="22">
        <f>SUMIFS(原始数据!$I$3:$I$1002,原始数据!$D$3:$D$1002,"HT20260611")</f>
        <v>615.119</v>
      </c>
      <c r="I392" s="22">
        <f>SUMIFS(原始数据!$J$3:$J$1002,原始数据!$D$3:$D$1002,"HT20260611")</f>
        <v>503.221</v>
      </c>
      <c r="J392" s="22">
        <f>SUMIFS(原始数据!$K$3:$K$1002,原始数据!$D$3:$D$1002,"HT20260611")</f>
        <v>111.898</v>
      </c>
      <c r="K392" s="19" t="str">
        <f>IFERROR(INDEX(原始数据!$L$3:$L$1002,MATCH(1,INDEX((原始数据!$D$3:$D$1002="HT20260611")*(原始数据!$L$3:$L$1002&lt;&gt;""),0),0)),"")</f>
        <v>八部</v>
      </c>
      <c r="L392" s="20" t="str">
        <f>IFERROR(INDEX(原始数据!$M$3:$M$1002,MATCH(1,INDEX((原始数据!$D$3:$D$1002="HT20260611")*(原始数据!$M$3:$M$1002&lt;&gt;""),0),0)),"")</f>
        <v>吕强</v>
      </c>
      <c r="M392" s="19" t="str">
        <f>IFERROR(INDEX(原始数据!$N$3:$N$1002,MATCH(1,INDEX((原始数据!$D$3:$D$1002="HT20260611")*(原始数据!$N$3:$N$1002&lt;&gt;""),0),0)),"")</f>
        <v>1年以内</v>
      </c>
      <c r="N392" s="19" t="inlineStr"/>
    </row>
    <row r="393">
      <c r="A393" s="13">
        <f>ROW()-2</f>
        <v>391</v>
      </c>
      <c r="B393" s="14" t="str">
        <f>IFERROR(INDEX(原始数据!$B$3:$B$1002,MATCH(1,INDEX((原始数据!$D$3:$D$1002="HT20260613")*(原始数据!$B$3:$B$1002&lt;&gt;""),0),0)),"")</f>
        <v>华北-天津</v>
      </c>
      <c r="C393" s="14" t="str">
        <f>IFERROR(INDEX(原始数据!$C$3:$C$1002,MATCH(1,INDEX((原始数据!$D$3:$D$1002="HT20260613")*(原始数据!$C$3:$C$1002&lt;&gt;""),0),0)),"")</f>
        <v>基层自治组织</v>
      </c>
      <c r="D393" s="15" t="inlineStr">
        <is>
          <t>HT20260613</t>
        </is>
      </c>
      <c r="E393" s="16">
        <f>IFERROR(INDEX(原始数据!$E$3:$E$1002,MATCH(1,INDEX((原始数据!$D$3:$D$1002="HT20260613")*(原始数据!$E$3:$E$1002&lt;&gt;""),0),0)),"")</f>
        <v>20260615</v>
      </c>
      <c r="F393" s="17">
        <f>SUMIFS(原始数据!$F$3:$F$1002,原始数据!$D$3:$D$1002,"HT20260613")</f>
        <v>1228.242</v>
      </c>
      <c r="G393" s="17">
        <f>SUMIFS(原始数据!$H$3:$H$1002,原始数据!$D$3:$D$1002,"HT20260613")</f>
        <v>58.908</v>
      </c>
      <c r="H393" s="17">
        <f>SUMIFS(原始数据!$I$3:$I$1002,原始数据!$D$3:$D$1002,"HT20260613")</f>
        <v>1169.3339999999998</v>
      </c>
      <c r="I393" s="17">
        <f>SUMIFS(原始数据!$J$3:$J$1002,原始数据!$D$3:$D$1002,"HT20260613")</f>
        <v>887.348</v>
      </c>
      <c r="J393" s="17">
        <f>SUMIFS(原始数据!$K$3:$K$1002,原始数据!$D$3:$D$1002,"HT20260613")</f>
        <v>281.986</v>
      </c>
      <c r="K393" s="14" t="str">
        <f>IFERROR(INDEX(原始数据!$L$3:$L$1002,MATCH(1,INDEX((原始数据!$D$3:$D$1002="HT20260613")*(原始数据!$L$3:$L$1002&lt;&gt;""),0),0)),"")</f>
        <v>四部</v>
      </c>
      <c r="L393" s="15" t="str">
        <f>IFERROR(INDEX(原始数据!$M$3:$M$1002,MATCH(1,INDEX((原始数据!$D$3:$D$1002="HT20260613")*(原始数据!$M$3:$M$1002&lt;&gt;""),0),0)),"")</f>
        <v>高翔</v>
      </c>
      <c r="M393" s="14" t="str">
        <f>IFERROR(INDEX(原始数据!$N$3:$N$1002,MATCH(1,INDEX((原始数据!$D$3:$D$1002="HT20260613")*(原始数据!$N$3:$N$1002&lt;&gt;""),0),0)),"")</f>
        <v>1-2年</v>
      </c>
      <c r="N393" s="14" t="inlineStr"/>
    </row>
    <row r="394">
      <c r="A394" s="18">
        <f>ROW()-2</f>
        <v>392</v>
      </c>
      <c r="B394" s="19" t="str">
        <f>IFERROR(INDEX(原始数据!$B$3:$B$1002,MATCH(1,INDEX((原始数据!$D$3:$D$1002="HT20260614")*(原始数据!$B$3:$B$1002&lt;&gt;""),0),0)),"")</f>
        <v>华东-山东</v>
      </c>
      <c r="C394" s="19" t="str">
        <f>IFERROR(INDEX(原始数据!$C$3:$C$1002,MATCH(1,INDEX((原始数据!$D$3:$D$1002="HT20260614")*(原始数据!$C$3:$C$1002&lt;&gt;""),0),0)),"")</f>
        <v>事业单位</v>
      </c>
      <c r="D394" s="20" t="inlineStr">
        <is>
          <t>HT20260614</t>
        </is>
      </c>
      <c r="E394" s="21">
        <f>IFERROR(INDEX(原始数据!$E$3:$E$1002,MATCH(1,INDEX((原始数据!$D$3:$D$1002="HT20260614")*(原始数据!$E$3:$E$1002&lt;&gt;""),0),0)),"")</f>
        <v>20260222</v>
      </c>
      <c r="F394" s="22">
        <f>SUMIFS(原始数据!$F$3:$F$1002,原始数据!$D$3:$D$1002,"HT20260614")</f>
        <v>797.912</v>
      </c>
      <c r="G394" s="22">
        <f>SUMIFS(原始数据!$H$3:$H$1002,原始数据!$D$3:$D$1002,"HT20260614")</f>
        <v>26.942999999999998</v>
      </c>
      <c r="H394" s="22">
        <f>SUMIFS(原始数据!$I$3:$I$1002,原始数据!$D$3:$D$1002,"HT20260614")</f>
        <v>770.9689999999999</v>
      </c>
      <c r="I394" s="22">
        <f>SUMIFS(原始数据!$J$3:$J$1002,原始数据!$D$3:$D$1002,"HT20260614")</f>
        <v>140.172</v>
      </c>
      <c r="J394" s="22">
        <f>SUMIFS(原始数据!$K$3:$K$1002,原始数据!$D$3:$D$1002,"HT20260614")</f>
        <v>630.797</v>
      </c>
      <c r="K394" s="19" t="str">
        <f>IFERROR(INDEX(原始数据!$L$3:$L$1002,MATCH(1,INDEX((原始数据!$D$3:$D$1002="HT20260614")*(原始数据!$L$3:$L$1002&lt;&gt;""),0),0)),"")</f>
        <v>九部</v>
      </c>
      <c r="L394" s="20" t="str">
        <f>IFERROR(INDEX(原始数据!$M$3:$M$1002,MATCH(1,INDEX((原始数据!$D$3:$D$1002="HT20260614")*(原始数据!$M$3:$M$1002&lt;&gt;""),0),0)),"")</f>
        <v>丁磊</v>
      </c>
      <c r="M394" s="19" t="str">
        <f>IFERROR(INDEX(原始数据!$N$3:$N$1002,MATCH(1,INDEX((原始数据!$D$3:$D$1002="HT20260614")*(原始数据!$N$3:$N$1002&lt;&gt;""),0),0)),"")</f>
        <v>1-2年</v>
      </c>
      <c r="N394" s="19" t="inlineStr"/>
    </row>
    <row r="395">
      <c r="A395" s="13">
        <f>ROW()-2</f>
        <v>393</v>
      </c>
      <c r="B395" s="14" t="str">
        <f>IFERROR(INDEX(原始数据!$B$3:$B$1002,MATCH(1,INDEX((原始数据!$D$3:$D$1002="HT20260615")*(原始数据!$B$3:$B$1002&lt;&gt;""),0),0)),"")</f>
        <v>华东-上海</v>
      </c>
      <c r="C395" s="14" t="str">
        <f>IFERROR(INDEX(原始数据!$C$3:$C$1002,MATCH(1,INDEX((原始数据!$D$3:$D$1002="HT20260615")*(原始数据!$C$3:$C$1002&lt;&gt;""),0),0)),"")</f>
        <v>党委机关</v>
      </c>
      <c r="D395" s="15" t="inlineStr">
        <is>
          <t>HT20260615</t>
        </is>
      </c>
      <c r="E395" s="16">
        <f>IFERROR(INDEX(原始数据!$E$3:$E$1002,MATCH(1,INDEX((原始数据!$D$3:$D$1002="HT20260615")*(原始数据!$E$3:$E$1002&lt;&gt;""),0),0)),"")</f>
        <v>20260204</v>
      </c>
      <c r="F395" s="17">
        <f>SUMIFS(原始数据!$F$3:$F$1002,原始数据!$D$3:$D$1002,"HT20260615")</f>
        <v>1022.557</v>
      </c>
      <c r="G395" s="17">
        <f>SUMIFS(原始数据!$H$3:$H$1002,原始数据!$D$3:$D$1002,"HT20260615")</f>
        <v>744.585</v>
      </c>
      <c r="H395" s="17">
        <f>SUMIFS(原始数据!$I$3:$I$1002,原始数据!$D$3:$D$1002,"HT20260615")</f>
        <v>277.972</v>
      </c>
      <c r="I395" s="17">
        <f>SUMIFS(原始数据!$J$3:$J$1002,原始数据!$D$3:$D$1002,"HT20260615")</f>
        <v>239.18900000000002</v>
      </c>
      <c r="J395" s="17">
        <f>SUMIFS(原始数据!$K$3:$K$1002,原始数据!$D$3:$D$1002,"HT20260615")</f>
        <v>38.783</v>
      </c>
      <c r="K395" s="14" t="str">
        <f>IFERROR(INDEX(原始数据!$L$3:$L$1002,MATCH(1,INDEX((原始数据!$D$3:$D$1002="HT20260615")*(原始数据!$L$3:$L$1002&lt;&gt;""),0),0)),"")</f>
        <v>九部</v>
      </c>
      <c r="L395" s="15" t="str">
        <f>IFERROR(INDEX(原始数据!$M$3:$M$1002,MATCH(1,INDEX((原始数据!$D$3:$D$1002="HT20260615")*(原始数据!$M$3:$M$1002&lt;&gt;""),0),0)),"")</f>
        <v>贾静</v>
      </c>
      <c r="M395" s="14" t="str">
        <f>IFERROR(INDEX(原始数据!$N$3:$N$1002,MATCH(1,INDEX((原始数据!$D$3:$D$1002="HT20260615")*(原始数据!$N$3:$N$1002&lt;&gt;""),0),0)),"")</f>
        <v>2-3年</v>
      </c>
      <c r="N395" s="14" t="inlineStr"/>
    </row>
    <row r="396">
      <c r="A396" s="18">
        <f>ROW()-2</f>
        <v>394</v>
      </c>
      <c r="B396" s="19" t="str">
        <f>IFERROR(INDEX(原始数据!$B$3:$B$1002,MATCH(1,INDEX((原始数据!$D$3:$D$1002="HT20260618")*(原始数据!$B$3:$B$1002&lt;&gt;""),0),0)),"")</f>
        <v>华北-天津</v>
      </c>
      <c r="C396" s="19" t="str">
        <f>IFERROR(INDEX(原始数据!$C$3:$C$1002,MATCH(1,INDEX((原始数据!$D$3:$D$1002="HT20260618")*(原始数据!$C$3:$C$1002&lt;&gt;""),0),0)),"")</f>
        <v>基层自治组织</v>
      </c>
      <c r="D396" s="20" t="inlineStr">
        <is>
          <t>HT20260618</t>
        </is>
      </c>
      <c r="E396" s="21">
        <f>IFERROR(INDEX(原始数据!$E$3:$E$1002,MATCH(1,INDEX((原始数据!$D$3:$D$1002="HT20260618")*(原始数据!$E$3:$E$1002&lt;&gt;""),0),0)),"")</f>
        <v>20260312</v>
      </c>
      <c r="F396" s="22">
        <f>SUMIFS(原始数据!$F$3:$F$1002,原始数据!$D$3:$D$1002,"HT20260618")</f>
        <v>10030.457</v>
      </c>
      <c r="G396" s="22">
        <f>SUMIFS(原始数据!$H$3:$H$1002,原始数据!$D$3:$D$1002,"HT20260618")</f>
        <v>4415.652</v>
      </c>
      <c r="H396" s="22">
        <f>SUMIFS(原始数据!$I$3:$I$1002,原始数据!$D$3:$D$1002,"HT20260618")</f>
        <v>5614.805</v>
      </c>
      <c r="I396" s="22">
        <f>SUMIFS(原始数据!$J$3:$J$1002,原始数据!$D$3:$D$1002,"HT20260618")</f>
        <v>2789.745</v>
      </c>
      <c r="J396" s="22">
        <f>SUMIFS(原始数据!$K$3:$K$1002,原始数据!$D$3:$D$1002,"HT20260618")</f>
        <v>2825.06</v>
      </c>
      <c r="K396" s="19" t="str">
        <f>IFERROR(INDEX(原始数据!$L$3:$L$1002,MATCH(1,INDEX((原始数据!$D$3:$D$1002="HT20260618")*(原始数据!$L$3:$L$1002&lt;&gt;""),0),0)),"")</f>
        <v>四部</v>
      </c>
      <c r="L396" s="20" t="str">
        <f>IFERROR(INDEX(原始数据!$M$3:$M$1002,MATCH(1,INDEX((原始数据!$D$3:$D$1002="HT20260618")*(原始数据!$M$3:$M$1002&lt;&gt;""),0),0)),"")</f>
        <v>罗刚</v>
      </c>
      <c r="M396" s="19" t="str">
        <f>IFERROR(INDEX(原始数据!$N$3:$N$1002,MATCH(1,INDEX((原始数据!$D$3:$D$1002="HT20260618")*(原始数据!$N$3:$N$1002&lt;&gt;""),0),0)),"")</f>
        <v>1年以内</v>
      </c>
      <c r="N396" s="19" t="inlineStr"/>
    </row>
    <row r="397">
      <c r="A397" s="13">
        <f>ROW()-2</f>
        <v>395</v>
      </c>
      <c r="B397" s="14" t="str">
        <f>IFERROR(INDEX(原始数据!$B$3:$B$1002,MATCH(1,INDEX((原始数据!$D$3:$D$1002="HT20260619")*(原始数据!$B$3:$B$1002&lt;&gt;""),0),0)),"")</f>
        <v>华南-香港</v>
      </c>
      <c r="C397" s="14" t="str">
        <f>IFERROR(INDEX(原始数据!$C$3:$C$1002,MATCH(1,INDEX((原始数据!$D$3:$D$1002="HT20260619")*(原始数据!$C$3:$C$1002&lt;&gt;""),0),0)),"")</f>
        <v>事业单位</v>
      </c>
      <c r="D397" s="15" t="inlineStr">
        <is>
          <t>HT20260619</t>
        </is>
      </c>
      <c r="E397" s="16">
        <f>IFERROR(INDEX(原始数据!$E$3:$E$1002,MATCH(1,INDEX((原始数据!$D$3:$D$1002="HT20260619")*(原始数据!$E$3:$E$1002&lt;&gt;""),0),0)),"")</f>
        <v>20260714</v>
      </c>
      <c r="F397" s="17">
        <f>SUMIFS(原始数据!$F$3:$F$1002,原始数据!$D$3:$D$1002,"HT20260619")</f>
        <v>7627.912</v>
      </c>
      <c r="G397" s="17">
        <f>SUMIFS(原始数据!$H$3:$H$1002,原始数据!$D$3:$D$1002,"HT20260619")</f>
        <v>4447.647</v>
      </c>
      <c r="H397" s="17">
        <f>SUMIFS(原始数据!$I$3:$I$1002,原始数据!$D$3:$D$1002,"HT20260619")</f>
        <v>3180.265</v>
      </c>
      <c r="I397" s="17">
        <f>SUMIFS(原始数据!$J$3:$J$1002,原始数据!$D$3:$D$1002,"HT20260619")</f>
        <v>1412.655</v>
      </c>
      <c r="J397" s="17">
        <f>SUMIFS(原始数据!$K$3:$K$1002,原始数据!$D$3:$D$1002,"HT20260619")</f>
        <v>1767.6100000000001</v>
      </c>
      <c r="K397" s="14" t="str">
        <f>IFERROR(INDEX(原始数据!$L$3:$L$1002,MATCH(1,INDEX((原始数据!$D$3:$D$1002="HT20260619")*(原始数据!$L$3:$L$1002&lt;&gt;""),0),0)),"")</f>
        <v>十部</v>
      </c>
      <c r="L397" s="15" t="str">
        <f>IFERROR(INDEX(原始数据!$M$3:$M$1002,MATCH(1,INDEX((原始数据!$D$3:$D$1002="HT20260619")*(原始数据!$M$3:$M$1002&lt;&gt;""),0),0)),"")</f>
        <v>雷声</v>
      </c>
      <c r="M397" s="14" t="str">
        <f>IFERROR(INDEX(原始数据!$N$3:$N$1002,MATCH(1,INDEX((原始数据!$D$3:$D$1002="HT20260619")*(原始数据!$N$3:$N$1002&lt;&gt;""),0),0)),"")</f>
        <v>2-3年</v>
      </c>
      <c r="N397" s="14" t="inlineStr"/>
    </row>
    <row r="398">
      <c r="A398" s="18">
        <f>ROW()-2</f>
        <v>396</v>
      </c>
      <c r="B398" s="19" t="str">
        <f>IFERROR(INDEX(原始数据!$B$3:$B$1002,MATCH(1,INDEX((原始数据!$D$3:$D$1002="HT20260621")*(原始数据!$B$3:$B$1002&lt;&gt;""),0),0)),"")</f>
        <v>华北-山西</v>
      </c>
      <c r="C398" s="19" t="str">
        <f>IFERROR(INDEX(原始数据!$C$3:$C$1002,MATCH(1,INDEX((原始数据!$D$3:$D$1002="HT20260621")*(原始数据!$C$3:$C$1002&lt;&gt;""),0),0)),"")</f>
        <v>事业单位</v>
      </c>
      <c r="D398" s="20" t="inlineStr">
        <is>
          <t>HT20260621</t>
        </is>
      </c>
      <c r="E398" s="21">
        <f>IFERROR(INDEX(原始数据!$E$3:$E$1002,MATCH(1,INDEX((原始数据!$D$3:$D$1002="HT20260621")*(原始数据!$E$3:$E$1002&lt;&gt;""),0),0)),"")</f>
        <v>20260122</v>
      </c>
      <c r="F398" s="22">
        <f>SUMIFS(原始数据!$F$3:$F$1002,原始数据!$D$3:$D$1002,"HT20260621")</f>
        <v>9762.012999999999</v>
      </c>
      <c r="G398" s="22">
        <f>SUMIFS(原始数据!$H$3:$H$1002,原始数据!$D$3:$D$1002,"HT20260621")</f>
        <v>2185.442</v>
      </c>
      <c r="H398" s="22">
        <f>SUMIFS(原始数据!$I$3:$I$1002,原始数据!$D$3:$D$1002,"HT20260621")</f>
        <v>7576.571</v>
      </c>
      <c r="I398" s="22">
        <f>SUMIFS(原始数据!$J$3:$J$1002,原始数据!$D$3:$D$1002,"HT20260621")</f>
        <v>3463.1669999999995</v>
      </c>
      <c r="J398" s="22">
        <f>SUMIFS(原始数据!$K$3:$K$1002,原始数据!$D$3:$D$1002,"HT20260621")</f>
        <v>4113.404</v>
      </c>
      <c r="K398" s="19" t="str">
        <f>IFERROR(INDEX(原始数据!$L$3:$L$1002,MATCH(1,INDEX((原始数据!$D$3:$D$1002="HT20260621")*(原始数据!$L$3:$L$1002&lt;&gt;""),0),0)),"")</f>
        <v>八部</v>
      </c>
      <c r="L398" s="20" t="str">
        <f>IFERROR(INDEX(原始数据!$M$3:$M$1002,MATCH(1,INDEX((原始数据!$D$3:$D$1002="HT20260621")*(原始数据!$M$3:$M$1002&lt;&gt;""),0),0)),"")</f>
        <v>卢俊</v>
      </c>
      <c r="M398" s="19" t="str">
        <f>IFERROR(INDEX(原始数据!$N$3:$N$1002,MATCH(1,INDEX((原始数据!$D$3:$D$1002="HT20260621")*(原始数据!$N$3:$N$1002&lt;&gt;""),0),0)),"")</f>
        <v>2-3年</v>
      </c>
      <c r="N398" s="19" t="inlineStr"/>
    </row>
    <row r="399">
      <c r="A399" s="13">
        <f>ROW()-2</f>
        <v>397</v>
      </c>
      <c r="B399" s="14" t="str">
        <f>IFERROR(INDEX(原始数据!$B$3:$B$1002,MATCH(1,INDEX((原始数据!$D$3:$D$1002="HT20260622")*(原始数据!$B$3:$B$1002&lt;&gt;""),0),0)),"")</f>
        <v>华东-山东</v>
      </c>
      <c r="C399" s="14" t="str">
        <f>IFERROR(INDEX(原始数据!$C$3:$C$1002,MATCH(1,INDEX((原始数据!$D$3:$D$1002="HT20260622")*(原始数据!$C$3:$C$1002&lt;&gt;""),0),0)),"")</f>
        <v>国有企业</v>
      </c>
      <c r="D399" s="15" t="inlineStr">
        <is>
          <t>HT20260622</t>
        </is>
      </c>
      <c r="E399" s="16">
        <f>IFERROR(INDEX(原始数据!$E$3:$E$1002,MATCH(1,INDEX((原始数据!$D$3:$D$1002="HT20260622")*(原始数据!$E$3:$E$1002&lt;&gt;""),0),0)),"")</f>
        <v>20260306</v>
      </c>
      <c r="F399" s="17">
        <f>SUMIFS(原始数据!$F$3:$F$1002,原始数据!$D$3:$D$1002,"HT20260622")</f>
        <v>7951.773</v>
      </c>
      <c r="G399" s="17">
        <f>SUMIFS(原始数据!$H$3:$H$1002,原始数据!$D$3:$D$1002,"HT20260622")</f>
        <v>7319.17</v>
      </c>
      <c r="H399" s="17">
        <f>SUMIFS(原始数据!$I$3:$I$1002,原始数据!$D$3:$D$1002,"HT20260622")</f>
        <v>632.6030000000001</v>
      </c>
      <c r="I399" s="17">
        <f>SUMIFS(原始数据!$J$3:$J$1002,原始数据!$D$3:$D$1002,"HT20260622")</f>
        <v>155.863</v>
      </c>
      <c r="J399" s="17">
        <f>SUMIFS(原始数据!$K$3:$K$1002,原始数据!$D$3:$D$1002,"HT20260622")</f>
        <v>476.74</v>
      </c>
      <c r="K399" s="14" t="str">
        <f>IFERROR(INDEX(原始数据!$L$3:$L$1002,MATCH(1,INDEX((原始数据!$D$3:$D$1002="HT20260622")*(原始数据!$L$3:$L$1002&lt;&gt;""),0),0)),"")</f>
        <v>二部</v>
      </c>
      <c r="L399" s="15" t="str">
        <f>IFERROR(INDEX(原始数据!$M$3:$M$1002,MATCH(1,INDEX((原始数据!$D$3:$D$1002="HT20260622")*(原始数据!$M$3:$M$1002&lt;&gt;""),0),0)),"")</f>
        <v>赵敏</v>
      </c>
      <c r="M399" s="14" t="str">
        <f>IFERROR(INDEX(原始数据!$N$3:$N$1002,MATCH(1,INDEX((原始数据!$D$3:$D$1002="HT20260622")*(原始数据!$N$3:$N$1002&lt;&gt;""),0),0)),"")</f>
        <v>1-2年</v>
      </c>
      <c r="N399" s="14" t="inlineStr"/>
    </row>
    <row r="400">
      <c r="A400" s="18">
        <f>ROW()-2</f>
        <v>398</v>
      </c>
      <c r="B400" s="19" t="str">
        <f>IFERROR(INDEX(原始数据!$B$3:$B$1002,MATCH(1,INDEX((原始数据!$D$3:$D$1002="HT20260623")*(原始数据!$B$3:$B$1002&lt;&gt;""),0),0)),"")</f>
        <v>华东-山东</v>
      </c>
      <c r="C400" s="19" t="str">
        <f>IFERROR(INDEX(原始数据!$C$3:$C$1002,MATCH(1,INDEX((原始数据!$D$3:$D$1002="HT20260623")*(原始数据!$C$3:$C$1002&lt;&gt;""),0),0)),"")</f>
        <v>监察司法机关</v>
      </c>
      <c r="D400" s="20" t="inlineStr">
        <is>
          <t>HT20260623</t>
        </is>
      </c>
      <c r="E400" s="21">
        <f>IFERROR(INDEX(原始数据!$E$3:$E$1002,MATCH(1,INDEX((原始数据!$D$3:$D$1002="HT20260623")*(原始数据!$E$3:$E$1002&lt;&gt;""),0),0)),"")</f>
        <v>20260315</v>
      </c>
      <c r="F400" s="22">
        <f>SUMIFS(原始数据!$F$3:$F$1002,原始数据!$D$3:$D$1002,"HT20260623")</f>
        <v>457.178</v>
      </c>
      <c r="G400" s="22">
        <f>SUMIFS(原始数据!$H$3:$H$1002,原始数据!$D$3:$D$1002,"HT20260623")</f>
        <v>189.124</v>
      </c>
      <c r="H400" s="22">
        <f>SUMIFS(原始数据!$I$3:$I$1002,原始数据!$D$3:$D$1002,"HT20260623")</f>
        <v>268.054</v>
      </c>
      <c r="I400" s="22">
        <f>SUMIFS(原始数据!$J$3:$J$1002,原始数据!$D$3:$D$1002,"HT20260623")</f>
        <v>89.756</v>
      </c>
      <c r="J400" s="22">
        <f>SUMIFS(原始数据!$K$3:$K$1002,原始数据!$D$3:$D$1002,"HT20260623")</f>
        <v>178.298</v>
      </c>
      <c r="K400" s="19" t="str">
        <f>IFERROR(INDEX(原始数据!$L$3:$L$1002,MATCH(1,INDEX((原始数据!$D$3:$D$1002="HT20260623")*(原始数据!$L$3:$L$1002&lt;&gt;""),0),0)),"")</f>
        <v>二部</v>
      </c>
      <c r="L400" s="20" t="str">
        <f>IFERROR(INDEX(原始数据!$M$3:$M$1002,MATCH(1,INDEX((原始数据!$D$3:$D$1002="HT20260623")*(原始数据!$M$3:$M$1002&lt;&gt;""),0),0)),"")</f>
        <v>吴丽</v>
      </c>
      <c r="M400" s="19" t="str">
        <f>IFERROR(INDEX(原始数据!$N$3:$N$1002,MATCH(1,INDEX((原始数据!$D$3:$D$1002="HT20260623")*(原始数据!$N$3:$N$1002&lt;&gt;""),0),0)),"")</f>
        <v>2-3年</v>
      </c>
      <c r="N400" s="19" t="inlineStr"/>
    </row>
    <row r="401">
      <c r="A401" s="13">
        <f>ROW()-2</f>
        <v>399</v>
      </c>
      <c r="B401" s="14" t="str">
        <f>IFERROR(INDEX(原始数据!$B$3:$B$1002,MATCH(1,INDEX((原始数据!$D$3:$D$1002="HT20260624")*(原始数据!$B$3:$B$1002&lt;&gt;""),0),0)),"")</f>
        <v>西北-宁夏</v>
      </c>
      <c r="C401" s="14" t="str">
        <f>IFERROR(INDEX(原始数据!$C$3:$C$1002,MATCH(1,INDEX((原始数据!$D$3:$D$1002="HT20260624")*(原始数据!$C$3:$C$1002&lt;&gt;""),0),0)),"")</f>
        <v>党委机关</v>
      </c>
      <c r="D401" s="15" t="inlineStr">
        <is>
          <t>HT20260624</t>
        </is>
      </c>
      <c r="E401" s="16">
        <f>IFERROR(INDEX(原始数据!$E$3:$E$1002,MATCH(1,INDEX((原始数据!$D$3:$D$1002="HT20260624")*(原始数据!$E$3:$E$1002&lt;&gt;""),0),0)),"")</f>
        <v>20260228</v>
      </c>
      <c r="F401" s="17">
        <f>SUMIFS(原始数据!$F$3:$F$1002,原始数据!$D$3:$D$1002,"HT20260624")</f>
        <v>413.966</v>
      </c>
      <c r="G401" s="17">
        <f>SUMIFS(原始数据!$H$3:$H$1002,原始数据!$D$3:$D$1002,"HT20260624")</f>
        <v>115.384</v>
      </c>
      <c r="H401" s="17">
        <f>SUMIFS(原始数据!$I$3:$I$1002,原始数据!$D$3:$D$1002,"HT20260624")</f>
        <v>298.582</v>
      </c>
      <c r="I401" s="17">
        <f>SUMIFS(原始数据!$J$3:$J$1002,原始数据!$D$3:$D$1002,"HT20260624")</f>
        <v>147.205</v>
      </c>
      <c r="J401" s="17">
        <f>SUMIFS(原始数据!$K$3:$K$1002,原始数据!$D$3:$D$1002,"HT20260624")</f>
        <v>151.377</v>
      </c>
      <c r="K401" s="14" t="str">
        <f>IFERROR(INDEX(原始数据!$L$3:$L$1002,MATCH(1,INDEX((原始数据!$D$3:$D$1002="HT20260624")*(原始数据!$L$3:$L$1002&lt;&gt;""),0),0)),"")</f>
        <v>八部</v>
      </c>
      <c r="L401" s="15" t="str">
        <f>IFERROR(INDEX(原始数据!$M$3:$M$1002,MATCH(1,INDEX((原始数据!$D$3:$D$1002="HT20260624")*(原始数据!$M$3:$M$1002&lt;&gt;""),0),0)),"")</f>
        <v>曾辉</v>
      </c>
      <c r="M401" s="14" t="str">
        <f>IFERROR(INDEX(原始数据!$N$3:$N$1002,MATCH(1,INDEX((原始数据!$D$3:$D$1002="HT20260624")*(原始数据!$N$3:$N$1002&lt;&gt;""),0),0)),"")</f>
        <v>2-3年</v>
      </c>
      <c r="N401" s="14" t="inlineStr"/>
    </row>
    <row r="402">
      <c r="A402" s="18">
        <f>ROW()-2</f>
        <v>400</v>
      </c>
      <c r="B402" s="19" t="str">
        <f>IFERROR(INDEX(原始数据!$B$3:$B$1002,MATCH(1,INDEX((原始数据!$D$3:$D$1002="HT20260627")*(原始数据!$B$3:$B$1002&lt;&gt;""),0),0)),"")</f>
        <v>西南-重庆</v>
      </c>
      <c r="C402" s="19" t="str">
        <f>IFERROR(INDEX(原始数据!$C$3:$C$1002,MATCH(1,INDEX((原始数据!$D$3:$D$1002="HT20260627")*(原始数据!$C$3:$C$1002&lt;&gt;""),0),0)),"")</f>
        <v>监察司法机关</v>
      </c>
      <c r="D402" s="20" t="inlineStr">
        <is>
          <t>HT20260627</t>
        </is>
      </c>
      <c r="E402" s="21">
        <f>IFERROR(INDEX(原始数据!$E$3:$E$1002,MATCH(1,INDEX((原始数据!$D$3:$D$1002="HT20260627")*(原始数据!$E$3:$E$1002&lt;&gt;""),0),0)),"")</f>
        <v>20260526</v>
      </c>
      <c r="F402" s="22">
        <f>SUMIFS(原始数据!$F$3:$F$1002,原始数据!$D$3:$D$1002,"HT20260627")</f>
        <v>326.709</v>
      </c>
      <c r="G402" s="22">
        <f>SUMIFS(原始数据!$H$3:$H$1002,原始数据!$D$3:$D$1002,"HT20260627")</f>
        <v>30.8</v>
      </c>
      <c r="H402" s="22">
        <f>SUMIFS(原始数据!$I$3:$I$1002,原始数据!$D$3:$D$1002,"HT20260627")</f>
        <v>295.909</v>
      </c>
      <c r="I402" s="22">
        <f>SUMIFS(原始数据!$J$3:$J$1002,原始数据!$D$3:$D$1002,"HT20260627")</f>
        <v>62.543</v>
      </c>
      <c r="J402" s="22">
        <f>SUMIFS(原始数据!$K$3:$K$1002,原始数据!$D$3:$D$1002,"HT20260627")</f>
        <v>233.366</v>
      </c>
      <c r="K402" s="19" t="str">
        <f>IFERROR(INDEX(原始数据!$L$3:$L$1002,MATCH(1,INDEX((原始数据!$D$3:$D$1002="HT20260627")*(原始数据!$L$3:$L$1002&lt;&gt;""),0),0)),"")</f>
        <v>十部</v>
      </c>
      <c r="L402" s="20" t="str">
        <f>IFERROR(INDEX(原始数据!$M$3:$M$1002,MATCH(1,INDEX((原始数据!$D$3:$D$1002="HT20260627")*(原始数据!$M$3:$M$1002&lt;&gt;""),0),0)),"")</f>
        <v>侯敏</v>
      </c>
      <c r="M402" s="19" t="str">
        <f>IFERROR(INDEX(原始数据!$N$3:$N$1002,MATCH(1,INDEX((原始数据!$D$3:$D$1002="HT20260627")*(原始数据!$N$3:$N$1002&lt;&gt;""),0),0)),"")</f>
        <v>1-2年</v>
      </c>
      <c r="N402" s="19" t="inlineStr"/>
    </row>
    <row r="403">
      <c r="A403" s="13">
        <f>ROW()-2</f>
        <v>401</v>
      </c>
      <c r="B403" s="14" t="str">
        <f>IFERROR(INDEX(原始数据!$B$3:$B$1002,MATCH(1,INDEX((原始数据!$D$3:$D$1002="HT20260628")*(原始数据!$B$3:$B$1002&lt;&gt;""),0),0)),"")</f>
        <v>华北-北京</v>
      </c>
      <c r="C403" s="14" t="str">
        <f>IFERROR(INDEX(原始数据!$C$3:$C$1002,MATCH(1,INDEX((原始数据!$D$3:$D$1002="HT20260628")*(原始数据!$C$3:$C$1002&lt;&gt;""),0),0)),"")</f>
        <v>人大政协</v>
      </c>
      <c r="D403" s="15" t="inlineStr">
        <is>
          <t>HT20260628</t>
        </is>
      </c>
      <c r="E403" s="16">
        <f>IFERROR(INDEX(原始数据!$E$3:$E$1002,MATCH(1,INDEX((原始数据!$D$3:$D$1002="HT20260628")*(原始数据!$E$3:$E$1002&lt;&gt;""),0),0)),"")</f>
        <v>20260404</v>
      </c>
      <c r="F403" s="17">
        <f>SUMIFS(原始数据!$F$3:$F$1002,原始数据!$D$3:$D$1002,"HT20260628")</f>
        <v>1187.341</v>
      </c>
      <c r="G403" s="17">
        <f>SUMIFS(原始数据!$H$3:$H$1002,原始数据!$D$3:$D$1002,"HT20260628")</f>
        <v>881.315</v>
      </c>
      <c r="H403" s="17">
        <f>SUMIFS(原始数据!$I$3:$I$1002,原始数据!$D$3:$D$1002,"HT20260628")</f>
        <v>306.026</v>
      </c>
      <c r="I403" s="17">
        <f>SUMIFS(原始数据!$J$3:$J$1002,原始数据!$D$3:$D$1002,"HT20260628")</f>
        <v>33.553</v>
      </c>
      <c r="J403" s="17">
        <f>SUMIFS(原始数据!$K$3:$K$1002,原始数据!$D$3:$D$1002,"HT20260628")</f>
        <v>272.473</v>
      </c>
      <c r="K403" s="14" t="str">
        <f>IFERROR(INDEX(原始数据!$L$3:$L$1002,MATCH(1,INDEX((原始数据!$D$3:$D$1002="HT20260628")*(原始数据!$L$3:$L$1002&lt;&gt;""),0),0)),"")</f>
        <v>六部</v>
      </c>
      <c r="L403" s="15" t="str">
        <f>IFERROR(INDEX(原始数据!$M$3:$M$1002,MATCH(1,INDEX((原始数据!$D$3:$D$1002="HT20260628")*(原始数据!$M$3:$M$1002&lt;&gt;""),0),0)),"")</f>
        <v>冯倩</v>
      </c>
      <c r="M403" s="14" t="str">
        <f>IFERROR(INDEX(原始数据!$N$3:$N$1002,MATCH(1,INDEX((原始数据!$D$3:$D$1002="HT20260628")*(原始数据!$N$3:$N$1002&lt;&gt;""),0),0)),"")</f>
        <v>1年以内</v>
      </c>
      <c r="N403" s="14" t="inlineStr"/>
    </row>
    <row r="404">
      <c r="A404" s="18">
        <f>ROW()-2</f>
        <v>402</v>
      </c>
      <c r="B404" s="19" t="str">
        <f>IFERROR(INDEX(原始数据!$B$3:$B$1002,MATCH(1,INDEX((原始数据!$D$3:$D$1002="HT20260629")*(原始数据!$B$3:$B$1002&lt;&gt;""),0),0)),"")</f>
        <v>华南-广东</v>
      </c>
      <c r="C404" s="19" t="str">
        <f>IFERROR(INDEX(原始数据!$C$3:$C$1002,MATCH(1,INDEX((原始数据!$D$3:$D$1002="HT20260629")*(原始数据!$C$3:$C$1002&lt;&gt;""),0),0)),"")</f>
        <v>群团组织</v>
      </c>
      <c r="D404" s="20" t="inlineStr">
        <is>
          <t>HT20260629</t>
        </is>
      </c>
      <c r="E404" s="21">
        <f>IFERROR(INDEX(原始数据!$E$3:$E$1002,MATCH(1,INDEX((原始数据!$D$3:$D$1002="HT20260629")*(原始数据!$E$3:$E$1002&lt;&gt;""),0),0)),"")</f>
        <v>20260908</v>
      </c>
      <c r="F404" s="22">
        <f>SUMIFS(原始数据!$F$3:$F$1002,原始数据!$D$3:$D$1002,"HT20260629")</f>
        <v>7294.337</v>
      </c>
      <c r="G404" s="22">
        <f>SUMIFS(原始数据!$H$3:$H$1002,原始数据!$D$3:$D$1002,"HT20260629")</f>
        <v>1903.724</v>
      </c>
      <c r="H404" s="22">
        <f>SUMIFS(原始数据!$I$3:$I$1002,原始数据!$D$3:$D$1002,"HT20260629")</f>
        <v>5390.613</v>
      </c>
      <c r="I404" s="22">
        <f>SUMIFS(原始数据!$J$3:$J$1002,原始数据!$D$3:$D$1002,"HT20260629")</f>
        <v>606.637</v>
      </c>
      <c r="J404" s="22">
        <f>SUMIFS(原始数据!$K$3:$K$1002,原始数据!$D$3:$D$1002,"HT20260629")</f>
        <v>4783.976</v>
      </c>
      <c r="K404" s="19" t="str">
        <f>IFERROR(INDEX(原始数据!$L$3:$L$1002,MATCH(1,INDEX((原始数据!$D$3:$D$1002="HT20260629")*(原始数据!$L$3:$L$1002&lt;&gt;""),0),0)),"")</f>
        <v>六部</v>
      </c>
      <c r="L404" s="20" t="str">
        <f>IFERROR(INDEX(原始数据!$M$3:$M$1002,MATCH(1,INDEX((原始数据!$D$3:$D$1002="HT20260629")*(原始数据!$M$3:$M$1002&lt;&gt;""),0),0)),"")</f>
        <v>唐亮</v>
      </c>
      <c r="M404" s="19" t="str">
        <f>IFERROR(INDEX(原始数据!$N$3:$N$1002,MATCH(1,INDEX((原始数据!$D$3:$D$1002="HT20260629")*(原始数据!$N$3:$N$1002&lt;&gt;""),0),0)),"")</f>
        <v>2-3年</v>
      </c>
      <c r="N404" s="19" t="inlineStr"/>
    </row>
    <row r="405">
      <c r="A405" s="13">
        <f>ROW()-2</f>
        <v>403</v>
      </c>
      <c r="B405" s="14" t="str">
        <f>IFERROR(INDEX(原始数据!$B$3:$B$1002,MATCH(1,INDEX((原始数据!$D$3:$D$1002="HT20260701")*(原始数据!$B$3:$B$1002&lt;&gt;""),0),0)),"")</f>
        <v>华北-河北</v>
      </c>
      <c r="C405" s="14" t="str">
        <f>IFERROR(INDEX(原始数据!$C$3:$C$1002,MATCH(1,INDEX((原始数据!$D$3:$D$1002="HT20260701")*(原始数据!$C$3:$C$1002&lt;&gt;""),0),0)),"")</f>
        <v>监察司法机关</v>
      </c>
      <c r="D405" s="15" t="inlineStr">
        <is>
          <t>HT20260701</t>
        </is>
      </c>
      <c r="E405" s="16">
        <f>IFERROR(INDEX(原始数据!$E$3:$E$1002,MATCH(1,INDEX((原始数据!$D$3:$D$1002="HT20260701")*(原始数据!$E$3:$E$1002&lt;&gt;""),0),0)),"")</f>
        <v>20260503</v>
      </c>
      <c r="F405" s="17">
        <f>SUMIFS(原始数据!$F$3:$F$1002,原始数据!$D$3:$D$1002,"HT20260701")</f>
        <v>1279.846</v>
      </c>
      <c r="G405" s="17">
        <f>SUMIFS(原始数据!$H$3:$H$1002,原始数据!$D$3:$D$1002,"HT20260701")</f>
        <v>478.308</v>
      </c>
      <c r="H405" s="17">
        <f>SUMIFS(原始数据!$I$3:$I$1002,原始数据!$D$3:$D$1002,"HT20260701")</f>
        <v>801.538</v>
      </c>
      <c r="I405" s="17">
        <f>SUMIFS(原始数据!$J$3:$J$1002,原始数据!$D$3:$D$1002,"HT20260701")</f>
        <v>245.888</v>
      </c>
      <c r="J405" s="17">
        <f>SUMIFS(原始数据!$K$3:$K$1002,原始数据!$D$3:$D$1002,"HT20260701")</f>
        <v>555.65</v>
      </c>
      <c r="K405" s="14" t="str">
        <f>IFERROR(INDEX(原始数据!$L$3:$L$1002,MATCH(1,INDEX((原始数据!$D$3:$D$1002="HT20260701")*(原始数据!$L$3:$L$1002&lt;&gt;""),0),0)),"")</f>
        <v>六部</v>
      </c>
      <c r="L405" s="15" t="str">
        <f>IFERROR(INDEX(原始数据!$M$3:$M$1002,MATCH(1,INDEX((原始数据!$D$3:$D$1002="HT20260701")*(原始数据!$M$3:$M$1002&lt;&gt;""),0),0)),"")</f>
        <v>程琳</v>
      </c>
      <c r="M405" s="14" t="str">
        <f>IFERROR(INDEX(原始数据!$N$3:$N$1002,MATCH(1,INDEX((原始数据!$D$3:$D$1002="HT20260701")*(原始数据!$N$3:$N$1002&lt;&gt;""),0),0)),"")</f>
        <v>1年以内</v>
      </c>
      <c r="N405" s="14" t="inlineStr"/>
    </row>
    <row r="406">
      <c r="A406" s="18">
        <f>ROW()-2</f>
        <v>404</v>
      </c>
      <c r="B406" s="19" t="str">
        <f>IFERROR(INDEX(原始数据!$B$3:$B$1002,MATCH(1,INDEX((原始数据!$D$3:$D$1002="HT20260702")*(原始数据!$B$3:$B$1002&lt;&gt;""),0),0)),"")</f>
        <v>华东-上海</v>
      </c>
      <c r="C406" s="19" t="str">
        <f>IFERROR(INDEX(原始数据!$C$3:$C$1002,MATCH(1,INDEX((原始数据!$D$3:$D$1002="HT20260702")*(原始数据!$C$3:$C$1002&lt;&gt;""),0),0)),"")</f>
        <v>人大政协</v>
      </c>
      <c r="D406" s="20" t="inlineStr">
        <is>
          <t>HT20260702</t>
        </is>
      </c>
      <c r="E406" s="21">
        <f>IFERROR(INDEX(原始数据!$E$3:$E$1002,MATCH(1,INDEX((原始数据!$D$3:$D$1002="HT20260702")*(原始数据!$E$3:$E$1002&lt;&gt;""),0),0)),"")</f>
        <v>20260528</v>
      </c>
      <c r="F406" s="22">
        <f>SUMIFS(原始数据!$F$3:$F$1002,原始数据!$D$3:$D$1002,"HT20260702")</f>
        <v>1781.971</v>
      </c>
      <c r="G406" s="22">
        <f>SUMIFS(原始数据!$H$3:$H$1002,原始数据!$D$3:$D$1002,"HT20260702")</f>
        <v>1085.694</v>
      </c>
      <c r="H406" s="22">
        <f>SUMIFS(原始数据!$I$3:$I$1002,原始数据!$D$3:$D$1002,"HT20260702")</f>
        <v>696.277</v>
      </c>
      <c r="I406" s="22">
        <f>SUMIFS(原始数据!$J$3:$J$1002,原始数据!$D$3:$D$1002,"HT20260702")</f>
        <v>229.773</v>
      </c>
      <c r="J406" s="22">
        <f>SUMIFS(原始数据!$K$3:$K$1002,原始数据!$D$3:$D$1002,"HT20260702")</f>
        <v>466.504</v>
      </c>
      <c r="K406" s="19" t="str">
        <f>IFERROR(INDEX(原始数据!$L$3:$L$1002,MATCH(1,INDEX((原始数据!$D$3:$D$1002="HT20260702")*(原始数据!$L$3:$L$1002&lt;&gt;""),0),0)),"")</f>
        <v>一部</v>
      </c>
      <c r="L406" s="20" t="str">
        <f>IFERROR(INDEX(原始数据!$M$3:$M$1002,MATCH(1,INDEX((原始数据!$D$3:$D$1002="HT20260702")*(原始数据!$M$3:$M$1002&lt;&gt;""),0),0)),"")</f>
        <v>陈静</v>
      </c>
      <c r="M406" s="19" t="str">
        <f>IFERROR(INDEX(原始数据!$N$3:$N$1002,MATCH(1,INDEX((原始数据!$D$3:$D$1002="HT20260702")*(原始数据!$N$3:$N$1002&lt;&gt;""),0),0)),"")</f>
        <v>1-2年</v>
      </c>
      <c r="N406" s="19" t="inlineStr"/>
    </row>
    <row r="407">
      <c r="A407" s="13">
        <f>ROW()-2</f>
        <v>405</v>
      </c>
      <c r="B407" s="14" t="str">
        <f>IFERROR(INDEX(原始数据!$B$3:$B$1002,MATCH(1,INDEX((原始数据!$D$3:$D$1002="HT20260704")*(原始数据!$B$3:$B$1002&lt;&gt;""),0),0)),"")</f>
        <v>西北-新疆</v>
      </c>
      <c r="C407" s="14" t="str">
        <f>IFERROR(INDEX(原始数据!$C$3:$C$1002,MATCH(1,INDEX((原始数据!$D$3:$D$1002="HT20260704")*(原始数据!$C$3:$C$1002&lt;&gt;""),0),0)),"")</f>
        <v>监察司法机关</v>
      </c>
      <c r="D407" s="15" t="inlineStr">
        <is>
          <t>HT20260704</t>
        </is>
      </c>
      <c r="E407" s="16">
        <f>IFERROR(INDEX(原始数据!$E$3:$E$1002,MATCH(1,INDEX((原始数据!$D$3:$D$1002="HT20260704")*(原始数据!$E$3:$E$1002&lt;&gt;""),0),0)),"")</f>
        <v>20260825</v>
      </c>
      <c r="F407" s="17">
        <f>SUMIFS(原始数据!$F$3:$F$1002,原始数据!$D$3:$D$1002,"HT20260704")</f>
        <v>10044.588</v>
      </c>
      <c r="G407" s="17">
        <f>SUMIFS(原始数据!$H$3:$H$1002,原始数据!$D$3:$D$1002,"HT20260704")</f>
        <v>8933.657</v>
      </c>
      <c r="H407" s="17">
        <f>SUMIFS(原始数据!$I$3:$I$1002,原始数据!$D$3:$D$1002,"HT20260704")</f>
        <v>1110.931</v>
      </c>
      <c r="I407" s="17">
        <f>SUMIFS(原始数据!$J$3:$J$1002,原始数据!$D$3:$D$1002,"HT20260704")</f>
        <v>523.926</v>
      </c>
      <c r="J407" s="17">
        <f>SUMIFS(原始数据!$K$3:$K$1002,原始数据!$D$3:$D$1002,"HT20260704")</f>
        <v>587.005</v>
      </c>
      <c r="K407" s="14" t="str">
        <f>IFERROR(INDEX(原始数据!$L$3:$L$1002,MATCH(1,INDEX((原始数据!$D$3:$D$1002="HT20260704")*(原始数据!$L$3:$L$1002&lt;&gt;""),0),0)),"")</f>
        <v>十部</v>
      </c>
      <c r="L407" s="15" t="str">
        <f>IFERROR(INDEX(原始数据!$M$3:$M$1002,MATCH(1,INDEX((原始数据!$D$3:$D$1002="HT20260704")*(原始数据!$M$3:$M$1002&lt;&gt;""),0),0)),"")</f>
        <v>雷声</v>
      </c>
      <c r="M407" s="14" t="str">
        <f>IFERROR(INDEX(原始数据!$N$3:$N$1002,MATCH(1,INDEX((原始数据!$D$3:$D$1002="HT20260704")*(原始数据!$N$3:$N$1002&lt;&gt;""),0),0)),"")</f>
        <v>1-2年</v>
      </c>
      <c r="N407" s="14" t="inlineStr"/>
    </row>
    <row r="408">
      <c r="A408" s="18">
        <f>ROW()-2</f>
        <v>406</v>
      </c>
      <c r="B408" s="19" t="str">
        <f>IFERROR(INDEX(原始数据!$B$3:$B$1002,MATCH(1,INDEX((原始数据!$D$3:$D$1002="HT20260705")*(原始数据!$B$3:$B$1002&lt;&gt;""),0),0)),"")</f>
        <v>华南-广西</v>
      </c>
      <c r="C408" s="19" t="str">
        <f>IFERROR(INDEX(原始数据!$C$3:$C$1002,MATCH(1,INDEX((原始数据!$D$3:$D$1002="HT20260705")*(原始数据!$C$3:$C$1002&lt;&gt;""),0),0)),"")</f>
        <v>事业单位</v>
      </c>
      <c r="D408" s="20" t="inlineStr">
        <is>
          <t>HT20260705</t>
        </is>
      </c>
      <c r="E408" s="21">
        <f>IFERROR(INDEX(原始数据!$E$3:$E$1002,MATCH(1,INDEX((原始数据!$D$3:$D$1002="HT20260705")*(原始数据!$E$3:$E$1002&lt;&gt;""),0),0)),"")</f>
        <v>20260122</v>
      </c>
      <c r="F408" s="22">
        <f>SUMIFS(原始数据!$F$3:$F$1002,原始数据!$D$3:$D$1002,"HT20260705")</f>
        <v>1594.699</v>
      </c>
      <c r="G408" s="22">
        <f>SUMIFS(原始数据!$H$3:$H$1002,原始数据!$D$3:$D$1002,"HT20260705")</f>
        <v>1267.644</v>
      </c>
      <c r="H408" s="22">
        <f>SUMIFS(原始数据!$I$3:$I$1002,原始数据!$D$3:$D$1002,"HT20260705")</f>
        <v>327.055</v>
      </c>
      <c r="I408" s="22">
        <f>SUMIFS(原始数据!$J$3:$J$1002,原始数据!$D$3:$D$1002,"HT20260705")</f>
        <v>129.738</v>
      </c>
      <c r="J408" s="22">
        <f>SUMIFS(原始数据!$K$3:$K$1002,原始数据!$D$3:$D$1002,"HT20260705")</f>
        <v>197.317</v>
      </c>
      <c r="K408" s="19" t="str">
        <f>IFERROR(INDEX(原始数据!$L$3:$L$1002,MATCH(1,INDEX((原始数据!$D$3:$D$1002="HT20260705")*(原始数据!$L$3:$L$1002&lt;&gt;""),0),0)),"")</f>
        <v>六部</v>
      </c>
      <c r="L408" s="20" t="str">
        <f>IFERROR(INDEX(原始数据!$M$3:$M$1002,MATCH(1,INDEX((原始数据!$D$3:$D$1002="HT20260705")*(原始数据!$M$3:$M$1002&lt;&gt;""),0),0)),"")</f>
        <v>唐亮</v>
      </c>
      <c r="M408" s="19" t="str">
        <f>IFERROR(INDEX(原始数据!$N$3:$N$1002,MATCH(1,INDEX((原始数据!$D$3:$D$1002="HT20260705")*(原始数据!$N$3:$N$1002&lt;&gt;""),0),0)),"")</f>
        <v>1-2年</v>
      </c>
      <c r="N408" s="19" t="inlineStr"/>
    </row>
    <row r="409">
      <c r="A409" s="13">
        <f>ROW()-2</f>
        <v>407</v>
      </c>
      <c r="B409" s="14" t="str">
        <f>IFERROR(INDEX(原始数据!$B$3:$B$1002,MATCH(1,INDEX((原始数据!$D$3:$D$1002="HT20260706")*(原始数据!$B$3:$B$1002&lt;&gt;""),0),0)),"")</f>
        <v>东北-吉林</v>
      </c>
      <c r="C409" s="14" t="str">
        <f>IFERROR(INDEX(原始数据!$C$3:$C$1002,MATCH(1,INDEX((原始数据!$D$3:$D$1002="HT20260706")*(原始数据!$C$3:$C$1002&lt;&gt;""),0),0)),"")</f>
        <v>党委机关</v>
      </c>
      <c r="D409" s="15" t="inlineStr">
        <is>
          <t>HT20260706</t>
        </is>
      </c>
      <c r="E409" s="16">
        <f>IFERROR(INDEX(原始数据!$E$3:$E$1002,MATCH(1,INDEX((原始数据!$D$3:$D$1002="HT20260706")*(原始数据!$E$3:$E$1002&lt;&gt;""),0),0)),"")</f>
        <v>20260514</v>
      </c>
      <c r="F409" s="17">
        <f>SUMIFS(原始数据!$F$3:$F$1002,原始数据!$D$3:$D$1002,"HT20260706")</f>
        <v>521.94</v>
      </c>
      <c r="G409" s="17">
        <f>SUMIFS(原始数据!$H$3:$H$1002,原始数据!$D$3:$D$1002,"HT20260706")</f>
        <v>375.76599999999996</v>
      </c>
      <c r="H409" s="17">
        <f>SUMIFS(原始数据!$I$3:$I$1002,原始数据!$D$3:$D$1002,"HT20260706")</f>
        <v>146.174</v>
      </c>
      <c r="I409" s="17">
        <f>SUMIFS(原始数据!$J$3:$J$1002,原始数据!$D$3:$D$1002,"HT20260706")</f>
        <v>91.483</v>
      </c>
      <c r="J409" s="17">
        <f>SUMIFS(原始数据!$K$3:$K$1002,原始数据!$D$3:$D$1002,"HT20260706")</f>
        <v>54.691</v>
      </c>
      <c r="K409" s="14" t="str">
        <f>IFERROR(INDEX(原始数据!$L$3:$L$1002,MATCH(1,INDEX((原始数据!$D$3:$D$1002="HT20260706")*(原始数据!$L$3:$L$1002&lt;&gt;""),0),0)),"")</f>
        <v>四部</v>
      </c>
      <c r="L409" s="15" t="str">
        <f>IFERROR(INDEX(原始数据!$M$3:$M$1002,MATCH(1,INDEX((原始数据!$D$3:$D$1002="HT20260706")*(原始数据!$M$3:$M$1002&lt;&gt;""),0),0)),"")</f>
        <v>何萍</v>
      </c>
      <c r="M409" s="14" t="str">
        <f>IFERROR(INDEX(原始数据!$N$3:$N$1002,MATCH(1,INDEX((原始数据!$D$3:$D$1002="HT20260706")*(原始数据!$N$3:$N$1002&lt;&gt;""),0),0)),"")</f>
        <v>1年以内</v>
      </c>
      <c r="N409" s="14" t="inlineStr"/>
    </row>
    <row r="410">
      <c r="A410" s="18">
        <f>ROW()-2</f>
        <v>408</v>
      </c>
      <c r="B410" s="19" t="str">
        <f>IFERROR(INDEX(原始数据!$B$3:$B$1002,MATCH(1,INDEX((原始数据!$D$3:$D$1002="HT20260707")*(原始数据!$B$3:$B$1002&lt;&gt;""),0),0)),"")</f>
        <v>华北-北京</v>
      </c>
      <c r="C410" s="19" t="str">
        <f>IFERROR(INDEX(原始数据!$C$3:$C$1002,MATCH(1,INDEX((原始数据!$D$3:$D$1002="HT20260707")*(原始数据!$C$3:$C$1002&lt;&gt;""),0),0)),"")</f>
        <v>党委机关</v>
      </c>
      <c r="D410" s="20" t="inlineStr">
        <is>
          <t>HT20260707</t>
        </is>
      </c>
      <c r="E410" s="21">
        <f>IFERROR(INDEX(原始数据!$E$3:$E$1002,MATCH(1,INDEX((原始数据!$D$3:$D$1002="HT20260707")*(原始数据!$E$3:$E$1002&lt;&gt;""),0),0)),"")</f>
        <v>20260605</v>
      </c>
      <c r="F410" s="22">
        <f>SUMIFS(原始数据!$F$3:$F$1002,原始数据!$D$3:$D$1002,"HT20260707")</f>
        <v>677.123</v>
      </c>
      <c r="G410" s="22">
        <f>SUMIFS(原始数据!$H$3:$H$1002,原始数据!$D$3:$D$1002,"HT20260707")</f>
        <v>462.856</v>
      </c>
      <c r="H410" s="22">
        <f>SUMIFS(原始数据!$I$3:$I$1002,原始数据!$D$3:$D$1002,"HT20260707")</f>
        <v>214.267</v>
      </c>
      <c r="I410" s="22">
        <f>SUMIFS(原始数据!$J$3:$J$1002,原始数据!$D$3:$D$1002,"HT20260707")</f>
        <v>197.862</v>
      </c>
      <c r="J410" s="22">
        <f>SUMIFS(原始数据!$K$3:$K$1002,原始数据!$D$3:$D$1002,"HT20260707")</f>
        <v>16.405</v>
      </c>
      <c r="K410" s="19" t="str">
        <f>IFERROR(INDEX(原始数据!$L$3:$L$1002,MATCH(1,INDEX((原始数据!$D$3:$D$1002="HT20260707")*(原始数据!$L$3:$L$1002&lt;&gt;""),0),0)),"")</f>
        <v>八部</v>
      </c>
      <c r="L410" s="20" t="str">
        <f>IFERROR(INDEX(原始数据!$M$3:$M$1002,MATCH(1,INDEX((原始数据!$D$3:$D$1002="HT20260707")*(原始数据!$M$3:$M$1002&lt;&gt;""),0),0)),"")</f>
        <v>卢俊</v>
      </c>
      <c r="M410" s="19" t="str">
        <f>IFERROR(INDEX(原始数据!$N$3:$N$1002,MATCH(1,INDEX((原始数据!$D$3:$D$1002="HT20260707")*(原始数据!$N$3:$N$1002&lt;&gt;""),0),0)),"")</f>
        <v>2-3年</v>
      </c>
      <c r="N410" s="19" t="inlineStr"/>
    </row>
    <row r="411">
      <c r="A411" s="13">
        <f>ROW()-2</f>
        <v>409</v>
      </c>
      <c r="B411" s="14" t="str">
        <f>IFERROR(INDEX(原始数据!$B$3:$B$1002,MATCH(1,INDEX((原始数据!$D$3:$D$1002="HT20260708")*(原始数据!$B$3:$B$1002&lt;&gt;""),0),0)),"")</f>
        <v>华东-江苏</v>
      </c>
      <c r="C411" s="14" t="str">
        <f>IFERROR(INDEX(原始数据!$C$3:$C$1002,MATCH(1,INDEX((原始数据!$D$3:$D$1002="HT20260708")*(原始数据!$C$3:$C$1002&lt;&gt;""),0),0)),"")</f>
        <v>群团组织</v>
      </c>
      <c r="D411" s="15" t="inlineStr">
        <is>
          <t>HT20260708</t>
        </is>
      </c>
      <c r="E411" s="16">
        <f>IFERROR(INDEX(原始数据!$E$3:$E$1002,MATCH(1,INDEX((原始数据!$D$3:$D$1002="HT20260708")*(原始数据!$E$3:$E$1002&lt;&gt;""),0),0)),"")</f>
        <v>20260313</v>
      </c>
      <c r="F411" s="17">
        <f>SUMIFS(原始数据!$F$3:$F$1002,原始数据!$D$3:$D$1002,"HT20260708")</f>
        <v>976.364</v>
      </c>
      <c r="G411" s="17">
        <f>SUMIFS(原始数据!$H$3:$H$1002,原始数据!$D$3:$D$1002,"HT20260708")</f>
        <v>94.225</v>
      </c>
      <c r="H411" s="17">
        <f>SUMIFS(原始数据!$I$3:$I$1002,原始数据!$D$3:$D$1002,"HT20260708")</f>
        <v>882.139</v>
      </c>
      <c r="I411" s="17">
        <f>SUMIFS(原始数据!$J$3:$J$1002,原始数据!$D$3:$D$1002,"HT20260708")</f>
        <v>360.537</v>
      </c>
      <c r="J411" s="17">
        <f>SUMIFS(原始数据!$K$3:$K$1002,原始数据!$D$3:$D$1002,"HT20260708")</f>
        <v>521.602</v>
      </c>
      <c r="K411" s="14" t="str">
        <f>IFERROR(INDEX(原始数据!$L$3:$L$1002,MATCH(1,INDEX((原始数据!$D$3:$D$1002="HT20260708")*(原始数据!$L$3:$L$1002&lt;&gt;""),0),0)),"")</f>
        <v>十部</v>
      </c>
      <c r="L411" s="15" t="str">
        <f>IFERROR(INDEX(原始数据!$M$3:$M$1002,MATCH(1,INDEX((原始数据!$D$3:$D$1002="HT20260708")*(原始数据!$M$3:$M$1002&lt;&gt;""),0),0)),"")</f>
        <v>段勇</v>
      </c>
      <c r="M411" s="14" t="str">
        <f>IFERROR(INDEX(原始数据!$N$3:$N$1002,MATCH(1,INDEX((原始数据!$D$3:$D$1002="HT20260708")*(原始数据!$N$3:$N$1002&lt;&gt;""),0),0)),"")</f>
        <v>2-3年</v>
      </c>
      <c r="N411" s="14" t="inlineStr"/>
    </row>
    <row r="412">
      <c r="A412" s="18">
        <f>ROW()-2</f>
        <v>410</v>
      </c>
      <c r="B412" s="19" t="str">
        <f>IFERROR(INDEX(原始数据!$B$3:$B$1002,MATCH(1,INDEX((原始数据!$D$3:$D$1002="HT20260709")*(原始数据!$B$3:$B$1002&lt;&gt;""),0),0)),"")</f>
        <v>华东-江西</v>
      </c>
      <c r="C412" s="19" t="str">
        <f>IFERROR(INDEX(原始数据!$C$3:$C$1002,MATCH(1,INDEX((原始数据!$D$3:$D$1002="HT20260709")*(原始数据!$C$3:$C$1002&lt;&gt;""),0),0)),"")</f>
        <v>监察司法机关</v>
      </c>
      <c r="D412" s="20" t="inlineStr">
        <is>
          <t>HT20260709</t>
        </is>
      </c>
      <c r="E412" s="21">
        <f>IFERROR(INDEX(原始数据!$E$3:$E$1002,MATCH(1,INDEX((原始数据!$D$3:$D$1002="HT20260709")*(原始数据!$E$3:$E$1002&lt;&gt;""),0),0)),"")</f>
        <v>20260515</v>
      </c>
      <c r="F412" s="22">
        <f>SUMIFS(原始数据!$F$3:$F$1002,原始数据!$D$3:$D$1002,"HT20260709")</f>
        <v>1605.9</v>
      </c>
      <c r="G412" s="22">
        <f>SUMIFS(原始数据!$H$3:$H$1002,原始数据!$D$3:$D$1002,"HT20260709")</f>
        <v>745.262</v>
      </c>
      <c r="H412" s="22">
        <f>SUMIFS(原始数据!$I$3:$I$1002,原始数据!$D$3:$D$1002,"HT20260709")</f>
        <v>860.6379999999999</v>
      </c>
      <c r="I412" s="22">
        <f>SUMIFS(原始数据!$J$3:$J$1002,原始数据!$D$3:$D$1002,"HT20260709")</f>
        <v>598.5070000000001</v>
      </c>
      <c r="J412" s="22">
        <f>SUMIFS(原始数据!$K$3:$K$1002,原始数据!$D$3:$D$1002,"HT20260709")</f>
        <v>262.13100000000003</v>
      </c>
      <c r="K412" s="19" t="str">
        <f>IFERROR(INDEX(原始数据!$L$3:$L$1002,MATCH(1,INDEX((原始数据!$D$3:$D$1002="HT20260709")*(原始数据!$L$3:$L$1002&lt;&gt;""),0),0)),"")</f>
        <v>八部</v>
      </c>
      <c r="L412" s="20" t="str">
        <f>IFERROR(INDEX(原始数据!$M$3:$M$1002,MATCH(1,INDEX((原始数据!$D$3:$D$1002="HT20260709")*(原始数据!$M$3:$M$1002&lt;&gt;""),0),0)),"")</f>
        <v>吕强</v>
      </c>
      <c r="M412" s="19" t="str">
        <f>IFERROR(INDEX(原始数据!$N$3:$N$1002,MATCH(1,INDEX((原始数据!$D$3:$D$1002="HT20260709")*(原始数据!$N$3:$N$1002&lt;&gt;""),0),0)),"")</f>
        <v>1-2年</v>
      </c>
      <c r="N412" s="19" t="inlineStr"/>
    </row>
    <row r="413">
      <c r="A413" s="13">
        <f>ROW()-2</f>
        <v>411</v>
      </c>
      <c r="B413" s="14" t="str">
        <f>IFERROR(INDEX(原始数据!$B$3:$B$1002,MATCH(1,INDEX((原始数据!$D$3:$D$1002="HT20260710")*(原始数据!$B$3:$B$1002&lt;&gt;""),0),0)),"")</f>
        <v>东北-黑龙江</v>
      </c>
      <c r="C413" s="14" t="str">
        <f>IFERROR(INDEX(原始数据!$C$3:$C$1002,MATCH(1,INDEX((原始数据!$D$3:$D$1002="HT20260710")*(原始数据!$C$3:$C$1002&lt;&gt;""),0),0)),"")</f>
        <v>人大政协</v>
      </c>
      <c r="D413" s="15" t="inlineStr">
        <is>
          <t>HT20260710</t>
        </is>
      </c>
      <c r="E413" s="16">
        <f>IFERROR(INDEX(原始数据!$E$3:$E$1002,MATCH(1,INDEX((原始数据!$D$3:$D$1002="HT20260710")*(原始数据!$E$3:$E$1002&lt;&gt;""),0),0)),"")</f>
        <v>20260728</v>
      </c>
      <c r="F413" s="17">
        <f>SUMIFS(原始数据!$F$3:$F$1002,原始数据!$D$3:$D$1002,"HT20260710")</f>
        <v>1342.582</v>
      </c>
      <c r="G413" s="17">
        <f>SUMIFS(原始数据!$H$3:$H$1002,原始数据!$D$3:$D$1002,"HT20260710")</f>
        <v>461.935</v>
      </c>
      <c r="H413" s="17">
        <f>SUMIFS(原始数据!$I$3:$I$1002,原始数据!$D$3:$D$1002,"HT20260710")</f>
        <v>880.6469999999999</v>
      </c>
      <c r="I413" s="17">
        <f>SUMIFS(原始数据!$J$3:$J$1002,原始数据!$D$3:$D$1002,"HT20260710")</f>
        <v>94.745</v>
      </c>
      <c r="J413" s="17">
        <f>SUMIFS(原始数据!$K$3:$K$1002,原始数据!$D$3:$D$1002,"HT20260710")</f>
        <v>785.902</v>
      </c>
      <c r="K413" s="14" t="str">
        <f>IFERROR(INDEX(原始数据!$L$3:$L$1002,MATCH(1,INDEX((原始数据!$D$3:$D$1002="HT20260710")*(原始数据!$L$3:$L$1002&lt;&gt;""),0),0)),"")</f>
        <v>二部</v>
      </c>
      <c r="L413" s="15" t="str">
        <f>IFERROR(INDEX(原始数据!$M$3:$M$1002,MATCH(1,INDEX((原始数据!$D$3:$D$1002="HT20260710")*(原始数据!$M$3:$M$1002&lt;&gt;""),0),0)),"")</f>
        <v>赵敏</v>
      </c>
      <c r="M413" s="14" t="str">
        <f>IFERROR(INDEX(原始数据!$N$3:$N$1002,MATCH(1,INDEX((原始数据!$D$3:$D$1002="HT20260710")*(原始数据!$N$3:$N$1002&lt;&gt;""),0),0)),"")</f>
        <v>2-3年</v>
      </c>
      <c r="N413" s="14" t="inlineStr"/>
    </row>
    <row r="414">
      <c r="A414" s="18">
        <f>ROW()-2</f>
        <v>412</v>
      </c>
      <c r="B414" s="19" t="str">
        <f>IFERROR(INDEX(原始数据!$B$3:$B$1002,MATCH(1,INDEX((原始数据!$D$3:$D$1002="HT20260711")*(原始数据!$B$3:$B$1002&lt;&gt;""),0),0)),"")</f>
        <v>华东-浙江</v>
      </c>
      <c r="C414" s="19" t="str">
        <f>IFERROR(INDEX(原始数据!$C$3:$C$1002,MATCH(1,INDEX((原始数据!$D$3:$D$1002="HT20260711")*(原始数据!$C$3:$C$1002&lt;&gt;""),0),0)),"")</f>
        <v>群团组织</v>
      </c>
      <c r="D414" s="20" t="inlineStr">
        <is>
          <t>HT20260711</t>
        </is>
      </c>
      <c r="E414" s="21">
        <f>IFERROR(INDEX(原始数据!$E$3:$E$1002,MATCH(1,INDEX((原始数据!$D$3:$D$1002="HT20260711")*(原始数据!$E$3:$E$1002&lt;&gt;""),0),0)),"")</f>
        <v>20260210</v>
      </c>
      <c r="F414" s="22">
        <f>SUMIFS(原始数据!$F$3:$F$1002,原始数据!$D$3:$D$1002,"HT20260711")</f>
        <v>1106.447</v>
      </c>
      <c r="G414" s="22">
        <f>SUMIFS(原始数据!$H$3:$H$1002,原始数据!$D$3:$D$1002,"HT20260711")</f>
        <v>215.738</v>
      </c>
      <c r="H414" s="22">
        <f>SUMIFS(原始数据!$I$3:$I$1002,原始数据!$D$3:$D$1002,"HT20260711")</f>
        <v>890.7090000000001</v>
      </c>
      <c r="I414" s="22">
        <f>SUMIFS(原始数据!$J$3:$J$1002,原始数据!$D$3:$D$1002,"HT20260711")</f>
        <v>447.663</v>
      </c>
      <c r="J414" s="22">
        <f>SUMIFS(原始数据!$K$3:$K$1002,原始数据!$D$3:$D$1002,"HT20260711")</f>
        <v>443.046</v>
      </c>
      <c r="K414" s="19" t="str">
        <f>IFERROR(INDEX(原始数据!$L$3:$L$1002,MATCH(1,INDEX((原始数据!$D$3:$D$1002="HT20260711")*(原始数据!$L$3:$L$1002&lt;&gt;""),0),0)),"")</f>
        <v>五部</v>
      </c>
      <c r="L414" s="20" t="str">
        <f>IFERROR(INDEX(原始数据!$M$3:$M$1002,MATCH(1,INDEX((原始数据!$D$3:$D$1002="HT20260711")*(原始数据!$M$3:$M$1002&lt;&gt;""),0),0)),"")</f>
        <v>宋佳</v>
      </c>
      <c r="M414" s="19" t="str">
        <f>IFERROR(INDEX(原始数据!$N$3:$N$1002,MATCH(1,INDEX((原始数据!$D$3:$D$1002="HT20260711")*(原始数据!$N$3:$N$1002&lt;&gt;""),0),0)),"")</f>
        <v>1-2年</v>
      </c>
      <c r="N414" s="19" t="inlineStr"/>
    </row>
    <row r="415">
      <c r="A415" s="13">
        <f>ROW()-2</f>
        <v>413</v>
      </c>
      <c r="B415" s="14" t="str">
        <f>IFERROR(INDEX(原始数据!$B$3:$B$1002,MATCH(1,INDEX((原始数据!$D$3:$D$1002="HT20260712")*(原始数据!$B$3:$B$1002&lt;&gt;""),0),0)),"")</f>
        <v>西南-贵州</v>
      </c>
      <c r="C415" s="14" t="str">
        <f>IFERROR(INDEX(原始数据!$C$3:$C$1002,MATCH(1,INDEX((原始数据!$D$3:$D$1002="HT20260712")*(原始数据!$C$3:$C$1002&lt;&gt;""),0),0)),"")</f>
        <v>监察司法机关</v>
      </c>
      <c r="D415" s="15" t="inlineStr">
        <is>
          <t>HT20260712</t>
        </is>
      </c>
      <c r="E415" s="16">
        <f>IFERROR(INDEX(原始数据!$E$3:$E$1002,MATCH(1,INDEX((原始数据!$D$3:$D$1002="HT20260712")*(原始数据!$E$3:$E$1002&lt;&gt;""),0),0)),"")</f>
        <v>20260319</v>
      </c>
      <c r="F415" s="17">
        <f>SUMIFS(原始数据!$F$3:$F$1002,原始数据!$D$3:$D$1002,"HT20260712")</f>
        <v>768.484</v>
      </c>
      <c r="G415" s="17">
        <f>SUMIFS(原始数据!$H$3:$H$1002,原始数据!$D$3:$D$1002,"HT20260712")</f>
        <v>380.844</v>
      </c>
      <c r="H415" s="17">
        <f>SUMIFS(原始数据!$I$3:$I$1002,原始数据!$D$3:$D$1002,"HT20260712")</f>
        <v>387.64</v>
      </c>
      <c r="I415" s="17">
        <f>SUMIFS(原始数据!$J$3:$J$1002,原始数据!$D$3:$D$1002,"HT20260712")</f>
        <v>308.662</v>
      </c>
      <c r="J415" s="17">
        <f>SUMIFS(原始数据!$K$3:$K$1002,原始数据!$D$3:$D$1002,"HT20260712")</f>
        <v>78.978</v>
      </c>
      <c r="K415" s="14" t="str">
        <f>IFERROR(INDEX(原始数据!$L$3:$L$1002,MATCH(1,INDEX((原始数据!$D$3:$D$1002="HT20260712")*(原始数据!$L$3:$L$1002&lt;&gt;""),0),0)),"")</f>
        <v>九部</v>
      </c>
      <c r="L415" s="15" t="str">
        <f>IFERROR(INDEX(原始数据!$M$3:$M$1002,MATCH(1,INDEX((原始数据!$D$3:$D$1002="HT20260712")*(原始数据!$M$3:$M$1002&lt;&gt;""),0),0)),"")</f>
        <v>蔡明</v>
      </c>
      <c r="M415" s="14" t="str">
        <f>IFERROR(INDEX(原始数据!$N$3:$N$1002,MATCH(1,INDEX((原始数据!$D$3:$D$1002="HT20260712")*(原始数据!$N$3:$N$1002&lt;&gt;""),0),0)),"")</f>
        <v>1年以内</v>
      </c>
      <c r="N415" s="14" t="inlineStr"/>
    </row>
    <row r="416">
      <c r="A416" s="18">
        <f>ROW()-2</f>
        <v>414</v>
      </c>
      <c r="B416" s="19" t="str">
        <f>IFERROR(INDEX(原始数据!$B$3:$B$1002,MATCH(1,INDEX((原始数据!$D$3:$D$1002="HT20260713")*(原始数据!$B$3:$B$1002&lt;&gt;""),0),0)),"")</f>
        <v>华东-江西</v>
      </c>
      <c r="C416" s="19" t="str">
        <f>IFERROR(INDEX(原始数据!$C$3:$C$1002,MATCH(1,INDEX((原始数据!$D$3:$D$1002="HT20260713")*(原始数据!$C$3:$C$1002&lt;&gt;""),0),0)),"")</f>
        <v>人大政协</v>
      </c>
      <c r="D416" s="20" t="inlineStr">
        <is>
          <t>HT20260713</t>
        </is>
      </c>
      <c r="E416" s="21">
        <f>IFERROR(INDEX(原始数据!$E$3:$E$1002,MATCH(1,INDEX((原始数据!$D$3:$D$1002="HT20260713")*(原始数据!$E$3:$E$1002&lt;&gt;""),0),0)),"")</f>
        <v>20260711</v>
      </c>
      <c r="F416" s="22">
        <f>SUMIFS(原始数据!$F$3:$F$1002,原始数据!$D$3:$D$1002,"HT20260713")</f>
        <v>970.118</v>
      </c>
      <c r="G416" s="22">
        <f>SUMIFS(原始数据!$H$3:$H$1002,原始数据!$D$3:$D$1002,"HT20260713")</f>
        <v>326.363</v>
      </c>
      <c r="H416" s="22">
        <f>SUMIFS(原始数据!$I$3:$I$1002,原始数据!$D$3:$D$1002,"HT20260713")</f>
        <v>643.755</v>
      </c>
      <c r="I416" s="22">
        <f>SUMIFS(原始数据!$J$3:$J$1002,原始数据!$D$3:$D$1002,"HT20260713")</f>
        <v>142.57399999999998</v>
      </c>
      <c r="J416" s="22">
        <f>SUMIFS(原始数据!$K$3:$K$1002,原始数据!$D$3:$D$1002,"HT20260713")</f>
        <v>501.18100000000004</v>
      </c>
      <c r="K416" s="19" t="str">
        <f>IFERROR(INDEX(原始数据!$L$3:$L$1002,MATCH(1,INDEX((原始数据!$D$3:$D$1002="HT20260713")*(原始数据!$L$3:$L$1002&lt;&gt;""),0),0)),"")</f>
        <v>七部</v>
      </c>
      <c r="L416" s="20" t="str">
        <f>IFERROR(INDEX(原始数据!$M$3:$M$1002,MATCH(1,INDEX((原始数据!$D$3:$D$1002="HT20260713")*(原始数据!$M$3:$M$1002&lt;&gt;""),0),0)),"")</f>
        <v>许涛</v>
      </c>
      <c r="M416" s="19" t="str">
        <f>IFERROR(INDEX(原始数据!$N$3:$N$1002,MATCH(1,INDEX((原始数据!$D$3:$D$1002="HT20260713")*(原始数据!$N$3:$N$1002&lt;&gt;""),0),0)),"")</f>
        <v>2-3年</v>
      </c>
      <c r="N416" s="19" t="inlineStr"/>
    </row>
    <row r="417">
      <c r="A417" s="13">
        <f>ROW()-2</f>
        <v>415</v>
      </c>
      <c r="B417" s="14" t="str">
        <f>IFERROR(INDEX(原始数据!$B$3:$B$1002,MATCH(1,INDEX((原始数据!$D$3:$D$1002="HT20260714")*(原始数据!$B$3:$B$1002&lt;&gt;""),0),0)),"")</f>
        <v>东北-黑龙江</v>
      </c>
      <c r="C417" s="14" t="str">
        <f>IFERROR(INDEX(原始数据!$C$3:$C$1002,MATCH(1,INDEX((原始数据!$D$3:$D$1002="HT20260714")*(原始数据!$C$3:$C$1002&lt;&gt;""),0),0)),"")</f>
        <v>政府机关</v>
      </c>
      <c r="D417" s="15" t="inlineStr">
        <is>
          <t>HT20260714</t>
        </is>
      </c>
      <c r="E417" s="16">
        <f>IFERROR(INDEX(原始数据!$E$3:$E$1002,MATCH(1,INDEX((原始数据!$D$3:$D$1002="HT20260714")*(原始数据!$E$3:$E$1002&lt;&gt;""),0),0)),"")</f>
        <v>20260506</v>
      </c>
      <c r="F417" s="17">
        <f>SUMIFS(原始数据!$F$3:$F$1002,原始数据!$D$3:$D$1002,"HT20260714")</f>
        <v>1178.4189999999999</v>
      </c>
      <c r="G417" s="17">
        <f>SUMIFS(原始数据!$H$3:$H$1002,原始数据!$D$3:$D$1002,"HT20260714")</f>
        <v>156.9</v>
      </c>
      <c r="H417" s="17">
        <f>SUMIFS(原始数据!$I$3:$I$1002,原始数据!$D$3:$D$1002,"HT20260714")</f>
        <v>1021.519</v>
      </c>
      <c r="I417" s="17">
        <f>SUMIFS(原始数据!$J$3:$J$1002,原始数据!$D$3:$D$1002,"HT20260714")</f>
        <v>269.327</v>
      </c>
      <c r="J417" s="17">
        <f>SUMIFS(原始数据!$K$3:$K$1002,原始数据!$D$3:$D$1002,"HT20260714")</f>
        <v>752.192</v>
      </c>
      <c r="K417" s="14" t="str">
        <f>IFERROR(INDEX(原始数据!$L$3:$L$1002,MATCH(1,INDEX((原始数据!$D$3:$D$1002="HT20260714")*(原始数据!$L$3:$L$1002&lt;&gt;""),0),0)),"")</f>
        <v>八部</v>
      </c>
      <c r="L417" s="15" t="str">
        <f>IFERROR(INDEX(原始数据!$M$3:$M$1002,MATCH(1,INDEX((原始数据!$D$3:$D$1002="HT20260714")*(原始数据!$M$3:$M$1002&lt;&gt;""),0),0)),"")</f>
        <v>卢俊</v>
      </c>
      <c r="M417" s="14" t="str">
        <f>IFERROR(INDEX(原始数据!$N$3:$N$1002,MATCH(1,INDEX((原始数据!$D$3:$D$1002="HT20260714")*(原始数据!$N$3:$N$1002&lt;&gt;""),0),0)),"")</f>
        <v>1-2年</v>
      </c>
      <c r="N417" s="14" t="inlineStr"/>
    </row>
    <row r="418">
      <c r="A418" s="18">
        <f>ROW()-2</f>
        <v>416</v>
      </c>
      <c r="B418" s="19" t="str">
        <f>IFERROR(INDEX(原始数据!$B$3:$B$1002,MATCH(1,INDEX((原始数据!$D$3:$D$1002="HT20260715")*(原始数据!$B$3:$B$1002&lt;&gt;""),0),0)),"")</f>
        <v>华东-福建</v>
      </c>
      <c r="C418" s="19" t="str">
        <f>IFERROR(INDEX(原始数据!$C$3:$C$1002,MATCH(1,INDEX((原始数据!$D$3:$D$1002="HT20260715")*(原始数据!$C$3:$C$1002&lt;&gt;""),0),0)),"")</f>
        <v>事业单位</v>
      </c>
      <c r="D418" s="20" t="inlineStr">
        <is>
          <t>HT20260715</t>
        </is>
      </c>
      <c r="E418" s="21">
        <f>IFERROR(INDEX(原始数据!$E$3:$E$1002,MATCH(1,INDEX((原始数据!$D$3:$D$1002="HT20260715")*(原始数据!$E$3:$E$1002&lt;&gt;""),0),0)),"")</f>
        <v>20260217</v>
      </c>
      <c r="F418" s="22">
        <f>SUMIFS(原始数据!$F$3:$F$1002,原始数据!$D$3:$D$1002,"HT20260715")</f>
        <v>1259.284</v>
      </c>
      <c r="G418" s="22">
        <f>SUMIFS(原始数据!$H$3:$H$1002,原始数据!$D$3:$D$1002,"HT20260715")</f>
        <v>1150.779</v>
      </c>
      <c r="H418" s="22">
        <f>SUMIFS(原始数据!$I$3:$I$1002,原始数据!$D$3:$D$1002,"HT20260715")</f>
        <v>108.505</v>
      </c>
      <c r="I418" s="22">
        <f>SUMIFS(原始数据!$J$3:$J$1002,原始数据!$D$3:$D$1002,"HT20260715")</f>
        <v>11.833</v>
      </c>
      <c r="J418" s="22">
        <f>SUMIFS(原始数据!$K$3:$K$1002,原始数据!$D$3:$D$1002,"HT20260715")</f>
        <v>96.672</v>
      </c>
      <c r="K418" s="19" t="str">
        <f>IFERROR(INDEX(原始数据!$L$3:$L$1002,MATCH(1,INDEX((原始数据!$D$3:$D$1002="HT20260715")*(原始数据!$L$3:$L$1002&lt;&gt;""),0),0)),"")</f>
        <v>四部</v>
      </c>
      <c r="L418" s="20" t="str">
        <f>IFERROR(INDEX(原始数据!$M$3:$M$1002,MATCH(1,INDEX((原始数据!$D$3:$D$1002="HT20260715")*(原始数据!$M$3:$M$1002&lt;&gt;""),0),0)),"")</f>
        <v>罗刚</v>
      </c>
      <c r="M418" s="19" t="str">
        <f>IFERROR(INDEX(原始数据!$N$3:$N$1002,MATCH(1,INDEX((原始数据!$D$3:$D$1002="HT20260715")*(原始数据!$N$3:$N$1002&lt;&gt;""),0),0)),"")</f>
        <v>2-3年</v>
      </c>
      <c r="N418" s="19" t="inlineStr"/>
    </row>
    <row r="419">
      <c r="A419" s="13">
        <f>ROW()-2</f>
        <v>417</v>
      </c>
      <c r="B419" s="14" t="str">
        <f>IFERROR(INDEX(原始数据!$B$3:$B$1002,MATCH(1,INDEX((原始数据!$D$3:$D$1002="HT20260717")*(原始数据!$B$3:$B$1002&lt;&gt;""),0),0)),"")</f>
        <v>东北-吉林</v>
      </c>
      <c r="C419" s="14" t="str">
        <f>IFERROR(INDEX(原始数据!$C$3:$C$1002,MATCH(1,INDEX((原始数据!$D$3:$D$1002="HT20260717")*(原始数据!$C$3:$C$1002&lt;&gt;""),0),0)),"")</f>
        <v>事业单位</v>
      </c>
      <c r="D419" s="15" t="inlineStr">
        <is>
          <t>HT20260717</t>
        </is>
      </c>
      <c r="E419" s="16">
        <f>IFERROR(INDEX(原始数据!$E$3:$E$1002,MATCH(1,INDEX((原始数据!$D$3:$D$1002="HT20260717")*(原始数据!$E$3:$E$1002&lt;&gt;""),0),0)),"")</f>
        <v>20260430</v>
      </c>
      <c r="F419" s="17">
        <f>SUMIFS(原始数据!$F$3:$F$1002,原始数据!$D$3:$D$1002,"HT20260717")</f>
        <v>377.149</v>
      </c>
      <c r="G419" s="17">
        <f>SUMIFS(原始数据!$H$3:$H$1002,原始数据!$D$3:$D$1002,"HT20260717")</f>
        <v>348.132</v>
      </c>
      <c r="H419" s="17">
        <f>SUMIFS(原始数据!$I$3:$I$1002,原始数据!$D$3:$D$1002,"HT20260717")</f>
        <v>29.017</v>
      </c>
      <c r="I419" s="17">
        <f>SUMIFS(原始数据!$J$3:$J$1002,原始数据!$D$3:$D$1002,"HT20260717")</f>
        <v>16.217</v>
      </c>
      <c r="J419" s="17">
        <f>SUMIFS(原始数据!$K$3:$K$1002,原始数据!$D$3:$D$1002,"HT20260717")</f>
        <v>12.8</v>
      </c>
      <c r="K419" s="14" t="str">
        <f>IFERROR(INDEX(原始数据!$L$3:$L$1002,MATCH(1,INDEX((原始数据!$D$3:$D$1002="HT20260717")*(原始数据!$L$3:$L$1002&lt;&gt;""),0),0)),"")</f>
        <v>三部</v>
      </c>
      <c r="L419" s="15" t="str">
        <f>IFERROR(INDEX(原始数据!$M$3:$M$1002,MATCH(1,INDEX((原始数据!$D$3:$D$1002="HT20260717")*(原始数据!$M$3:$M$1002&lt;&gt;""),0),0)),"")</f>
        <v>徐涛</v>
      </c>
      <c r="M419" s="14" t="str">
        <f>IFERROR(INDEX(原始数据!$N$3:$N$1002,MATCH(1,INDEX((原始数据!$D$3:$D$1002="HT20260717")*(原始数据!$N$3:$N$1002&lt;&gt;""),0),0)),"")</f>
        <v>1-2年</v>
      </c>
      <c r="N419" s="14" t="inlineStr"/>
    </row>
    <row r="420">
      <c r="A420" s="18">
        <f>ROW()-2</f>
        <v>418</v>
      </c>
      <c r="B420" s="19" t="str">
        <f>IFERROR(INDEX(原始数据!$B$3:$B$1002,MATCH(1,INDEX((原始数据!$D$3:$D$1002="HT20260718")*(原始数据!$B$3:$B$1002&lt;&gt;""),0),0)),"")</f>
        <v>华北-山西</v>
      </c>
      <c r="C420" s="19" t="str">
        <f>IFERROR(INDEX(原始数据!$C$3:$C$1002,MATCH(1,INDEX((原始数据!$D$3:$D$1002="HT20260718")*(原始数据!$C$3:$C$1002&lt;&gt;""),0),0)),"")</f>
        <v>政府机关</v>
      </c>
      <c r="D420" s="20" t="inlineStr">
        <is>
          <t>HT20260718</t>
        </is>
      </c>
      <c r="E420" s="21">
        <f>IFERROR(INDEX(原始数据!$E$3:$E$1002,MATCH(1,INDEX((原始数据!$D$3:$D$1002="HT20260718")*(原始数据!$E$3:$E$1002&lt;&gt;""),0),0)),"")</f>
        <v>20260120</v>
      </c>
      <c r="F420" s="22">
        <f>SUMIFS(原始数据!$F$3:$F$1002,原始数据!$D$3:$D$1002,"HT20260718")</f>
        <v>2939.1000000000004</v>
      </c>
      <c r="G420" s="22">
        <f>SUMIFS(原始数据!$H$3:$H$1002,原始数据!$D$3:$D$1002,"HT20260718")</f>
        <v>553.76</v>
      </c>
      <c r="H420" s="22">
        <f>SUMIFS(原始数据!$I$3:$I$1002,原始数据!$D$3:$D$1002,"HT20260718")</f>
        <v>2385.34</v>
      </c>
      <c r="I420" s="22">
        <f>SUMIFS(原始数据!$J$3:$J$1002,原始数据!$D$3:$D$1002,"HT20260718")</f>
        <v>1830.6390000000001</v>
      </c>
      <c r="J420" s="22">
        <f>SUMIFS(原始数据!$K$3:$K$1002,原始数据!$D$3:$D$1002,"HT20260718")</f>
        <v>554.701</v>
      </c>
      <c r="K420" s="19" t="str">
        <f>IFERROR(INDEX(原始数据!$L$3:$L$1002,MATCH(1,INDEX((原始数据!$D$3:$D$1002="HT20260718")*(原始数据!$L$3:$L$1002&lt;&gt;""),0),0)),"")</f>
        <v>五部</v>
      </c>
      <c r="L420" s="20" t="str">
        <f>IFERROR(INDEX(原始数据!$M$3:$M$1002,MATCH(1,INDEX((原始数据!$D$3:$D$1002="HT20260718")*(原始数据!$M$3:$M$1002&lt;&gt;""),0),0)),"")</f>
        <v>宋佳</v>
      </c>
      <c r="M420" s="19" t="str">
        <f>IFERROR(INDEX(原始数据!$N$3:$N$1002,MATCH(1,INDEX((原始数据!$D$3:$D$1002="HT20260718")*(原始数据!$N$3:$N$1002&lt;&gt;""),0),0)),"")</f>
        <v>1-2年</v>
      </c>
      <c r="N420" s="19" t="inlineStr"/>
    </row>
    <row r="421">
      <c r="A421" s="13">
        <f>ROW()-2</f>
        <v>419</v>
      </c>
      <c r="B421" s="14" t="str">
        <f>IFERROR(INDEX(原始数据!$B$3:$B$1002,MATCH(1,INDEX((原始数据!$D$3:$D$1002="HT20260719")*(原始数据!$B$3:$B$1002&lt;&gt;""),0),0)),"")</f>
        <v>华中-河南</v>
      </c>
      <c r="C421" s="14" t="str">
        <f>IFERROR(INDEX(原始数据!$C$3:$C$1002,MATCH(1,INDEX((原始数据!$D$3:$D$1002="HT20260719")*(原始数据!$C$3:$C$1002&lt;&gt;""),0),0)),"")</f>
        <v>事业单位</v>
      </c>
      <c r="D421" s="15" t="inlineStr">
        <is>
          <t>HT20260719</t>
        </is>
      </c>
      <c r="E421" s="16">
        <f>IFERROR(INDEX(原始数据!$E$3:$E$1002,MATCH(1,INDEX((原始数据!$D$3:$D$1002="HT20260719")*(原始数据!$E$3:$E$1002&lt;&gt;""),0),0)),"")</f>
        <v>20260812</v>
      </c>
      <c r="F421" s="17">
        <f>SUMIFS(原始数据!$F$3:$F$1002,原始数据!$D$3:$D$1002,"HT20260719")</f>
        <v>9031.834</v>
      </c>
      <c r="G421" s="17">
        <f>SUMIFS(原始数据!$H$3:$H$1002,原始数据!$D$3:$D$1002,"HT20260719")</f>
        <v>2778.979</v>
      </c>
      <c r="H421" s="17">
        <f>SUMIFS(原始数据!$I$3:$I$1002,原始数据!$D$3:$D$1002,"HT20260719")</f>
        <v>6252.855</v>
      </c>
      <c r="I421" s="17">
        <f>SUMIFS(原始数据!$J$3:$J$1002,原始数据!$D$3:$D$1002,"HT20260719")</f>
        <v>5820.229</v>
      </c>
      <c r="J421" s="17">
        <f>SUMIFS(原始数据!$K$3:$K$1002,原始数据!$D$3:$D$1002,"HT20260719")</f>
        <v>432.62600000000003</v>
      </c>
      <c r="K421" s="14" t="str">
        <f>IFERROR(INDEX(原始数据!$L$3:$L$1002,MATCH(1,INDEX((原始数据!$D$3:$D$1002="HT20260719")*(原始数据!$L$3:$L$1002&lt;&gt;""),0),0)),"")</f>
        <v>四部</v>
      </c>
      <c r="L421" s="15" t="str">
        <f>IFERROR(INDEX(原始数据!$M$3:$M$1002,MATCH(1,INDEX((原始数据!$D$3:$D$1002="HT20260719")*(原始数据!$M$3:$M$1002&lt;&gt;""),0),0)),"")</f>
        <v>林燕</v>
      </c>
      <c r="M421" s="14" t="str">
        <f>IFERROR(INDEX(原始数据!$N$3:$N$1002,MATCH(1,INDEX((原始数据!$D$3:$D$1002="HT20260719")*(原始数据!$N$3:$N$1002&lt;&gt;""),0),0)),"")</f>
        <v>1-2年</v>
      </c>
      <c r="N421" s="14" t="inlineStr"/>
    </row>
    <row r="422">
      <c r="A422" s="18">
        <f>ROW()-2</f>
        <v>420</v>
      </c>
      <c r="B422" s="19" t="str">
        <f>IFERROR(INDEX(原始数据!$B$3:$B$1002,MATCH(1,INDEX((原始数据!$D$3:$D$1002="HT20260723")*(原始数据!$B$3:$B$1002&lt;&gt;""),0),0)),"")</f>
        <v>华北-北京</v>
      </c>
      <c r="C422" s="19" t="str">
        <f>IFERROR(INDEX(原始数据!$C$3:$C$1002,MATCH(1,INDEX((原始数据!$D$3:$D$1002="HT20260723")*(原始数据!$C$3:$C$1002&lt;&gt;""),0),0)),"")</f>
        <v>国有企业</v>
      </c>
      <c r="D422" s="20" t="inlineStr">
        <is>
          <t>HT20260723</t>
        </is>
      </c>
      <c r="E422" s="21">
        <f>IFERROR(INDEX(原始数据!$E$3:$E$1002,MATCH(1,INDEX((原始数据!$D$3:$D$1002="HT20260723")*(原始数据!$E$3:$E$1002&lt;&gt;""),0),0)),"")</f>
        <v>20260323</v>
      </c>
      <c r="F422" s="22">
        <f>SUMIFS(原始数据!$F$3:$F$1002,原始数据!$D$3:$D$1002,"HT20260723")</f>
        <v>1519.113</v>
      </c>
      <c r="G422" s="22">
        <f>SUMIFS(原始数据!$H$3:$H$1002,原始数据!$D$3:$D$1002,"HT20260723")</f>
        <v>1038.28</v>
      </c>
      <c r="H422" s="22">
        <f>SUMIFS(原始数据!$I$3:$I$1002,原始数据!$D$3:$D$1002,"HT20260723")</f>
        <v>480.833</v>
      </c>
      <c r="I422" s="22">
        <f>SUMIFS(原始数据!$J$3:$J$1002,原始数据!$D$3:$D$1002,"HT20260723")</f>
        <v>186.735</v>
      </c>
      <c r="J422" s="22">
        <f>SUMIFS(原始数据!$K$3:$K$1002,原始数据!$D$3:$D$1002,"HT20260723")</f>
        <v>294.098</v>
      </c>
      <c r="K422" s="19" t="str">
        <f>IFERROR(INDEX(原始数据!$L$3:$L$1002,MATCH(1,INDEX((原始数据!$D$3:$D$1002="HT20260723")*(原始数据!$L$3:$L$1002&lt;&gt;""),0),0)),"")</f>
        <v>三部</v>
      </c>
      <c r="L422" s="20" t="str">
        <f>IFERROR(INDEX(原始数据!$M$3:$M$1002,MATCH(1,INDEX((原始数据!$D$3:$D$1002="HT20260723")*(原始数据!$M$3:$M$1002&lt;&gt;""),0),0)),"")</f>
        <v>马超</v>
      </c>
      <c r="M422" s="19" t="str">
        <f>IFERROR(INDEX(原始数据!$N$3:$N$1002,MATCH(1,INDEX((原始数据!$D$3:$D$1002="HT20260723")*(原始数据!$N$3:$N$1002&lt;&gt;""),0),0)),"")</f>
        <v>1年以内</v>
      </c>
      <c r="N422" s="19" t="inlineStr"/>
    </row>
    <row r="423">
      <c r="A423" s="13">
        <f>ROW()-2</f>
        <v>421</v>
      </c>
      <c r="B423" s="14" t="str">
        <f>IFERROR(INDEX(原始数据!$B$3:$B$1002,MATCH(1,INDEX((原始数据!$D$3:$D$1002="HT20260724")*(原始数据!$B$3:$B$1002&lt;&gt;""),0),0)),"")</f>
        <v>西南-重庆</v>
      </c>
      <c r="C423" s="14" t="str">
        <f>IFERROR(INDEX(原始数据!$C$3:$C$1002,MATCH(1,INDEX((原始数据!$D$3:$D$1002="HT20260724")*(原始数据!$C$3:$C$1002&lt;&gt;""),0),0)),"")</f>
        <v>监察司法机关</v>
      </c>
      <c r="D423" s="15" t="inlineStr">
        <is>
          <t>HT20260724</t>
        </is>
      </c>
      <c r="E423" s="16">
        <f>IFERROR(INDEX(原始数据!$E$3:$E$1002,MATCH(1,INDEX((原始数据!$D$3:$D$1002="HT20260724")*(原始数据!$E$3:$E$1002&lt;&gt;""),0),0)),"")</f>
        <v>20260127</v>
      </c>
      <c r="F423" s="17">
        <f>SUMIFS(原始数据!$F$3:$F$1002,原始数据!$D$3:$D$1002,"HT20260724")</f>
        <v>775.276</v>
      </c>
      <c r="G423" s="17">
        <f>SUMIFS(原始数据!$H$3:$H$1002,原始数据!$D$3:$D$1002,"HT20260724")</f>
        <v>740.8140000000001</v>
      </c>
      <c r="H423" s="17">
        <f>SUMIFS(原始数据!$I$3:$I$1002,原始数据!$D$3:$D$1002,"HT20260724")</f>
        <v>34.462</v>
      </c>
      <c r="I423" s="17">
        <f>SUMIFS(原始数据!$J$3:$J$1002,原始数据!$D$3:$D$1002,"HT20260724")</f>
        <v>24.366</v>
      </c>
      <c r="J423" s="17">
        <f>SUMIFS(原始数据!$K$3:$K$1002,原始数据!$D$3:$D$1002,"HT20260724")</f>
        <v>10.096</v>
      </c>
      <c r="K423" s="14" t="str">
        <f>IFERROR(INDEX(原始数据!$L$3:$L$1002,MATCH(1,INDEX((原始数据!$D$3:$D$1002="HT20260724")*(原始数据!$L$3:$L$1002&lt;&gt;""),0),0)),"")</f>
        <v>五部</v>
      </c>
      <c r="L423" s="15" t="str">
        <f>IFERROR(INDEX(原始数据!$M$3:$M$1002,MATCH(1,INDEX((原始数据!$D$3:$D$1002="HT20260724")*(原始数据!$M$3:$M$1002&lt;&gt;""),0),0)),"")</f>
        <v>韩梅</v>
      </c>
      <c r="M423" s="14" t="str">
        <f>IFERROR(INDEX(原始数据!$N$3:$N$1002,MATCH(1,INDEX((原始数据!$D$3:$D$1002="HT20260724")*(原始数据!$N$3:$N$1002&lt;&gt;""),0),0)),"")</f>
        <v>1年以内</v>
      </c>
      <c r="N423" s="14" t="inlineStr"/>
    </row>
    <row r="424">
      <c r="A424" s="18">
        <f>ROW()-2</f>
        <v>422</v>
      </c>
      <c r="B424" s="19" t="str">
        <f>IFERROR(INDEX(原始数据!$B$3:$B$1002,MATCH(1,INDEX((原始数据!$D$3:$D$1002="HT20260725")*(原始数据!$B$3:$B$1002&lt;&gt;""),0),0)),"")</f>
        <v>西南-西藏</v>
      </c>
      <c r="C424" s="19" t="str">
        <f>IFERROR(INDEX(原始数据!$C$3:$C$1002,MATCH(1,INDEX((原始数据!$D$3:$D$1002="HT20260725")*(原始数据!$C$3:$C$1002&lt;&gt;""),0),0)),"")</f>
        <v>党委机关</v>
      </c>
      <c r="D424" s="20" t="inlineStr">
        <is>
          <t>HT20260725</t>
        </is>
      </c>
      <c r="E424" s="21">
        <f>IFERROR(INDEX(原始数据!$E$3:$E$1002,MATCH(1,INDEX((原始数据!$D$3:$D$1002="HT20260725")*(原始数据!$E$3:$E$1002&lt;&gt;""),0),0)),"")</f>
        <v>20260722</v>
      </c>
      <c r="F424" s="22">
        <f>SUMIFS(原始数据!$F$3:$F$1002,原始数据!$D$3:$D$1002,"HT20260725")</f>
        <v>1621.6709999999998</v>
      </c>
      <c r="G424" s="22">
        <f>SUMIFS(原始数据!$H$3:$H$1002,原始数据!$D$3:$D$1002,"HT20260725")</f>
        <v>1060.375</v>
      </c>
      <c r="H424" s="22">
        <f>SUMIFS(原始数据!$I$3:$I$1002,原始数据!$D$3:$D$1002,"HT20260725")</f>
        <v>561.296</v>
      </c>
      <c r="I424" s="22">
        <f>SUMIFS(原始数据!$J$3:$J$1002,原始数据!$D$3:$D$1002,"HT20260725")</f>
        <v>175.444</v>
      </c>
      <c r="J424" s="22">
        <f>SUMIFS(原始数据!$K$3:$K$1002,原始数据!$D$3:$D$1002,"HT20260725")</f>
        <v>385.852</v>
      </c>
      <c r="K424" s="19" t="str">
        <f>IFERROR(INDEX(原始数据!$L$3:$L$1002,MATCH(1,INDEX((原始数据!$D$3:$D$1002="HT20260725")*(原始数据!$L$3:$L$1002&lt;&gt;""),0),0)),"")</f>
        <v>五部</v>
      </c>
      <c r="L424" s="20" t="str">
        <f>IFERROR(INDEX(原始数据!$M$3:$M$1002,MATCH(1,INDEX((原始数据!$D$3:$D$1002="HT20260725")*(原始数据!$M$3:$M$1002&lt;&gt;""),0),0)),"")</f>
        <v>梁雪</v>
      </c>
      <c r="M424" s="19" t="str">
        <f>IFERROR(INDEX(原始数据!$N$3:$N$1002,MATCH(1,INDEX((原始数据!$D$3:$D$1002="HT20260725")*(原始数据!$N$3:$N$1002&lt;&gt;""),0),0)),"")</f>
        <v>2-3年</v>
      </c>
      <c r="N424" s="19" t="inlineStr"/>
    </row>
    <row r="425">
      <c r="A425" s="13">
        <f>ROW()-2</f>
        <v>423</v>
      </c>
      <c r="B425" s="14" t="str">
        <f>IFERROR(INDEX(原始数据!$B$3:$B$1002,MATCH(1,INDEX((原始数据!$D$3:$D$1002="HT20260726")*(原始数据!$B$3:$B$1002&lt;&gt;""),0),0)),"")</f>
        <v>华东-江苏</v>
      </c>
      <c r="C425" s="14" t="str">
        <f>IFERROR(INDEX(原始数据!$C$3:$C$1002,MATCH(1,INDEX((原始数据!$D$3:$D$1002="HT20260726")*(原始数据!$C$3:$C$1002&lt;&gt;""),0),0)),"")</f>
        <v>人大政协</v>
      </c>
      <c r="D425" s="15" t="inlineStr">
        <is>
          <t>HT20260726</t>
        </is>
      </c>
      <c r="E425" s="16">
        <f>IFERROR(INDEX(原始数据!$E$3:$E$1002,MATCH(1,INDEX((原始数据!$D$3:$D$1002="HT20260726")*(原始数据!$E$3:$E$1002&lt;&gt;""),0),0)),"")</f>
        <v>20260711</v>
      </c>
      <c r="F425" s="17">
        <f>SUMIFS(原始数据!$F$3:$F$1002,原始数据!$D$3:$D$1002,"HT20260726")</f>
        <v>1903.3600000000001</v>
      </c>
      <c r="G425" s="17">
        <f>SUMIFS(原始数据!$H$3:$H$1002,原始数据!$D$3:$D$1002,"HT20260726")</f>
        <v>372.259</v>
      </c>
      <c r="H425" s="17">
        <f>SUMIFS(原始数据!$I$3:$I$1002,原始数据!$D$3:$D$1002,"HT20260726")</f>
        <v>1531.101</v>
      </c>
      <c r="I425" s="17">
        <f>SUMIFS(原始数据!$J$3:$J$1002,原始数据!$D$3:$D$1002,"HT20260726")</f>
        <v>1289.263</v>
      </c>
      <c r="J425" s="17">
        <f>SUMIFS(原始数据!$K$3:$K$1002,原始数据!$D$3:$D$1002,"HT20260726")</f>
        <v>241.838</v>
      </c>
      <c r="K425" s="14" t="str">
        <f>IFERROR(INDEX(原始数据!$L$3:$L$1002,MATCH(1,INDEX((原始数据!$D$3:$D$1002="HT20260726")*(原始数据!$L$3:$L$1002&lt;&gt;""),0),0)),"")</f>
        <v>六部</v>
      </c>
      <c r="L425" s="15" t="str">
        <f>IFERROR(INDEX(原始数据!$M$3:$M$1002,MATCH(1,INDEX((原始数据!$D$3:$D$1002="HT20260726")*(原始数据!$M$3:$M$1002&lt;&gt;""),0),0)),"")</f>
        <v>董辉</v>
      </c>
      <c r="M425" s="14" t="str">
        <f>IFERROR(INDEX(原始数据!$N$3:$N$1002,MATCH(1,INDEX((原始数据!$D$3:$D$1002="HT20260726")*(原始数据!$N$3:$N$1002&lt;&gt;""),0),0)),"")</f>
        <v>1年以内</v>
      </c>
      <c r="N425" s="14" t="inlineStr"/>
    </row>
    <row r="426">
      <c r="A426" s="18">
        <f>ROW()-2</f>
        <v>424</v>
      </c>
      <c r="B426" s="19" t="str">
        <f>IFERROR(INDEX(原始数据!$B$3:$B$1002,MATCH(1,INDEX((原始数据!$D$3:$D$1002="HT20260727")*(原始数据!$B$3:$B$1002&lt;&gt;""),0),0)),"")</f>
        <v>华中-河南</v>
      </c>
      <c r="C426" s="19" t="str">
        <f>IFERROR(INDEX(原始数据!$C$3:$C$1002,MATCH(1,INDEX((原始数据!$D$3:$D$1002="HT20260727")*(原始数据!$C$3:$C$1002&lt;&gt;""),0),0)),"")</f>
        <v>基层自治组织</v>
      </c>
      <c r="D426" s="20" t="inlineStr">
        <is>
          <t>HT20260727</t>
        </is>
      </c>
      <c r="E426" s="21">
        <f>IFERROR(INDEX(原始数据!$E$3:$E$1002,MATCH(1,INDEX((原始数据!$D$3:$D$1002="HT20260727")*(原始数据!$E$3:$E$1002&lt;&gt;""),0),0)),"")</f>
        <v>20260529</v>
      </c>
      <c r="F426" s="22">
        <f>SUMIFS(原始数据!$F$3:$F$1002,原始数据!$D$3:$D$1002,"HT20260727")</f>
        <v>812.936</v>
      </c>
      <c r="G426" s="22">
        <f>SUMIFS(原始数据!$H$3:$H$1002,原始数据!$D$3:$D$1002,"HT20260727")</f>
        <v>296.376</v>
      </c>
      <c r="H426" s="22">
        <f>SUMIFS(原始数据!$I$3:$I$1002,原始数据!$D$3:$D$1002,"HT20260727")</f>
        <v>516.5600000000001</v>
      </c>
      <c r="I426" s="22">
        <f>SUMIFS(原始数据!$J$3:$J$1002,原始数据!$D$3:$D$1002,"HT20260727")</f>
        <v>356.423</v>
      </c>
      <c r="J426" s="22">
        <f>SUMIFS(原始数据!$K$3:$K$1002,原始数据!$D$3:$D$1002,"HT20260727")</f>
        <v>160.137</v>
      </c>
      <c r="K426" s="19" t="str">
        <f>IFERROR(INDEX(原始数据!$L$3:$L$1002,MATCH(1,INDEX((原始数据!$D$3:$D$1002="HT20260727")*(原始数据!$L$3:$L$1002&lt;&gt;""),0),0)),"")</f>
        <v>七部</v>
      </c>
      <c r="L426" s="20" t="str">
        <f>IFERROR(INDEX(原始数据!$M$3:$M$1002,MATCH(1,INDEX((原始数据!$D$3:$D$1002="HT20260727")*(原始数据!$M$3:$M$1002&lt;&gt;""),0),0)),"")</f>
        <v>许涛</v>
      </c>
      <c r="M426" s="19" t="str">
        <f>IFERROR(INDEX(原始数据!$N$3:$N$1002,MATCH(1,INDEX((原始数据!$D$3:$D$1002="HT20260727")*(原始数据!$N$3:$N$1002&lt;&gt;""),0),0)),"")</f>
        <v>1-2年</v>
      </c>
      <c r="N426" s="19" t="inlineStr"/>
    </row>
    <row r="427">
      <c r="A427" s="13">
        <f>ROW()-2</f>
        <v>425</v>
      </c>
      <c r="B427" s="14" t="str">
        <f>IFERROR(INDEX(原始数据!$B$3:$B$1002,MATCH(1,INDEX((原始数据!$D$3:$D$1002="HT20260728")*(原始数据!$B$3:$B$1002&lt;&gt;""),0),0)),"")</f>
        <v>华中-湖北</v>
      </c>
      <c r="C427" s="14" t="str">
        <f>IFERROR(INDEX(原始数据!$C$3:$C$1002,MATCH(1,INDEX((原始数据!$D$3:$D$1002="HT20260728")*(原始数据!$C$3:$C$1002&lt;&gt;""),0),0)),"")</f>
        <v>群团组织</v>
      </c>
      <c r="D427" s="15" t="inlineStr">
        <is>
          <t>HT20260728</t>
        </is>
      </c>
      <c r="E427" s="16">
        <f>IFERROR(INDEX(原始数据!$E$3:$E$1002,MATCH(1,INDEX((原始数据!$D$3:$D$1002="HT20260728")*(原始数据!$E$3:$E$1002&lt;&gt;""),0),0)),"")</f>
        <v>20260628</v>
      </c>
      <c r="F427" s="17">
        <f>SUMIFS(原始数据!$F$3:$F$1002,原始数据!$D$3:$D$1002,"HT20260728")</f>
        <v>1606.574</v>
      </c>
      <c r="G427" s="17">
        <f>SUMIFS(原始数据!$H$3:$H$1002,原始数据!$D$3:$D$1002,"HT20260728")</f>
        <v>377.695</v>
      </c>
      <c r="H427" s="17">
        <f>SUMIFS(原始数据!$I$3:$I$1002,原始数据!$D$3:$D$1002,"HT20260728")</f>
        <v>1228.879</v>
      </c>
      <c r="I427" s="17">
        <f>SUMIFS(原始数据!$J$3:$J$1002,原始数据!$D$3:$D$1002,"HT20260728")</f>
        <v>254.033</v>
      </c>
      <c r="J427" s="17">
        <f>SUMIFS(原始数据!$K$3:$K$1002,原始数据!$D$3:$D$1002,"HT20260728")</f>
        <v>974.846</v>
      </c>
      <c r="K427" s="14" t="str">
        <f>IFERROR(INDEX(原始数据!$L$3:$L$1002,MATCH(1,INDEX((原始数据!$D$3:$D$1002="HT20260728")*(原始数据!$L$3:$L$1002&lt;&gt;""),0),0)),"")</f>
        <v>九部</v>
      </c>
      <c r="L427" s="15" t="str">
        <f>IFERROR(INDEX(原始数据!$M$3:$M$1002,MATCH(1,INDEX((原始数据!$D$3:$D$1002="HT20260728")*(原始数据!$M$3:$M$1002&lt;&gt;""),0),0)),"")</f>
        <v>魏红</v>
      </c>
      <c r="M427" s="14" t="str">
        <f>IFERROR(INDEX(原始数据!$N$3:$N$1002,MATCH(1,INDEX((原始数据!$D$3:$D$1002="HT20260728")*(原始数据!$N$3:$N$1002&lt;&gt;""),0),0)),"")</f>
        <v>1年以内</v>
      </c>
      <c r="N427" s="14" t="inlineStr"/>
    </row>
    <row r="428">
      <c r="A428" s="18">
        <f>ROW()-2</f>
        <v>426</v>
      </c>
      <c r="B428" s="19" t="str">
        <f>IFERROR(INDEX(原始数据!$B$3:$B$1002,MATCH(1,INDEX((原始数据!$D$3:$D$1002="HT20260729")*(原始数据!$B$3:$B$1002&lt;&gt;""),0),0)),"")</f>
        <v>华北-内蒙古</v>
      </c>
      <c r="C428" s="19" t="str">
        <f>IFERROR(INDEX(原始数据!$C$3:$C$1002,MATCH(1,INDEX((原始数据!$D$3:$D$1002="HT20260729")*(原始数据!$C$3:$C$1002&lt;&gt;""),0),0)),"")</f>
        <v>事业单位</v>
      </c>
      <c r="D428" s="20" t="inlineStr">
        <is>
          <t>HT20260729</t>
        </is>
      </c>
      <c r="E428" s="21">
        <f>IFERROR(INDEX(原始数据!$E$3:$E$1002,MATCH(1,INDEX((原始数据!$D$3:$D$1002="HT20260729")*(原始数据!$E$3:$E$1002&lt;&gt;""),0),0)),"")</f>
        <v>20260611</v>
      </c>
      <c r="F428" s="22">
        <f>SUMIFS(原始数据!$F$3:$F$1002,原始数据!$D$3:$D$1002,"HT20260729")</f>
        <v>207.88</v>
      </c>
      <c r="G428" s="22">
        <f>SUMIFS(原始数据!$H$3:$H$1002,原始数据!$D$3:$D$1002,"HT20260729")</f>
        <v>142.991</v>
      </c>
      <c r="H428" s="22">
        <f>SUMIFS(原始数据!$I$3:$I$1002,原始数据!$D$3:$D$1002,"HT20260729")</f>
        <v>64.889</v>
      </c>
      <c r="I428" s="22">
        <f>SUMIFS(原始数据!$J$3:$J$1002,原始数据!$D$3:$D$1002,"HT20260729")</f>
        <v>42.288</v>
      </c>
      <c r="J428" s="22">
        <f>SUMIFS(原始数据!$K$3:$K$1002,原始数据!$D$3:$D$1002,"HT20260729")</f>
        <v>22.601</v>
      </c>
      <c r="K428" s="19" t="str">
        <f>IFERROR(INDEX(原始数据!$L$3:$L$1002,MATCH(1,INDEX((原始数据!$D$3:$D$1002="HT20260729")*(原始数据!$L$3:$L$1002&lt;&gt;""),0),0)),"")</f>
        <v>七部</v>
      </c>
      <c r="L428" s="20" t="str">
        <f>IFERROR(INDEX(原始数据!$M$3:$M$1002,MATCH(1,INDEX((原始数据!$D$3:$D$1002="HT20260729")*(原始数据!$M$3:$M$1002&lt;&gt;""),0),0)),"")</f>
        <v>沈刚</v>
      </c>
      <c r="M428" s="19" t="str">
        <f>IFERROR(INDEX(原始数据!$N$3:$N$1002,MATCH(1,INDEX((原始数据!$D$3:$D$1002="HT20260729")*(原始数据!$N$3:$N$1002&lt;&gt;""),0),0)),"")</f>
        <v>1年以内</v>
      </c>
      <c r="N428" s="19" t="inlineStr"/>
    </row>
    <row r="429">
      <c r="A429" s="13">
        <f>ROW()-2</f>
        <v>427</v>
      </c>
      <c r="B429" s="14" t="str">
        <f>IFERROR(INDEX(原始数据!$B$3:$B$1002,MATCH(1,INDEX((原始数据!$D$3:$D$1002="HT20260730")*(原始数据!$B$3:$B$1002&lt;&gt;""),0),0)),"")</f>
        <v>西南-云南</v>
      </c>
      <c r="C429" s="14" t="str">
        <f>IFERROR(INDEX(原始数据!$C$3:$C$1002,MATCH(1,INDEX((原始数据!$D$3:$D$1002="HT20260730")*(原始数据!$C$3:$C$1002&lt;&gt;""),0),0)),"")</f>
        <v>国有企业</v>
      </c>
      <c r="D429" s="15" t="inlineStr">
        <is>
          <t>HT20260730</t>
        </is>
      </c>
      <c r="E429" s="16">
        <f>IFERROR(INDEX(原始数据!$E$3:$E$1002,MATCH(1,INDEX((原始数据!$D$3:$D$1002="HT20260730")*(原始数据!$E$3:$E$1002&lt;&gt;""),0),0)),"")</f>
        <v>20260418</v>
      </c>
      <c r="F429" s="17">
        <f>SUMIFS(原始数据!$F$3:$F$1002,原始数据!$D$3:$D$1002,"HT20260730")</f>
        <v>378.477</v>
      </c>
      <c r="G429" s="17">
        <f>SUMIFS(原始数据!$H$3:$H$1002,原始数据!$D$3:$D$1002,"HT20260730")</f>
        <v>51.355</v>
      </c>
      <c r="H429" s="17">
        <f>SUMIFS(原始数据!$I$3:$I$1002,原始数据!$D$3:$D$1002,"HT20260730")</f>
        <v>327.122</v>
      </c>
      <c r="I429" s="17">
        <f>SUMIFS(原始数据!$J$3:$J$1002,原始数据!$D$3:$D$1002,"HT20260730")</f>
        <v>125.932</v>
      </c>
      <c r="J429" s="17">
        <f>SUMIFS(原始数据!$K$3:$K$1002,原始数据!$D$3:$D$1002,"HT20260730")</f>
        <v>201.19</v>
      </c>
      <c r="K429" s="14" t="str">
        <f>IFERROR(INDEX(原始数据!$L$3:$L$1002,MATCH(1,INDEX((原始数据!$D$3:$D$1002="HT20260730")*(原始数据!$L$3:$L$1002&lt;&gt;""),0),0)),"")</f>
        <v>七部</v>
      </c>
      <c r="L429" s="15" t="str">
        <f>IFERROR(INDEX(原始数据!$M$3:$M$1002,MATCH(1,INDEX((原始数据!$D$3:$D$1002="HT20260730")*(原始数据!$M$3:$M$1002&lt;&gt;""),0),0)),"")</f>
        <v>袁博</v>
      </c>
      <c r="M429" s="14" t="str">
        <f>IFERROR(INDEX(原始数据!$N$3:$N$1002,MATCH(1,INDEX((原始数据!$D$3:$D$1002="HT20260730")*(原始数据!$N$3:$N$1002&lt;&gt;""),0),0)),"")</f>
        <v>1年以内</v>
      </c>
      <c r="N429" s="14" t="inlineStr"/>
    </row>
    <row r="430">
      <c r="A430" s="18">
        <f>ROW()-2</f>
        <v>428</v>
      </c>
      <c r="B430" s="19" t="str">
        <f>IFERROR(INDEX(原始数据!$B$3:$B$1002,MATCH(1,INDEX((原始数据!$D$3:$D$1002="HT20260731")*(原始数据!$B$3:$B$1002&lt;&gt;""),0),0)),"")</f>
        <v>华东-江苏</v>
      </c>
      <c r="C430" s="19" t="str">
        <f>IFERROR(INDEX(原始数据!$C$3:$C$1002,MATCH(1,INDEX((原始数据!$D$3:$D$1002="HT20260731")*(原始数据!$C$3:$C$1002&lt;&gt;""),0),0)),"")</f>
        <v>事业单位</v>
      </c>
      <c r="D430" s="20" t="inlineStr">
        <is>
          <t>HT20260731</t>
        </is>
      </c>
      <c r="E430" s="21">
        <f>IFERROR(INDEX(原始数据!$E$3:$E$1002,MATCH(1,INDEX((原始数据!$D$3:$D$1002="HT20260731")*(原始数据!$E$3:$E$1002&lt;&gt;""),0),0)),"")</f>
        <v>20260902</v>
      </c>
      <c r="F430" s="22">
        <f>SUMIFS(原始数据!$F$3:$F$1002,原始数据!$D$3:$D$1002,"HT20260731")</f>
        <v>1645.505</v>
      </c>
      <c r="G430" s="22">
        <f>SUMIFS(原始数据!$H$3:$H$1002,原始数据!$D$3:$D$1002,"HT20260731")</f>
        <v>744.602</v>
      </c>
      <c r="H430" s="22">
        <f>SUMIFS(原始数据!$I$3:$I$1002,原始数据!$D$3:$D$1002,"HT20260731")</f>
        <v>900.903</v>
      </c>
      <c r="I430" s="22">
        <f>SUMIFS(原始数据!$J$3:$J$1002,原始数据!$D$3:$D$1002,"HT20260731")</f>
        <v>588.376</v>
      </c>
      <c r="J430" s="22">
        <f>SUMIFS(原始数据!$K$3:$K$1002,原始数据!$D$3:$D$1002,"HT20260731")</f>
        <v>312.52700000000004</v>
      </c>
      <c r="K430" s="19" t="str">
        <f>IFERROR(INDEX(原始数据!$L$3:$L$1002,MATCH(1,INDEX((原始数据!$D$3:$D$1002="HT20260731")*(原始数据!$L$3:$L$1002&lt;&gt;""),0),0)),"")</f>
        <v>八部</v>
      </c>
      <c r="L430" s="20" t="str">
        <f>IFERROR(INDEX(原始数据!$M$3:$M$1002,MATCH(1,INDEX((原始数据!$D$3:$D$1002="HT20260731")*(原始数据!$M$3:$M$1002&lt;&gt;""),0),0)),"")</f>
        <v>苏珊</v>
      </c>
      <c r="M430" s="19" t="str">
        <f>IFERROR(INDEX(原始数据!$N$3:$N$1002,MATCH(1,INDEX((原始数据!$D$3:$D$1002="HT20260731")*(原始数据!$N$3:$N$1002&lt;&gt;""),0),0)),"")</f>
        <v>2-3年</v>
      </c>
      <c r="N430" s="19" t="inlineStr"/>
    </row>
    <row r="431">
      <c r="A431" s="13">
        <f>ROW()-2</f>
        <v>429</v>
      </c>
      <c r="B431" s="14" t="str">
        <f>IFERROR(INDEX(原始数据!$B$3:$B$1002,MATCH(1,INDEX((原始数据!$D$3:$D$1002="HT20260801")*(原始数据!$B$3:$B$1002&lt;&gt;""),0),0)),"")</f>
        <v>华南-广西</v>
      </c>
      <c r="C431" s="14" t="str">
        <f>IFERROR(INDEX(原始数据!$C$3:$C$1002,MATCH(1,INDEX((原始数据!$D$3:$D$1002="HT20260801")*(原始数据!$C$3:$C$1002&lt;&gt;""),0),0)),"")</f>
        <v>事业单位</v>
      </c>
      <c r="D431" s="15" t="inlineStr">
        <is>
          <t>HT20260801</t>
        </is>
      </c>
      <c r="E431" s="16">
        <f>IFERROR(INDEX(原始数据!$E$3:$E$1002,MATCH(1,INDEX((原始数据!$D$3:$D$1002="HT20260801")*(原始数据!$E$3:$E$1002&lt;&gt;""),0),0)),"")</f>
        <v>20260330</v>
      </c>
      <c r="F431" s="17">
        <f>SUMIFS(原始数据!$F$3:$F$1002,原始数据!$D$3:$D$1002,"HT20260801")</f>
        <v>369.978</v>
      </c>
      <c r="G431" s="17">
        <f>SUMIFS(原始数据!$H$3:$H$1002,原始数据!$D$3:$D$1002,"HT20260801")</f>
        <v>309.159</v>
      </c>
      <c r="H431" s="17">
        <f>SUMIFS(原始数据!$I$3:$I$1002,原始数据!$D$3:$D$1002,"HT20260801")</f>
        <v>60.819</v>
      </c>
      <c r="I431" s="17">
        <f>SUMIFS(原始数据!$J$3:$J$1002,原始数据!$D$3:$D$1002,"HT20260801")</f>
        <v>60.615</v>
      </c>
      <c r="J431" s="17">
        <f>SUMIFS(原始数据!$K$3:$K$1002,原始数据!$D$3:$D$1002,"HT20260801")</f>
        <v>0.204</v>
      </c>
      <c r="K431" s="14" t="str">
        <f>IFERROR(INDEX(原始数据!$L$3:$L$1002,MATCH(1,INDEX((原始数据!$D$3:$D$1002="HT20260801")*(原始数据!$L$3:$L$1002&lt;&gt;""),0),0)),"")</f>
        <v>九部</v>
      </c>
      <c r="L431" s="15" t="str">
        <f>IFERROR(INDEX(原始数据!$M$3:$M$1002,MATCH(1,INDEX((原始数据!$D$3:$D$1002="HT20260801")*(原始数据!$M$3:$M$1002&lt;&gt;""),0),0)),"")</f>
        <v>蔡明</v>
      </c>
      <c r="M431" s="14" t="str">
        <f>IFERROR(INDEX(原始数据!$N$3:$N$1002,MATCH(1,INDEX((原始数据!$D$3:$D$1002="HT20260801")*(原始数据!$N$3:$N$1002&lt;&gt;""),0),0)),"")</f>
        <v>2-3年</v>
      </c>
      <c r="N431" s="14" t="inlineStr"/>
    </row>
    <row r="432">
      <c r="A432" s="18">
        <f>ROW()-2</f>
        <v>430</v>
      </c>
      <c r="B432" s="19" t="str">
        <f>IFERROR(INDEX(原始数据!$B$3:$B$1002,MATCH(1,INDEX((原始数据!$D$3:$D$1002="HT20260803")*(原始数据!$B$3:$B$1002&lt;&gt;""),0),0)),"")</f>
        <v>华北-河北</v>
      </c>
      <c r="C432" s="19" t="str">
        <f>IFERROR(INDEX(原始数据!$C$3:$C$1002,MATCH(1,INDEX((原始数据!$D$3:$D$1002="HT20260803")*(原始数据!$C$3:$C$1002&lt;&gt;""),0),0)),"")</f>
        <v>监察司法机关</v>
      </c>
      <c r="D432" s="20" t="inlineStr">
        <is>
          <t>HT20260803</t>
        </is>
      </c>
      <c r="E432" s="21">
        <f>IFERROR(INDEX(原始数据!$E$3:$E$1002,MATCH(1,INDEX((原始数据!$D$3:$D$1002="HT20260803")*(原始数据!$E$3:$E$1002&lt;&gt;""),0),0)),"")</f>
        <v>20260605</v>
      </c>
      <c r="F432" s="22">
        <f>SUMIFS(原始数据!$F$3:$F$1002,原始数据!$D$3:$D$1002,"HT20260803")</f>
        <v>562.209</v>
      </c>
      <c r="G432" s="22">
        <f>SUMIFS(原始数据!$H$3:$H$1002,原始数据!$D$3:$D$1002,"HT20260803")</f>
        <v>20.965</v>
      </c>
      <c r="H432" s="22">
        <f>SUMIFS(原始数据!$I$3:$I$1002,原始数据!$D$3:$D$1002,"HT20260803")</f>
        <v>541.244</v>
      </c>
      <c r="I432" s="22">
        <f>SUMIFS(原始数据!$J$3:$J$1002,原始数据!$D$3:$D$1002,"HT20260803")</f>
        <v>373.634</v>
      </c>
      <c r="J432" s="22">
        <f>SUMIFS(原始数据!$K$3:$K$1002,原始数据!$D$3:$D$1002,"HT20260803")</f>
        <v>167.61</v>
      </c>
      <c r="K432" s="19" t="str">
        <f>IFERROR(INDEX(原始数据!$L$3:$L$1002,MATCH(1,INDEX((原始数据!$D$3:$D$1002="HT20260803")*(原始数据!$L$3:$L$1002&lt;&gt;""),0),0)),"")</f>
        <v>十部</v>
      </c>
      <c r="L432" s="20" t="str">
        <f>IFERROR(INDEX(原始数据!$M$3:$M$1002,MATCH(1,INDEX((原始数据!$D$3:$D$1002="HT20260803")*(原始数据!$M$3:$M$1002&lt;&gt;""),0),0)),"")</f>
        <v>雷声</v>
      </c>
      <c r="M432" s="19" t="str">
        <f>IFERROR(INDEX(原始数据!$N$3:$N$1002,MATCH(1,INDEX((原始数据!$D$3:$D$1002="HT20260803")*(原始数据!$N$3:$N$1002&lt;&gt;""),0),0)),"")</f>
        <v>1-2年</v>
      </c>
      <c r="N432" s="19" t="inlineStr"/>
    </row>
    <row r="433">
      <c r="A433" s="13">
        <f>ROW()-2</f>
        <v>431</v>
      </c>
      <c r="B433" s="14" t="str">
        <f>IFERROR(INDEX(原始数据!$B$3:$B$1002,MATCH(1,INDEX((原始数据!$D$3:$D$1002="HT20260804")*(原始数据!$B$3:$B$1002&lt;&gt;""),0),0)),"")</f>
        <v>华中-湖南</v>
      </c>
      <c r="C433" s="14" t="str">
        <f>IFERROR(INDEX(原始数据!$C$3:$C$1002,MATCH(1,INDEX((原始数据!$D$3:$D$1002="HT20260804")*(原始数据!$C$3:$C$1002&lt;&gt;""),0),0)),"")</f>
        <v>政府机关</v>
      </c>
      <c r="D433" s="15" t="inlineStr">
        <is>
          <t>HT20260804</t>
        </is>
      </c>
      <c r="E433" s="16">
        <f>IFERROR(INDEX(原始数据!$E$3:$E$1002,MATCH(1,INDEX((原始数据!$D$3:$D$1002="HT20260804")*(原始数据!$E$3:$E$1002&lt;&gt;""),0),0)),"")</f>
        <v>20260125</v>
      </c>
      <c r="F433" s="17">
        <f>SUMIFS(原始数据!$F$3:$F$1002,原始数据!$D$3:$D$1002,"HT20260804")</f>
        <v>779.9190000000001</v>
      </c>
      <c r="G433" s="17">
        <f>SUMIFS(原始数据!$H$3:$H$1002,原始数据!$D$3:$D$1002,"HT20260804")</f>
        <v>317.78600000000006</v>
      </c>
      <c r="H433" s="17">
        <f>SUMIFS(原始数据!$I$3:$I$1002,原始数据!$D$3:$D$1002,"HT20260804")</f>
        <v>462.13300000000004</v>
      </c>
      <c r="I433" s="17">
        <f>SUMIFS(原始数据!$J$3:$J$1002,原始数据!$D$3:$D$1002,"HT20260804")</f>
        <v>183.155</v>
      </c>
      <c r="J433" s="17">
        <f>SUMIFS(原始数据!$K$3:$K$1002,原始数据!$D$3:$D$1002,"HT20260804")</f>
        <v>278.97799999999995</v>
      </c>
      <c r="K433" s="14" t="str">
        <f>IFERROR(INDEX(原始数据!$L$3:$L$1002,MATCH(1,INDEX((原始数据!$D$3:$D$1002="HT20260804")*(原始数据!$L$3:$L$1002&lt;&gt;""),0),0)),"")</f>
        <v>十部</v>
      </c>
      <c r="L433" s="15" t="str">
        <f>IFERROR(INDEX(原始数据!$M$3:$M$1002,MATCH(1,INDEX((原始数据!$D$3:$D$1002="HT20260804")*(原始数据!$M$3:$M$1002&lt;&gt;""),0),0)),"")</f>
        <v>段勇</v>
      </c>
      <c r="M433" s="14" t="str">
        <f>IFERROR(INDEX(原始数据!$N$3:$N$1002,MATCH(1,INDEX((原始数据!$D$3:$D$1002="HT20260804")*(原始数据!$N$3:$N$1002&lt;&gt;""),0),0)),"")</f>
        <v>2-3年</v>
      </c>
      <c r="N433" s="14" t="inlineStr"/>
    </row>
    <row r="434">
      <c r="A434" s="18">
        <f>ROW()-2</f>
        <v>432</v>
      </c>
      <c r="B434" s="19" t="str">
        <f>IFERROR(INDEX(原始数据!$B$3:$B$1002,MATCH(1,INDEX((原始数据!$D$3:$D$1002="HT20260805")*(原始数据!$B$3:$B$1002&lt;&gt;""),0),0)),"")</f>
        <v>华东-安徽</v>
      </c>
      <c r="C434" s="19" t="str">
        <f>IFERROR(INDEX(原始数据!$C$3:$C$1002,MATCH(1,INDEX((原始数据!$D$3:$D$1002="HT20260805")*(原始数据!$C$3:$C$1002&lt;&gt;""),0),0)),"")</f>
        <v>党委机关</v>
      </c>
      <c r="D434" s="20" t="inlineStr">
        <is>
          <t>HT20260805</t>
        </is>
      </c>
      <c r="E434" s="21">
        <f>IFERROR(INDEX(原始数据!$E$3:$E$1002,MATCH(1,INDEX((原始数据!$D$3:$D$1002="HT20260805")*(原始数据!$E$3:$E$1002&lt;&gt;""),0),0)),"")</f>
        <v>20260805</v>
      </c>
      <c r="F434" s="22">
        <f>SUMIFS(原始数据!$F$3:$F$1002,原始数据!$D$3:$D$1002,"HT20260805")</f>
        <v>709.895</v>
      </c>
      <c r="G434" s="22">
        <f>SUMIFS(原始数据!$H$3:$H$1002,原始数据!$D$3:$D$1002,"HT20260805")</f>
        <v>341.53900000000004</v>
      </c>
      <c r="H434" s="22">
        <f>SUMIFS(原始数据!$I$3:$I$1002,原始数据!$D$3:$D$1002,"HT20260805")</f>
        <v>368.356</v>
      </c>
      <c r="I434" s="22">
        <f>SUMIFS(原始数据!$J$3:$J$1002,原始数据!$D$3:$D$1002,"HT20260805")</f>
        <v>132.619</v>
      </c>
      <c r="J434" s="22">
        <f>SUMIFS(原始数据!$K$3:$K$1002,原始数据!$D$3:$D$1002,"HT20260805")</f>
        <v>235.737</v>
      </c>
      <c r="K434" s="19" t="str">
        <f>IFERROR(INDEX(原始数据!$L$3:$L$1002,MATCH(1,INDEX((原始数据!$D$3:$D$1002="HT20260805")*(原始数据!$L$3:$L$1002&lt;&gt;""),0),0)),"")</f>
        <v>十部</v>
      </c>
      <c r="L434" s="20" t="str">
        <f>IFERROR(INDEX(原始数据!$M$3:$M$1002,MATCH(1,INDEX((原始数据!$D$3:$D$1002="HT20260805")*(原始数据!$M$3:$M$1002&lt;&gt;""),0),0)),"")</f>
        <v>薛峰</v>
      </c>
      <c r="M434" s="19" t="str">
        <f>IFERROR(INDEX(原始数据!$N$3:$N$1002,MATCH(1,INDEX((原始数据!$D$3:$D$1002="HT20260805")*(原始数据!$N$3:$N$1002&lt;&gt;""),0),0)),"")</f>
        <v>2-3年</v>
      </c>
      <c r="N434" s="19" t="inlineStr"/>
    </row>
    <row r="435">
      <c r="A435" s="13">
        <f>ROW()-2</f>
        <v>433</v>
      </c>
      <c r="B435" s="14" t="str">
        <f>IFERROR(INDEX(原始数据!$B$3:$B$1002,MATCH(1,INDEX((原始数据!$D$3:$D$1002="HT20260807")*(原始数据!$B$3:$B$1002&lt;&gt;""),0),0)),"")</f>
        <v>华南-海南</v>
      </c>
      <c r="C435" s="14" t="str">
        <f>IFERROR(INDEX(原始数据!$C$3:$C$1002,MATCH(1,INDEX((原始数据!$D$3:$D$1002="HT20260807")*(原始数据!$C$3:$C$1002&lt;&gt;""),0),0)),"")</f>
        <v>政府机关</v>
      </c>
      <c r="D435" s="15" t="inlineStr">
        <is>
          <t>HT20260807</t>
        </is>
      </c>
      <c r="E435" s="16">
        <f>IFERROR(INDEX(原始数据!$E$3:$E$1002,MATCH(1,INDEX((原始数据!$D$3:$D$1002="HT20260807")*(原始数据!$E$3:$E$1002&lt;&gt;""),0),0)),"")</f>
        <v>20260303</v>
      </c>
      <c r="F435" s="17">
        <f>SUMIFS(原始数据!$F$3:$F$1002,原始数据!$D$3:$D$1002,"HT20260807")</f>
        <v>1750.382</v>
      </c>
      <c r="G435" s="17">
        <f>SUMIFS(原始数据!$H$3:$H$1002,原始数据!$D$3:$D$1002,"HT20260807")</f>
        <v>683.1179999999999</v>
      </c>
      <c r="H435" s="17">
        <f>SUMIFS(原始数据!$I$3:$I$1002,原始数据!$D$3:$D$1002,"HT20260807")</f>
        <v>1067.264</v>
      </c>
      <c r="I435" s="17">
        <f>SUMIFS(原始数据!$J$3:$J$1002,原始数据!$D$3:$D$1002,"HT20260807")</f>
        <v>459.438</v>
      </c>
      <c r="J435" s="17">
        <f>SUMIFS(原始数据!$K$3:$K$1002,原始数据!$D$3:$D$1002,"HT20260807")</f>
        <v>607.826</v>
      </c>
      <c r="K435" s="14" t="str">
        <f>IFERROR(INDEX(原始数据!$L$3:$L$1002,MATCH(1,INDEX((原始数据!$D$3:$D$1002="HT20260807")*(原始数据!$L$3:$L$1002&lt;&gt;""),0),0)),"")</f>
        <v>八部</v>
      </c>
      <c r="L435" s="15" t="str">
        <f>IFERROR(INDEX(原始数据!$M$3:$M$1002,MATCH(1,INDEX((原始数据!$D$3:$D$1002="HT20260807")*(原始数据!$M$3:$M$1002&lt;&gt;""),0),0)),"")</f>
        <v>苏珊</v>
      </c>
      <c r="M435" s="14" t="str">
        <f>IFERROR(INDEX(原始数据!$N$3:$N$1002,MATCH(1,INDEX((原始数据!$D$3:$D$1002="HT20260807")*(原始数据!$N$3:$N$1002&lt;&gt;""),0),0)),"")</f>
        <v>1年以内</v>
      </c>
      <c r="N435" s="14" t="inlineStr"/>
    </row>
    <row r="436">
      <c r="A436" s="18">
        <f>ROW()-2</f>
        <v>434</v>
      </c>
      <c r="B436" s="19" t="str">
        <f>IFERROR(INDEX(原始数据!$B$3:$B$1002,MATCH(1,INDEX((原始数据!$D$3:$D$1002="HT20260808")*(原始数据!$B$3:$B$1002&lt;&gt;""),0),0)),"")</f>
        <v>华东-上海</v>
      </c>
      <c r="C436" s="19" t="str">
        <f>IFERROR(INDEX(原始数据!$C$3:$C$1002,MATCH(1,INDEX((原始数据!$D$3:$D$1002="HT20260808")*(原始数据!$C$3:$C$1002&lt;&gt;""),0),0)),"")</f>
        <v>群团组织</v>
      </c>
      <c r="D436" s="20" t="inlineStr">
        <is>
          <t>HT20260808</t>
        </is>
      </c>
      <c r="E436" s="21">
        <f>IFERROR(INDEX(原始数据!$E$3:$E$1002,MATCH(1,INDEX((原始数据!$D$3:$D$1002="HT20260808")*(原始数据!$E$3:$E$1002&lt;&gt;""),0),0)),"")</f>
        <v>20260901</v>
      </c>
      <c r="F436" s="22">
        <f>SUMIFS(原始数据!$F$3:$F$1002,原始数据!$D$3:$D$1002,"HT20260808")</f>
        <v>860.655</v>
      </c>
      <c r="G436" s="22">
        <f>SUMIFS(原始数据!$H$3:$H$1002,原始数据!$D$3:$D$1002,"HT20260808")</f>
        <v>636.805</v>
      </c>
      <c r="H436" s="22">
        <f>SUMIFS(原始数据!$I$3:$I$1002,原始数据!$D$3:$D$1002,"HT20260808")</f>
        <v>223.85</v>
      </c>
      <c r="I436" s="22">
        <f>SUMIFS(原始数据!$J$3:$J$1002,原始数据!$D$3:$D$1002,"HT20260808")</f>
        <v>168.084</v>
      </c>
      <c r="J436" s="22">
        <f>SUMIFS(原始数据!$K$3:$K$1002,原始数据!$D$3:$D$1002,"HT20260808")</f>
        <v>55.766</v>
      </c>
      <c r="K436" s="19" t="str">
        <f>IFERROR(INDEX(原始数据!$L$3:$L$1002,MATCH(1,INDEX((原始数据!$D$3:$D$1002="HT20260808")*(原始数据!$L$3:$L$1002&lt;&gt;""),0),0)),"")</f>
        <v>十部</v>
      </c>
      <c r="L436" s="20" t="str">
        <f>IFERROR(INDEX(原始数据!$M$3:$M$1002,MATCH(1,INDEX((原始数据!$D$3:$D$1002="HT20260808")*(原始数据!$M$3:$M$1002&lt;&gt;""),0),0)),"")</f>
        <v>阎莉</v>
      </c>
      <c r="M436" s="19" t="str">
        <f>IFERROR(INDEX(原始数据!$N$3:$N$1002,MATCH(1,INDEX((原始数据!$D$3:$D$1002="HT20260808")*(原始数据!$N$3:$N$1002&lt;&gt;""),0),0)),"")</f>
        <v>1年以内</v>
      </c>
      <c r="N436" s="19" t="inlineStr"/>
    </row>
    <row r="437">
      <c r="A437" s="13">
        <f>ROW()-2</f>
        <v>435</v>
      </c>
      <c r="B437" s="14" t="str">
        <f>IFERROR(INDEX(原始数据!$B$3:$B$1002,MATCH(1,INDEX((原始数据!$D$3:$D$1002="HT20260809")*(原始数据!$B$3:$B$1002&lt;&gt;""),0),0)),"")</f>
        <v>华北-北京</v>
      </c>
      <c r="C437" s="14" t="str">
        <f>IFERROR(INDEX(原始数据!$C$3:$C$1002,MATCH(1,INDEX((原始数据!$D$3:$D$1002="HT20260809")*(原始数据!$C$3:$C$1002&lt;&gt;""),0),0)),"")</f>
        <v>监察司法机关</v>
      </c>
      <c r="D437" s="15" t="inlineStr">
        <is>
          <t>HT20260809</t>
        </is>
      </c>
      <c r="E437" s="16">
        <f>IFERROR(INDEX(原始数据!$E$3:$E$1002,MATCH(1,INDEX((原始数据!$D$3:$D$1002="HT20260809")*(原始数据!$E$3:$E$1002&lt;&gt;""),0),0)),"")</f>
        <v>20260213</v>
      </c>
      <c r="F437" s="17">
        <f>SUMIFS(原始数据!$F$3:$F$1002,原始数据!$D$3:$D$1002,"HT20260809")</f>
        <v>865.144</v>
      </c>
      <c r="G437" s="17">
        <f>SUMIFS(原始数据!$H$3:$H$1002,原始数据!$D$3:$D$1002,"HT20260809")</f>
        <v>433.579</v>
      </c>
      <c r="H437" s="17">
        <f>SUMIFS(原始数据!$I$3:$I$1002,原始数据!$D$3:$D$1002,"HT20260809")</f>
        <v>431.565</v>
      </c>
      <c r="I437" s="17">
        <f>SUMIFS(原始数据!$J$3:$J$1002,原始数据!$D$3:$D$1002,"HT20260809")</f>
        <v>64.965</v>
      </c>
      <c r="J437" s="17">
        <f>SUMIFS(原始数据!$K$3:$K$1002,原始数据!$D$3:$D$1002,"HT20260809")</f>
        <v>366.6</v>
      </c>
      <c r="K437" s="14" t="str">
        <f>IFERROR(INDEX(原始数据!$L$3:$L$1002,MATCH(1,INDEX((原始数据!$D$3:$D$1002="HT20260809")*(原始数据!$L$3:$L$1002&lt;&gt;""),0),0)),"")</f>
        <v>二部</v>
      </c>
      <c r="L437" s="15" t="str">
        <f>IFERROR(INDEX(原始数据!$M$3:$M$1002,MATCH(1,INDEX((原始数据!$D$3:$D$1002="HT20260809")*(原始数据!$M$3:$M$1002&lt;&gt;""),0),0)),"")</f>
        <v>黄强</v>
      </c>
      <c r="M437" s="14" t="str">
        <f>IFERROR(INDEX(原始数据!$N$3:$N$1002,MATCH(1,INDEX((原始数据!$D$3:$D$1002="HT20260809")*(原始数据!$N$3:$N$1002&lt;&gt;""),0),0)),"")</f>
        <v>1年以内</v>
      </c>
      <c r="N437" s="14" t="inlineStr"/>
    </row>
    <row r="438">
      <c r="A438" s="18">
        <f>ROW()-2</f>
        <v>436</v>
      </c>
      <c r="B438" s="19" t="str">
        <f>IFERROR(INDEX(原始数据!$B$3:$B$1002,MATCH(1,INDEX((原始数据!$D$3:$D$1002="HT20260810")*(原始数据!$B$3:$B$1002&lt;&gt;""),0),0)),"")</f>
        <v>东北-黑龙江</v>
      </c>
      <c r="C438" s="19" t="str">
        <f>IFERROR(INDEX(原始数据!$C$3:$C$1002,MATCH(1,INDEX((原始数据!$D$3:$D$1002="HT20260810")*(原始数据!$C$3:$C$1002&lt;&gt;""),0),0)),"")</f>
        <v>人大政协</v>
      </c>
      <c r="D438" s="20" t="inlineStr">
        <is>
          <t>HT20260810</t>
        </is>
      </c>
      <c r="E438" s="21">
        <f>IFERROR(INDEX(原始数据!$E$3:$E$1002,MATCH(1,INDEX((原始数据!$D$3:$D$1002="HT20260810")*(原始数据!$E$3:$E$1002&lt;&gt;""),0),0)),"")</f>
        <v>20260323</v>
      </c>
      <c r="F438" s="22">
        <f>SUMIFS(原始数据!$F$3:$F$1002,原始数据!$D$3:$D$1002,"HT20260810")</f>
        <v>72.631</v>
      </c>
      <c r="G438" s="22">
        <f>SUMIFS(原始数据!$H$3:$H$1002,原始数据!$D$3:$D$1002,"HT20260810")</f>
        <v>70.754</v>
      </c>
      <c r="H438" s="22">
        <f>SUMIFS(原始数据!$I$3:$I$1002,原始数据!$D$3:$D$1002,"HT20260810")</f>
        <v>1.877</v>
      </c>
      <c r="I438" s="22">
        <f>SUMIFS(原始数据!$J$3:$J$1002,原始数据!$D$3:$D$1002,"HT20260810")</f>
        <v>1.164</v>
      </c>
      <c r="J438" s="22">
        <f>SUMIFS(原始数据!$K$3:$K$1002,原始数据!$D$3:$D$1002,"HT20260810")</f>
        <v>0.713</v>
      </c>
      <c r="K438" s="19" t="str">
        <f>IFERROR(INDEX(原始数据!$L$3:$L$1002,MATCH(1,INDEX((原始数据!$D$3:$D$1002="HT20260810")*(原始数据!$L$3:$L$1002&lt;&gt;""),0),0)),"")</f>
        <v>二部</v>
      </c>
      <c r="L438" s="20" t="str">
        <f>IFERROR(INDEX(原始数据!$M$3:$M$1002,MATCH(1,INDEX((原始数据!$D$3:$D$1002="HT20260810")*(原始数据!$M$3:$M$1002&lt;&gt;""),0),0)),"")</f>
        <v>黄强</v>
      </c>
      <c r="M438" s="19" t="str">
        <f>IFERROR(INDEX(原始数据!$N$3:$N$1002,MATCH(1,INDEX((原始数据!$D$3:$D$1002="HT20260810")*(原始数据!$N$3:$N$1002&lt;&gt;""),0),0)),"")</f>
        <v>1-2年</v>
      </c>
      <c r="N438" s="19" t="inlineStr"/>
    </row>
    <row r="439">
      <c r="A439" s="13">
        <f>ROW()-2</f>
        <v>437</v>
      </c>
      <c r="B439" s="14" t="str">
        <f>IFERROR(INDEX(原始数据!$B$3:$B$1002,MATCH(1,INDEX((原始数据!$D$3:$D$1002="HT20260811")*(原始数据!$B$3:$B$1002&lt;&gt;""),0),0)),"")</f>
        <v>华东-安徽</v>
      </c>
      <c r="C439" s="14" t="str">
        <f>IFERROR(INDEX(原始数据!$C$3:$C$1002,MATCH(1,INDEX((原始数据!$D$3:$D$1002="HT20260811")*(原始数据!$C$3:$C$1002&lt;&gt;""),0),0)),"")</f>
        <v>人大政协</v>
      </c>
      <c r="D439" s="15" t="inlineStr">
        <is>
          <t>HT20260811</t>
        </is>
      </c>
      <c r="E439" s="16">
        <f>IFERROR(INDEX(原始数据!$E$3:$E$1002,MATCH(1,INDEX((原始数据!$D$3:$D$1002="HT20260811")*(原始数据!$E$3:$E$1002&lt;&gt;""),0),0)),"")</f>
        <v>20260828</v>
      </c>
      <c r="F439" s="17">
        <f>SUMIFS(原始数据!$F$3:$F$1002,原始数据!$D$3:$D$1002,"HT20260811")</f>
        <v>258.87</v>
      </c>
      <c r="G439" s="17">
        <f>SUMIFS(原始数据!$H$3:$H$1002,原始数据!$D$3:$D$1002,"HT20260811")</f>
        <v>118.607</v>
      </c>
      <c r="H439" s="17">
        <f>SUMIFS(原始数据!$I$3:$I$1002,原始数据!$D$3:$D$1002,"HT20260811")</f>
        <v>140.263</v>
      </c>
      <c r="I439" s="17">
        <f>SUMIFS(原始数据!$J$3:$J$1002,原始数据!$D$3:$D$1002,"HT20260811")</f>
        <v>47.977</v>
      </c>
      <c r="J439" s="17">
        <f>SUMIFS(原始数据!$K$3:$K$1002,原始数据!$D$3:$D$1002,"HT20260811")</f>
        <v>92.286</v>
      </c>
      <c r="K439" s="14" t="str">
        <f>IFERROR(INDEX(原始数据!$L$3:$L$1002,MATCH(1,INDEX((原始数据!$D$3:$D$1002="HT20260811")*(原始数据!$L$3:$L$1002&lt;&gt;""),0),0)),"")</f>
        <v>五部</v>
      </c>
      <c r="L439" s="15" t="str">
        <f>IFERROR(INDEX(原始数据!$M$3:$M$1002,MATCH(1,INDEX((原始数据!$D$3:$D$1002="HT20260811")*(原始数据!$M$3:$M$1002&lt;&gt;""),0),0)),"")</f>
        <v>郑浩</v>
      </c>
      <c r="M439" s="14" t="str">
        <f>IFERROR(INDEX(原始数据!$N$3:$N$1002,MATCH(1,INDEX((原始数据!$D$3:$D$1002="HT20260811")*(原始数据!$N$3:$N$1002&lt;&gt;""),0),0)),"")</f>
        <v>2-3年</v>
      </c>
      <c r="N439" s="14" t="inlineStr"/>
    </row>
    <row r="440">
      <c r="A440" s="18">
        <f>ROW()-2</f>
        <v>438</v>
      </c>
      <c r="B440" s="19" t="str">
        <f>IFERROR(INDEX(原始数据!$B$3:$B$1002,MATCH(1,INDEX((原始数据!$D$3:$D$1002="HT20260812")*(原始数据!$B$3:$B$1002&lt;&gt;""),0),0)),"")</f>
        <v>华东-台湾</v>
      </c>
      <c r="C440" s="19" t="str">
        <f>IFERROR(INDEX(原始数据!$C$3:$C$1002,MATCH(1,INDEX((原始数据!$D$3:$D$1002="HT20260812")*(原始数据!$C$3:$C$1002&lt;&gt;""),0),0)),"")</f>
        <v>监察司法机关</v>
      </c>
      <c r="D440" s="20" t="inlineStr">
        <is>
          <t>HT20260812</t>
        </is>
      </c>
      <c r="E440" s="21">
        <f>IFERROR(INDEX(原始数据!$E$3:$E$1002,MATCH(1,INDEX((原始数据!$D$3:$D$1002="HT20260812")*(原始数据!$E$3:$E$1002&lt;&gt;""),0),0)),"")</f>
        <v>20260111</v>
      </c>
      <c r="F440" s="22">
        <f>SUMIFS(原始数据!$F$3:$F$1002,原始数据!$D$3:$D$1002,"HT20260812")</f>
        <v>4568.343</v>
      </c>
      <c r="G440" s="22">
        <f>SUMIFS(原始数据!$H$3:$H$1002,原始数据!$D$3:$D$1002,"HT20260812")</f>
        <v>3760.223</v>
      </c>
      <c r="H440" s="22">
        <f>SUMIFS(原始数据!$I$3:$I$1002,原始数据!$D$3:$D$1002,"HT20260812")</f>
        <v>808.12</v>
      </c>
      <c r="I440" s="22">
        <f>SUMIFS(原始数据!$J$3:$J$1002,原始数据!$D$3:$D$1002,"HT20260812")</f>
        <v>670.399</v>
      </c>
      <c r="J440" s="22">
        <f>SUMIFS(原始数据!$K$3:$K$1002,原始数据!$D$3:$D$1002,"HT20260812")</f>
        <v>137.721</v>
      </c>
      <c r="K440" s="19" t="str">
        <f>IFERROR(INDEX(原始数据!$L$3:$L$1002,MATCH(1,INDEX((原始数据!$D$3:$D$1002="HT20260812")*(原始数据!$L$3:$L$1002&lt;&gt;""),0),0)),"")</f>
        <v>二部</v>
      </c>
      <c r="L440" s="20" t="str">
        <f>IFERROR(INDEX(原始数据!$M$3:$M$1002,MATCH(1,INDEX((原始数据!$D$3:$D$1002="HT20260812")*(原始数据!$M$3:$M$1002&lt;&gt;""),0),0)),"")</f>
        <v>吴丽</v>
      </c>
      <c r="M440" s="19" t="str">
        <f>IFERROR(INDEX(原始数据!$N$3:$N$1002,MATCH(1,INDEX((原始数据!$D$3:$D$1002="HT20260812")*(原始数据!$N$3:$N$1002&lt;&gt;""),0),0)),"")</f>
        <v>1-2年</v>
      </c>
      <c r="N440" s="19" t="inlineStr"/>
    </row>
    <row r="441">
      <c r="A441" s="13">
        <f>ROW()-2</f>
        <v>439</v>
      </c>
      <c r="B441" s="14" t="str">
        <f>IFERROR(INDEX(原始数据!$B$3:$B$1002,MATCH(1,INDEX((原始数据!$D$3:$D$1002="HT20260814")*(原始数据!$B$3:$B$1002&lt;&gt;""),0),0)),"")</f>
        <v>华南-海南</v>
      </c>
      <c r="C441" s="14" t="str">
        <f>IFERROR(INDEX(原始数据!$C$3:$C$1002,MATCH(1,INDEX((原始数据!$D$3:$D$1002="HT20260814")*(原始数据!$C$3:$C$1002&lt;&gt;""),0),0)),"")</f>
        <v>人大政协</v>
      </c>
      <c r="D441" s="15" t="inlineStr">
        <is>
          <t>HT20260814</t>
        </is>
      </c>
      <c r="E441" s="16">
        <f>IFERROR(INDEX(原始数据!$E$3:$E$1002,MATCH(1,INDEX((原始数据!$D$3:$D$1002="HT20260814")*(原始数据!$E$3:$E$1002&lt;&gt;""),0),0)),"")</f>
        <v>20260121</v>
      </c>
      <c r="F441" s="17">
        <f>SUMIFS(原始数据!$F$3:$F$1002,原始数据!$D$3:$D$1002,"HT20260814")</f>
        <v>1696.625</v>
      </c>
      <c r="G441" s="17">
        <f>SUMIFS(原始数据!$H$3:$H$1002,原始数据!$D$3:$D$1002,"HT20260814")</f>
        <v>844.903</v>
      </c>
      <c r="H441" s="17">
        <f>SUMIFS(原始数据!$I$3:$I$1002,原始数据!$D$3:$D$1002,"HT20260814")</f>
        <v>851.7220000000001</v>
      </c>
      <c r="I441" s="17">
        <f>SUMIFS(原始数据!$J$3:$J$1002,原始数据!$D$3:$D$1002,"HT20260814")</f>
        <v>300.916</v>
      </c>
      <c r="J441" s="17">
        <f>SUMIFS(原始数据!$K$3:$K$1002,原始数据!$D$3:$D$1002,"HT20260814")</f>
        <v>550.8059999999999</v>
      </c>
      <c r="K441" s="14" t="str">
        <f>IFERROR(INDEX(原始数据!$L$3:$L$1002,MATCH(1,INDEX((原始数据!$D$3:$D$1002="HT20260814")*(原始数据!$L$3:$L$1002&lt;&gt;""),0),0)),"")</f>
        <v>三部</v>
      </c>
      <c r="L441" s="15" t="str">
        <f>IFERROR(INDEX(原始数据!$M$3:$M$1002,MATCH(1,INDEX((原始数据!$D$3:$D$1002="HT20260814")*(原始数据!$M$3:$M$1002&lt;&gt;""),0),0)),"")</f>
        <v>胡蓉</v>
      </c>
      <c r="M441" s="14" t="str">
        <f>IFERROR(INDEX(原始数据!$N$3:$N$1002,MATCH(1,INDEX((原始数据!$D$3:$D$1002="HT20260814")*(原始数据!$N$3:$N$1002&lt;&gt;""),0),0)),"")</f>
        <v>1年以内</v>
      </c>
      <c r="N441" s="14" t="inlineStr"/>
    </row>
    <row r="442">
      <c r="A442" s="18">
        <f>ROW()-2</f>
        <v>440</v>
      </c>
      <c r="B442" s="19" t="str">
        <f>IFERROR(INDEX(原始数据!$B$3:$B$1002,MATCH(1,INDEX((原始数据!$D$3:$D$1002="HT20260815")*(原始数据!$B$3:$B$1002&lt;&gt;""),0),0)),"")</f>
        <v>东北-辽宁</v>
      </c>
      <c r="C442" s="19" t="str">
        <f>IFERROR(INDEX(原始数据!$C$3:$C$1002,MATCH(1,INDEX((原始数据!$D$3:$D$1002="HT20260815")*(原始数据!$C$3:$C$1002&lt;&gt;""),0),0)),"")</f>
        <v>基层自治组织</v>
      </c>
      <c r="D442" s="20" t="inlineStr">
        <is>
          <t>HT20260815</t>
        </is>
      </c>
      <c r="E442" s="21">
        <f>IFERROR(INDEX(原始数据!$E$3:$E$1002,MATCH(1,INDEX((原始数据!$D$3:$D$1002="HT20260815")*(原始数据!$E$3:$E$1002&lt;&gt;""),0),0)),"")</f>
        <v>20260528</v>
      </c>
      <c r="F442" s="22">
        <f>SUMIFS(原始数据!$F$3:$F$1002,原始数据!$D$3:$D$1002,"HT20260815")</f>
        <v>863.211</v>
      </c>
      <c r="G442" s="22">
        <f>SUMIFS(原始数据!$H$3:$H$1002,原始数据!$D$3:$D$1002,"HT20260815")</f>
        <v>58.76</v>
      </c>
      <c r="H442" s="22">
        <f>SUMIFS(原始数据!$I$3:$I$1002,原始数据!$D$3:$D$1002,"HT20260815")</f>
        <v>804.451</v>
      </c>
      <c r="I442" s="22">
        <f>SUMIFS(原始数据!$J$3:$J$1002,原始数据!$D$3:$D$1002,"HT20260815")</f>
        <v>304.111</v>
      </c>
      <c r="J442" s="22">
        <f>SUMIFS(原始数据!$K$3:$K$1002,原始数据!$D$3:$D$1002,"HT20260815")</f>
        <v>500.34</v>
      </c>
      <c r="K442" s="19" t="str">
        <f>IFERROR(INDEX(原始数据!$L$3:$L$1002,MATCH(1,INDEX((原始数据!$D$3:$D$1002="HT20260815")*(原始数据!$L$3:$L$1002&lt;&gt;""),0),0)),"")</f>
        <v>一部</v>
      </c>
      <c r="L442" s="20" t="str">
        <f>IFERROR(INDEX(原始数据!$M$3:$M$1002,MATCH(1,INDEX((原始数据!$D$3:$D$1002="HT20260815")*(原始数据!$M$3:$M$1002&lt;&gt;""),0),0)),"")</f>
        <v>王芳</v>
      </c>
      <c r="M442" s="19" t="str">
        <f>IFERROR(INDEX(原始数据!$N$3:$N$1002,MATCH(1,INDEX((原始数据!$D$3:$D$1002="HT20260815")*(原始数据!$N$3:$N$1002&lt;&gt;""),0),0)),"")</f>
        <v>1-2年</v>
      </c>
      <c r="N442" s="19" t="inlineStr"/>
    </row>
    <row r="443">
      <c r="A443" s="13">
        <f>ROW()-2</f>
        <v>441</v>
      </c>
      <c r="B443" s="14" t="str">
        <f>IFERROR(INDEX(原始数据!$B$3:$B$1002,MATCH(1,INDEX((原始数据!$D$3:$D$1002="HT20260816")*(原始数据!$B$3:$B$1002&lt;&gt;""),0),0)),"")</f>
        <v>华北-山西</v>
      </c>
      <c r="C443" s="14" t="str">
        <f>IFERROR(INDEX(原始数据!$C$3:$C$1002,MATCH(1,INDEX((原始数据!$D$3:$D$1002="HT20260816")*(原始数据!$C$3:$C$1002&lt;&gt;""),0),0)),"")</f>
        <v>群团组织</v>
      </c>
      <c r="D443" s="15" t="inlineStr">
        <is>
          <t>HT20260816</t>
        </is>
      </c>
      <c r="E443" s="16">
        <f>IFERROR(INDEX(原始数据!$E$3:$E$1002,MATCH(1,INDEX((原始数据!$D$3:$D$1002="HT20260816")*(原始数据!$E$3:$E$1002&lt;&gt;""),0),0)),"")</f>
        <v>20260314</v>
      </c>
      <c r="F443" s="17">
        <f>SUMIFS(原始数据!$F$3:$F$1002,原始数据!$D$3:$D$1002,"HT20260816")</f>
        <v>432.756</v>
      </c>
      <c r="G443" s="17">
        <f>SUMIFS(原始数据!$H$3:$H$1002,原始数据!$D$3:$D$1002,"HT20260816")</f>
        <v>109.495</v>
      </c>
      <c r="H443" s="17">
        <f>SUMIFS(原始数据!$I$3:$I$1002,原始数据!$D$3:$D$1002,"HT20260816")</f>
        <v>323.261</v>
      </c>
      <c r="I443" s="17">
        <f>SUMIFS(原始数据!$J$3:$J$1002,原始数据!$D$3:$D$1002,"HT20260816")</f>
        <v>183.793</v>
      </c>
      <c r="J443" s="17">
        <f>SUMIFS(原始数据!$K$3:$K$1002,原始数据!$D$3:$D$1002,"HT20260816")</f>
        <v>139.468</v>
      </c>
      <c r="K443" s="14" t="str">
        <f>IFERROR(INDEX(原始数据!$L$3:$L$1002,MATCH(1,INDEX((原始数据!$D$3:$D$1002="HT20260816")*(原始数据!$L$3:$L$1002&lt;&gt;""),0),0)),"")</f>
        <v>八部</v>
      </c>
      <c r="L443" s="15" t="str">
        <f>IFERROR(INDEX(原始数据!$M$3:$M$1002,MATCH(1,INDEX((原始数据!$D$3:$D$1002="HT20260816")*(原始数据!$M$3:$M$1002&lt;&gt;""),0),0)),"")</f>
        <v>曾辉</v>
      </c>
      <c r="M443" s="14" t="str">
        <f>IFERROR(INDEX(原始数据!$N$3:$N$1002,MATCH(1,INDEX((原始数据!$D$3:$D$1002="HT20260816")*(原始数据!$N$3:$N$1002&lt;&gt;""),0),0)),"")</f>
        <v>1年以内</v>
      </c>
      <c r="N443" s="14" t="inlineStr"/>
    </row>
    <row r="444">
      <c r="A444" s="18">
        <f>ROW()-2</f>
        <v>442</v>
      </c>
      <c r="B444" s="19" t="str">
        <f>IFERROR(INDEX(原始数据!$B$3:$B$1002,MATCH(1,INDEX((原始数据!$D$3:$D$1002="HT20260817")*(原始数据!$B$3:$B$1002&lt;&gt;""),0),0)),"")</f>
        <v>华北-天津</v>
      </c>
      <c r="C444" s="19" t="str">
        <f>IFERROR(INDEX(原始数据!$C$3:$C$1002,MATCH(1,INDEX((原始数据!$D$3:$D$1002="HT20260817")*(原始数据!$C$3:$C$1002&lt;&gt;""),0),0)),"")</f>
        <v>国有企业</v>
      </c>
      <c r="D444" s="20" t="inlineStr">
        <is>
          <t>HT20260817</t>
        </is>
      </c>
      <c r="E444" s="21">
        <f>IFERROR(INDEX(原始数据!$E$3:$E$1002,MATCH(1,INDEX((原始数据!$D$3:$D$1002="HT20260817")*(原始数据!$E$3:$E$1002&lt;&gt;""),0),0)),"")</f>
        <v>20260321</v>
      </c>
      <c r="F444" s="22">
        <f>SUMIFS(原始数据!$F$3:$F$1002,原始数据!$D$3:$D$1002,"HT20260817")</f>
        <v>281.699</v>
      </c>
      <c r="G444" s="22">
        <f>SUMIFS(原始数据!$H$3:$H$1002,原始数据!$D$3:$D$1002,"HT20260817")</f>
        <v>87.023</v>
      </c>
      <c r="H444" s="22">
        <f>SUMIFS(原始数据!$I$3:$I$1002,原始数据!$D$3:$D$1002,"HT20260817")</f>
        <v>194.676</v>
      </c>
      <c r="I444" s="22">
        <f>SUMIFS(原始数据!$J$3:$J$1002,原始数据!$D$3:$D$1002,"HT20260817")</f>
        <v>175.798</v>
      </c>
      <c r="J444" s="22">
        <f>SUMIFS(原始数据!$K$3:$K$1002,原始数据!$D$3:$D$1002,"HT20260817")</f>
        <v>18.878</v>
      </c>
      <c r="K444" s="19" t="str">
        <f>IFERROR(INDEX(原始数据!$L$3:$L$1002,MATCH(1,INDEX((原始数据!$D$3:$D$1002="HT20260817")*(原始数据!$L$3:$L$1002&lt;&gt;""),0),0)),"")</f>
        <v>四部</v>
      </c>
      <c r="L444" s="20" t="str">
        <f>IFERROR(INDEX(原始数据!$M$3:$M$1002,MATCH(1,INDEX((原始数据!$D$3:$D$1002="HT20260817")*(原始数据!$M$3:$M$1002&lt;&gt;""),0),0)),"")</f>
        <v>高翔</v>
      </c>
      <c r="M444" s="19" t="str">
        <f>IFERROR(INDEX(原始数据!$N$3:$N$1002,MATCH(1,INDEX((原始数据!$D$3:$D$1002="HT20260817")*(原始数据!$N$3:$N$1002&lt;&gt;""),0),0)),"")</f>
        <v>2-3年</v>
      </c>
      <c r="N444" s="19" t="inlineStr"/>
    </row>
    <row r="445">
      <c r="A445" s="13">
        <f>ROW()-2</f>
        <v>443</v>
      </c>
      <c r="B445" s="14" t="str">
        <f>IFERROR(INDEX(原始数据!$B$3:$B$1002,MATCH(1,INDEX((原始数据!$D$3:$D$1002="HT20260818")*(原始数据!$B$3:$B$1002&lt;&gt;""),0),0)),"")</f>
        <v>华南-海南</v>
      </c>
      <c r="C445" s="14" t="str">
        <f>IFERROR(INDEX(原始数据!$C$3:$C$1002,MATCH(1,INDEX((原始数据!$D$3:$D$1002="HT20260818")*(原始数据!$C$3:$C$1002&lt;&gt;""),0),0)),"")</f>
        <v>国有企业</v>
      </c>
      <c r="D445" s="15" t="inlineStr">
        <is>
          <t>HT20260818</t>
        </is>
      </c>
      <c r="E445" s="16">
        <f>IFERROR(INDEX(原始数据!$E$3:$E$1002,MATCH(1,INDEX((原始数据!$D$3:$D$1002="HT20260818")*(原始数据!$E$3:$E$1002&lt;&gt;""),0),0)),"")</f>
        <v>20260727</v>
      </c>
      <c r="F445" s="17">
        <f>SUMIFS(原始数据!$F$3:$F$1002,原始数据!$D$3:$D$1002,"HT20260818")</f>
        <v>871.5150000000001</v>
      </c>
      <c r="G445" s="17">
        <f>SUMIFS(原始数据!$H$3:$H$1002,原始数据!$D$3:$D$1002,"HT20260818")</f>
        <v>344.406</v>
      </c>
      <c r="H445" s="17">
        <f>SUMIFS(原始数据!$I$3:$I$1002,原始数据!$D$3:$D$1002,"HT20260818")</f>
        <v>527.1089999999999</v>
      </c>
      <c r="I445" s="17">
        <f>SUMIFS(原始数据!$J$3:$J$1002,原始数据!$D$3:$D$1002,"HT20260818")</f>
        <v>202.99</v>
      </c>
      <c r="J445" s="17">
        <f>SUMIFS(原始数据!$K$3:$K$1002,原始数据!$D$3:$D$1002,"HT20260818")</f>
        <v>324.119</v>
      </c>
      <c r="K445" s="14" t="str">
        <f>IFERROR(INDEX(原始数据!$L$3:$L$1002,MATCH(1,INDEX((原始数据!$D$3:$D$1002="HT20260818")*(原始数据!$L$3:$L$1002&lt;&gt;""),0),0)),"")</f>
        <v>八部</v>
      </c>
      <c r="L445" s="15" t="str">
        <f>IFERROR(INDEX(原始数据!$M$3:$M$1002,MATCH(1,INDEX((原始数据!$D$3:$D$1002="HT20260818")*(原始数据!$M$3:$M$1002&lt;&gt;""),0),0)),"")</f>
        <v>曾辉</v>
      </c>
      <c r="M445" s="14" t="str">
        <f>IFERROR(INDEX(原始数据!$N$3:$N$1002,MATCH(1,INDEX((原始数据!$D$3:$D$1002="HT20260818")*(原始数据!$N$3:$N$1002&lt;&gt;""),0),0)),"")</f>
        <v>1-2年</v>
      </c>
      <c r="N445" s="14" t="inlineStr"/>
    </row>
    <row r="446">
      <c r="A446" s="18">
        <f>ROW()-2</f>
        <v>444</v>
      </c>
      <c r="B446" s="19" t="str">
        <f>IFERROR(INDEX(原始数据!$B$3:$B$1002,MATCH(1,INDEX((原始数据!$D$3:$D$1002="HT20260820")*(原始数据!$B$3:$B$1002&lt;&gt;""),0),0)),"")</f>
        <v>华北-山西</v>
      </c>
      <c r="C446" s="19" t="str">
        <f>IFERROR(INDEX(原始数据!$C$3:$C$1002,MATCH(1,INDEX((原始数据!$D$3:$D$1002="HT20260820")*(原始数据!$C$3:$C$1002&lt;&gt;""),0),0)),"")</f>
        <v>群团组织</v>
      </c>
      <c r="D446" s="20" t="inlineStr">
        <is>
          <t>HT20260820</t>
        </is>
      </c>
      <c r="E446" s="21">
        <f>IFERROR(INDEX(原始数据!$E$3:$E$1002,MATCH(1,INDEX((原始数据!$D$3:$D$1002="HT20260820")*(原始数据!$E$3:$E$1002&lt;&gt;""),0),0)),"")</f>
        <v>20260708</v>
      </c>
      <c r="F446" s="22">
        <f>SUMIFS(原始数据!$F$3:$F$1002,原始数据!$D$3:$D$1002,"HT20260820")</f>
        <v>677.381</v>
      </c>
      <c r="G446" s="22">
        <f>SUMIFS(原始数据!$H$3:$H$1002,原始数据!$D$3:$D$1002,"HT20260820")</f>
        <v>349.044</v>
      </c>
      <c r="H446" s="22">
        <f>SUMIFS(原始数据!$I$3:$I$1002,原始数据!$D$3:$D$1002,"HT20260820")</f>
        <v>328.337</v>
      </c>
      <c r="I446" s="22">
        <f>SUMIFS(原始数据!$J$3:$J$1002,原始数据!$D$3:$D$1002,"HT20260820")</f>
        <v>81.362</v>
      </c>
      <c r="J446" s="22">
        <f>SUMIFS(原始数据!$K$3:$K$1002,原始数据!$D$3:$D$1002,"HT20260820")</f>
        <v>246.975</v>
      </c>
      <c r="K446" s="19" t="str">
        <f>IFERROR(INDEX(原始数据!$L$3:$L$1002,MATCH(1,INDEX((原始数据!$D$3:$D$1002="HT20260820")*(原始数据!$L$3:$L$1002&lt;&gt;""),0),0)),"")</f>
        <v>五部</v>
      </c>
      <c r="L446" s="20" t="str">
        <f>IFERROR(INDEX(原始数据!$M$3:$M$1002,MATCH(1,INDEX((原始数据!$D$3:$D$1002="HT20260820")*(原始数据!$M$3:$M$1002&lt;&gt;""),0),0)),"")</f>
        <v>宋佳</v>
      </c>
      <c r="M446" s="19" t="str">
        <f>IFERROR(INDEX(原始数据!$N$3:$N$1002,MATCH(1,INDEX((原始数据!$D$3:$D$1002="HT20260820")*(原始数据!$N$3:$N$1002&lt;&gt;""),0),0)),"")</f>
        <v>1年以内</v>
      </c>
      <c r="N446" s="19" t="inlineStr"/>
    </row>
    <row r="447">
      <c r="A447" s="13">
        <f>ROW()-2</f>
        <v>445</v>
      </c>
      <c r="B447" s="14" t="str">
        <f>IFERROR(INDEX(原始数据!$B$3:$B$1002,MATCH(1,INDEX((原始数据!$D$3:$D$1002="HT20260823")*(原始数据!$B$3:$B$1002&lt;&gt;""),0),0)),"")</f>
        <v>华东-台湾</v>
      </c>
      <c r="C447" s="14" t="str">
        <f>IFERROR(INDEX(原始数据!$C$3:$C$1002,MATCH(1,INDEX((原始数据!$D$3:$D$1002="HT20260823")*(原始数据!$C$3:$C$1002&lt;&gt;""),0),0)),"")</f>
        <v>政府机关</v>
      </c>
      <c r="D447" s="15" t="inlineStr">
        <is>
          <t>HT20260823</t>
        </is>
      </c>
      <c r="E447" s="16">
        <f>IFERROR(INDEX(原始数据!$E$3:$E$1002,MATCH(1,INDEX((原始数据!$D$3:$D$1002="HT20260823")*(原始数据!$E$3:$E$1002&lt;&gt;""),0),0)),"")</f>
        <v>20260514</v>
      </c>
      <c r="F447" s="17">
        <f>SUMIFS(原始数据!$F$3:$F$1002,原始数据!$D$3:$D$1002,"HT20260823")</f>
        <v>1727.382</v>
      </c>
      <c r="G447" s="17">
        <f>SUMIFS(原始数据!$H$3:$H$1002,原始数据!$D$3:$D$1002,"HT20260823")</f>
        <v>1503.774</v>
      </c>
      <c r="H447" s="17">
        <f>SUMIFS(原始数据!$I$3:$I$1002,原始数据!$D$3:$D$1002,"HT20260823")</f>
        <v>223.608</v>
      </c>
      <c r="I447" s="17">
        <f>SUMIFS(原始数据!$J$3:$J$1002,原始数据!$D$3:$D$1002,"HT20260823")</f>
        <v>136.329</v>
      </c>
      <c r="J447" s="17">
        <f>SUMIFS(原始数据!$K$3:$K$1002,原始数据!$D$3:$D$1002,"HT20260823")</f>
        <v>87.279</v>
      </c>
      <c r="K447" s="14" t="str">
        <f>IFERROR(INDEX(原始数据!$L$3:$L$1002,MATCH(1,INDEX((原始数据!$D$3:$D$1002="HT20260823")*(原始数据!$L$3:$L$1002&lt;&gt;""),0),0)),"")</f>
        <v>二部</v>
      </c>
      <c r="L447" s="15" t="str">
        <f>IFERROR(INDEX(原始数据!$M$3:$M$1002,MATCH(1,INDEX((原始数据!$D$3:$D$1002="HT20260823")*(原始数据!$M$3:$M$1002&lt;&gt;""),0),0)),"")</f>
        <v>黄强</v>
      </c>
      <c r="M447" s="14" t="str">
        <f>IFERROR(INDEX(原始数据!$N$3:$N$1002,MATCH(1,INDEX((原始数据!$D$3:$D$1002="HT20260823")*(原始数据!$N$3:$N$1002&lt;&gt;""),0),0)),"")</f>
        <v>1-2年</v>
      </c>
      <c r="N447" s="14" t="inlineStr"/>
    </row>
    <row r="448">
      <c r="A448" s="18">
        <f>ROW()-2</f>
        <v>446</v>
      </c>
      <c r="B448" s="19" t="str">
        <f>IFERROR(INDEX(原始数据!$B$3:$B$1002,MATCH(1,INDEX((原始数据!$D$3:$D$1002="HT20260824")*(原始数据!$B$3:$B$1002&lt;&gt;""),0),0)),"")</f>
        <v>东北-吉林</v>
      </c>
      <c r="C448" s="19" t="str">
        <f>IFERROR(INDEX(原始数据!$C$3:$C$1002,MATCH(1,INDEX((原始数据!$D$3:$D$1002="HT20260824")*(原始数据!$C$3:$C$1002&lt;&gt;""),0),0)),"")</f>
        <v>党委机关</v>
      </c>
      <c r="D448" s="20" t="inlineStr">
        <is>
          <t>HT20260824</t>
        </is>
      </c>
      <c r="E448" s="21">
        <f>IFERROR(INDEX(原始数据!$E$3:$E$1002,MATCH(1,INDEX((原始数据!$D$3:$D$1002="HT20260824")*(原始数据!$E$3:$E$1002&lt;&gt;""),0),0)),"")</f>
        <v>20260128</v>
      </c>
      <c r="F448" s="22">
        <f>SUMIFS(原始数据!$F$3:$F$1002,原始数据!$D$3:$D$1002,"HT20260824")</f>
        <v>1522.953</v>
      </c>
      <c r="G448" s="22">
        <f>SUMIFS(原始数据!$H$3:$H$1002,原始数据!$D$3:$D$1002,"HT20260824")</f>
        <v>722.117</v>
      </c>
      <c r="H448" s="22">
        <f>SUMIFS(原始数据!$I$3:$I$1002,原始数据!$D$3:$D$1002,"HT20260824")</f>
        <v>800.836</v>
      </c>
      <c r="I448" s="22">
        <f>SUMIFS(原始数据!$J$3:$J$1002,原始数据!$D$3:$D$1002,"HT20260824")</f>
        <v>704.5840000000001</v>
      </c>
      <c r="J448" s="22">
        <f>SUMIFS(原始数据!$K$3:$K$1002,原始数据!$D$3:$D$1002,"HT20260824")</f>
        <v>96.252</v>
      </c>
      <c r="K448" s="19" t="str">
        <f>IFERROR(INDEX(原始数据!$L$3:$L$1002,MATCH(1,INDEX((原始数据!$D$3:$D$1002="HT20260824")*(原始数据!$L$3:$L$1002&lt;&gt;""),0),0)),"")</f>
        <v>五部</v>
      </c>
      <c r="L448" s="20" t="str">
        <f>IFERROR(INDEX(原始数据!$M$3:$M$1002,MATCH(1,INDEX((原始数据!$D$3:$D$1002="HT20260824")*(原始数据!$M$3:$M$1002&lt;&gt;""),0),0)),"")</f>
        <v>谢峰</v>
      </c>
      <c r="M448" s="19" t="str">
        <f>IFERROR(INDEX(原始数据!$N$3:$N$1002,MATCH(1,INDEX((原始数据!$D$3:$D$1002="HT20260824")*(原始数据!$N$3:$N$1002&lt;&gt;""),0),0)),"")</f>
        <v>1年以内</v>
      </c>
      <c r="N448" s="19" t="inlineStr"/>
    </row>
    <row r="449">
      <c r="A449" s="13">
        <f>ROW()-2</f>
        <v>447</v>
      </c>
      <c r="B449" s="14" t="str">
        <f>IFERROR(INDEX(原始数据!$B$3:$B$1002,MATCH(1,INDEX((原始数据!$D$3:$D$1002="HT20260825")*(原始数据!$B$3:$B$1002&lt;&gt;""),0),0)),"")</f>
        <v>华东-浙江</v>
      </c>
      <c r="C449" s="14" t="str">
        <f>IFERROR(INDEX(原始数据!$C$3:$C$1002,MATCH(1,INDEX((原始数据!$D$3:$D$1002="HT20260825")*(原始数据!$C$3:$C$1002&lt;&gt;""),0),0)),"")</f>
        <v>国有企业</v>
      </c>
      <c r="D449" s="15" t="inlineStr">
        <is>
          <t>HT20260825</t>
        </is>
      </c>
      <c r="E449" s="16">
        <f>IFERROR(INDEX(原始数据!$E$3:$E$1002,MATCH(1,INDEX((原始数据!$D$3:$D$1002="HT20260825")*(原始数据!$E$3:$E$1002&lt;&gt;""),0),0)),"")</f>
        <v>20260421</v>
      </c>
      <c r="F449" s="17">
        <f>SUMIFS(原始数据!$F$3:$F$1002,原始数据!$D$3:$D$1002,"HT20260825")</f>
        <v>835.22</v>
      </c>
      <c r="G449" s="17">
        <f>SUMIFS(原始数据!$H$3:$H$1002,原始数据!$D$3:$D$1002,"HT20260825")</f>
        <v>518.625</v>
      </c>
      <c r="H449" s="17">
        <f>SUMIFS(原始数据!$I$3:$I$1002,原始数据!$D$3:$D$1002,"HT20260825")</f>
        <v>316.595</v>
      </c>
      <c r="I449" s="17">
        <f>SUMIFS(原始数据!$J$3:$J$1002,原始数据!$D$3:$D$1002,"HT20260825")</f>
        <v>226.352</v>
      </c>
      <c r="J449" s="17">
        <f>SUMIFS(原始数据!$K$3:$K$1002,原始数据!$D$3:$D$1002,"HT20260825")</f>
        <v>90.243</v>
      </c>
      <c r="K449" s="14" t="str">
        <f>IFERROR(INDEX(原始数据!$L$3:$L$1002,MATCH(1,INDEX((原始数据!$D$3:$D$1002="HT20260825")*(原始数据!$L$3:$L$1002&lt;&gt;""),0),0)),"")</f>
        <v>三部</v>
      </c>
      <c r="L449" s="15" t="str">
        <f>IFERROR(INDEX(原始数据!$M$3:$M$1002,MATCH(1,INDEX((原始数据!$D$3:$D$1002="HT20260825")*(原始数据!$M$3:$M$1002&lt;&gt;""),0),0)),"")</f>
        <v>孙艳</v>
      </c>
      <c r="M449" s="14" t="str">
        <f>IFERROR(INDEX(原始数据!$N$3:$N$1002,MATCH(1,INDEX((原始数据!$D$3:$D$1002="HT20260825")*(原始数据!$N$3:$N$1002&lt;&gt;""),0),0)),"")</f>
        <v>2-3年</v>
      </c>
      <c r="N449" s="14" t="inlineStr"/>
    </row>
    <row r="450">
      <c r="A450" s="18">
        <f>ROW()-2</f>
        <v>448</v>
      </c>
      <c r="B450" s="19" t="str">
        <f>IFERROR(INDEX(原始数据!$B$3:$B$1002,MATCH(1,INDEX((原始数据!$D$3:$D$1002="HT20260826")*(原始数据!$B$3:$B$1002&lt;&gt;""),0),0)),"")</f>
        <v>华南-海南</v>
      </c>
      <c r="C450" s="19" t="str">
        <f>IFERROR(INDEX(原始数据!$C$3:$C$1002,MATCH(1,INDEX((原始数据!$D$3:$D$1002="HT20260826")*(原始数据!$C$3:$C$1002&lt;&gt;""),0),0)),"")</f>
        <v>人大政协</v>
      </c>
      <c r="D450" s="20" t="inlineStr">
        <is>
          <t>HT20260826</t>
        </is>
      </c>
      <c r="E450" s="21">
        <f>IFERROR(INDEX(原始数据!$E$3:$E$1002,MATCH(1,INDEX((原始数据!$D$3:$D$1002="HT20260826")*(原始数据!$E$3:$E$1002&lt;&gt;""),0),0)),"")</f>
        <v>20260905</v>
      </c>
      <c r="F450" s="22">
        <f>SUMIFS(原始数据!$F$3:$F$1002,原始数据!$D$3:$D$1002,"HT20260826")</f>
        <v>5182.657</v>
      </c>
      <c r="G450" s="22">
        <f>SUMIFS(原始数据!$H$3:$H$1002,原始数据!$D$3:$D$1002,"HT20260826")</f>
        <v>921.169</v>
      </c>
      <c r="H450" s="22">
        <f>SUMIFS(原始数据!$I$3:$I$1002,原始数据!$D$3:$D$1002,"HT20260826")</f>
        <v>4261.488</v>
      </c>
      <c r="I450" s="22">
        <f>SUMIFS(原始数据!$J$3:$J$1002,原始数据!$D$3:$D$1002,"HT20260826")</f>
        <v>782.156</v>
      </c>
      <c r="J450" s="22">
        <f>SUMIFS(原始数据!$K$3:$K$1002,原始数据!$D$3:$D$1002,"HT20260826")</f>
        <v>3479.332</v>
      </c>
      <c r="K450" s="19" t="str">
        <f>IFERROR(INDEX(原始数据!$L$3:$L$1002,MATCH(1,INDEX((原始数据!$D$3:$D$1002="HT20260826")*(原始数据!$L$3:$L$1002&lt;&gt;""),0),0)),"")</f>
        <v>九部</v>
      </c>
      <c r="L450" s="20" t="str">
        <f>IFERROR(INDEX(原始数据!$M$3:$M$1002,MATCH(1,INDEX((原始数据!$D$3:$D$1002="HT20260826")*(原始数据!$M$3:$M$1002&lt;&gt;""),0),0)),"")</f>
        <v>魏红</v>
      </c>
      <c r="M450" s="19" t="str">
        <f>IFERROR(INDEX(原始数据!$N$3:$N$1002,MATCH(1,INDEX((原始数据!$D$3:$D$1002="HT20260826")*(原始数据!$N$3:$N$1002&lt;&gt;""),0),0)),"")</f>
        <v>1-2年</v>
      </c>
      <c r="N450" s="19" t="inlineStr"/>
    </row>
    <row r="451">
      <c r="A451" s="13">
        <f>ROW()-2</f>
        <v>449</v>
      </c>
      <c r="B451" s="14" t="str">
        <f>IFERROR(INDEX(原始数据!$B$3:$B$1002,MATCH(1,INDEX((原始数据!$D$3:$D$1002="HT20260827")*(原始数据!$B$3:$B$1002&lt;&gt;""),0),0)),"")</f>
        <v>东北-辽宁</v>
      </c>
      <c r="C451" s="14" t="str">
        <f>IFERROR(INDEX(原始数据!$C$3:$C$1002,MATCH(1,INDEX((原始数据!$D$3:$D$1002="HT20260827")*(原始数据!$C$3:$C$1002&lt;&gt;""),0),0)),"")</f>
        <v>党委机关</v>
      </c>
      <c r="D451" s="15" t="inlineStr">
        <is>
          <t>HT20260827</t>
        </is>
      </c>
      <c r="E451" s="16">
        <f>IFERROR(INDEX(原始数据!$E$3:$E$1002,MATCH(1,INDEX((原始数据!$D$3:$D$1002="HT20260827")*(原始数据!$E$3:$E$1002&lt;&gt;""),0),0)),"")</f>
        <v>20260707</v>
      </c>
      <c r="F451" s="17">
        <f>SUMIFS(原始数据!$F$3:$F$1002,原始数据!$D$3:$D$1002,"HT20260827")</f>
        <v>1144.7089999999998</v>
      </c>
      <c r="G451" s="17">
        <f>SUMIFS(原始数据!$H$3:$H$1002,原始数据!$D$3:$D$1002,"HT20260827")</f>
        <v>209.077</v>
      </c>
      <c r="H451" s="17">
        <f>SUMIFS(原始数据!$I$3:$I$1002,原始数据!$D$3:$D$1002,"HT20260827")</f>
        <v>935.632</v>
      </c>
      <c r="I451" s="17">
        <f>SUMIFS(原始数据!$J$3:$J$1002,原始数据!$D$3:$D$1002,"HT20260827")</f>
        <v>334.259</v>
      </c>
      <c r="J451" s="17">
        <f>SUMIFS(原始数据!$K$3:$K$1002,原始数据!$D$3:$D$1002,"HT20260827")</f>
        <v>601.3729999999999</v>
      </c>
      <c r="K451" s="14" t="str">
        <f>IFERROR(INDEX(原始数据!$L$3:$L$1002,MATCH(1,INDEX((原始数据!$D$3:$D$1002="HT20260827")*(原始数据!$L$3:$L$1002&lt;&gt;""),0),0)),"")</f>
        <v>九部</v>
      </c>
      <c r="L451" s="15" t="str">
        <f>IFERROR(INDEX(原始数据!$M$3:$M$1002,MATCH(1,INDEX((原始数据!$D$3:$D$1002="HT20260827")*(原始数据!$M$3:$M$1002&lt;&gt;""),0),0)),"")</f>
        <v>魏红</v>
      </c>
      <c r="M451" s="14" t="str">
        <f>IFERROR(INDEX(原始数据!$N$3:$N$1002,MATCH(1,INDEX((原始数据!$D$3:$D$1002="HT20260827")*(原始数据!$N$3:$N$1002&lt;&gt;""),0),0)),"")</f>
        <v>2-3年</v>
      </c>
      <c r="N451" s="14" t="inlineStr"/>
    </row>
    <row r="452">
      <c r="A452" s="18">
        <f>ROW()-2</f>
        <v>450</v>
      </c>
      <c r="B452" s="19" t="str">
        <f>IFERROR(INDEX(原始数据!$B$3:$B$1002,MATCH(1,INDEX((原始数据!$D$3:$D$1002="HT20260828")*(原始数据!$B$3:$B$1002&lt;&gt;""),0),0)),"")</f>
        <v>西北-陕西</v>
      </c>
      <c r="C452" s="19" t="str">
        <f>IFERROR(INDEX(原始数据!$C$3:$C$1002,MATCH(1,INDEX((原始数据!$D$3:$D$1002="HT20260828")*(原始数据!$C$3:$C$1002&lt;&gt;""),0),0)),"")</f>
        <v>监察司法机关</v>
      </c>
      <c r="D452" s="20" t="inlineStr">
        <is>
          <t>HT20260828</t>
        </is>
      </c>
      <c r="E452" s="21">
        <f>IFERROR(INDEX(原始数据!$E$3:$E$1002,MATCH(1,INDEX((原始数据!$D$3:$D$1002="HT20260828")*(原始数据!$E$3:$E$1002&lt;&gt;""),0),0)),"")</f>
        <v>20260112</v>
      </c>
      <c r="F452" s="22">
        <f>SUMIFS(原始数据!$F$3:$F$1002,原始数据!$D$3:$D$1002,"HT20260828")</f>
        <v>511.623</v>
      </c>
      <c r="G452" s="22">
        <f>SUMIFS(原始数据!$H$3:$H$1002,原始数据!$D$3:$D$1002,"HT20260828")</f>
        <v>364.065</v>
      </c>
      <c r="H452" s="22">
        <f>SUMIFS(原始数据!$I$3:$I$1002,原始数据!$D$3:$D$1002,"HT20260828")</f>
        <v>147.558</v>
      </c>
      <c r="I452" s="22">
        <f>SUMIFS(原始数据!$J$3:$J$1002,原始数据!$D$3:$D$1002,"HT20260828")</f>
        <v>28.228</v>
      </c>
      <c r="J452" s="22">
        <f>SUMIFS(原始数据!$K$3:$K$1002,原始数据!$D$3:$D$1002,"HT20260828")</f>
        <v>119.33</v>
      </c>
      <c r="K452" s="19" t="str">
        <f>IFERROR(INDEX(原始数据!$L$3:$L$1002,MATCH(1,INDEX((原始数据!$D$3:$D$1002="HT20260828")*(原始数据!$L$3:$L$1002&lt;&gt;""),0),0)),"")</f>
        <v>七部</v>
      </c>
      <c r="L452" s="20" t="str">
        <f>IFERROR(INDEX(原始数据!$M$3:$M$1002,MATCH(1,INDEX((原始数据!$D$3:$D$1002="HT20260828")*(原始数据!$M$3:$M$1002&lt;&gt;""),0),0)),"")</f>
        <v>邓丽</v>
      </c>
      <c r="M452" s="19" t="str">
        <f>IFERROR(INDEX(原始数据!$N$3:$N$1002,MATCH(1,INDEX((原始数据!$D$3:$D$1002="HT20260828")*(原始数据!$N$3:$N$1002&lt;&gt;""),0),0)),"")</f>
        <v>2-3年</v>
      </c>
      <c r="N452" s="19" t="inlineStr"/>
    </row>
    <row r="453">
      <c r="A453" s="13">
        <f>ROW()-2</f>
        <v>451</v>
      </c>
      <c r="B453" s="14" t="str">
        <f>IFERROR(INDEX(原始数据!$B$3:$B$1002,MATCH(1,INDEX((原始数据!$D$3:$D$1002="HT20260830")*(原始数据!$B$3:$B$1002&lt;&gt;""),0),0)),"")</f>
        <v>华南-广东</v>
      </c>
      <c r="C453" s="14" t="str">
        <f>IFERROR(INDEX(原始数据!$C$3:$C$1002,MATCH(1,INDEX((原始数据!$D$3:$D$1002="HT20260830")*(原始数据!$C$3:$C$1002&lt;&gt;""),0),0)),"")</f>
        <v>人大政协</v>
      </c>
      <c r="D453" s="15" t="inlineStr">
        <is>
          <t>HT20260830</t>
        </is>
      </c>
      <c r="E453" s="16">
        <f>IFERROR(INDEX(原始数据!$E$3:$E$1002,MATCH(1,INDEX((原始数据!$D$3:$D$1002="HT20260830")*(原始数据!$E$3:$E$1002&lt;&gt;""),0),0)),"")</f>
        <v>20260422</v>
      </c>
      <c r="F453" s="17">
        <f>SUMIFS(原始数据!$F$3:$F$1002,原始数据!$D$3:$D$1002,"HT20260830")</f>
        <v>95.869</v>
      </c>
      <c r="G453" s="17">
        <f>SUMIFS(原始数据!$H$3:$H$1002,原始数据!$D$3:$D$1002,"HT20260830")</f>
        <v>61.265</v>
      </c>
      <c r="H453" s="17">
        <f>SUMIFS(原始数据!$I$3:$I$1002,原始数据!$D$3:$D$1002,"HT20260830")</f>
        <v>34.604</v>
      </c>
      <c r="I453" s="17">
        <f>SUMIFS(原始数据!$J$3:$J$1002,原始数据!$D$3:$D$1002,"HT20260830")</f>
        <v>28.26</v>
      </c>
      <c r="J453" s="17">
        <f>SUMIFS(原始数据!$K$3:$K$1002,原始数据!$D$3:$D$1002,"HT20260830")</f>
        <v>6.344</v>
      </c>
      <c r="K453" s="14" t="str">
        <f>IFERROR(INDEX(原始数据!$L$3:$L$1002,MATCH(1,INDEX((原始数据!$D$3:$D$1002="HT20260830")*(原始数据!$L$3:$L$1002&lt;&gt;""),0),0)),"")</f>
        <v>四部</v>
      </c>
      <c r="L453" s="15" t="str">
        <f>IFERROR(INDEX(原始数据!$M$3:$M$1002,MATCH(1,INDEX((原始数据!$D$3:$D$1002="HT20260830")*(原始数据!$M$3:$M$1002&lt;&gt;""),0),0)),"")</f>
        <v>郭鹏</v>
      </c>
      <c r="M453" s="14" t="str">
        <f>IFERROR(INDEX(原始数据!$N$3:$N$1002,MATCH(1,INDEX((原始数据!$D$3:$D$1002="HT20260830")*(原始数据!$N$3:$N$1002&lt;&gt;""),0),0)),"")</f>
        <v>2-3年</v>
      </c>
      <c r="N453" s="14" t="inlineStr"/>
    </row>
    <row r="454">
      <c r="A454" s="18">
        <f>ROW()-2</f>
        <v>452</v>
      </c>
      <c r="B454" s="19" t="str">
        <f>IFERROR(INDEX(原始数据!$B$3:$B$1002,MATCH(1,INDEX((原始数据!$D$3:$D$1002="HT20260831")*(原始数据!$B$3:$B$1002&lt;&gt;""),0),0)),"")</f>
        <v>华东-山东</v>
      </c>
      <c r="C454" s="19" t="str">
        <f>IFERROR(INDEX(原始数据!$C$3:$C$1002,MATCH(1,INDEX((原始数据!$D$3:$D$1002="HT20260831")*(原始数据!$C$3:$C$1002&lt;&gt;""),0),0)),"")</f>
        <v>人大政协</v>
      </c>
      <c r="D454" s="20" t="inlineStr">
        <is>
          <t>HT20260831</t>
        </is>
      </c>
      <c r="E454" s="21">
        <f>IFERROR(INDEX(原始数据!$E$3:$E$1002,MATCH(1,INDEX((原始数据!$D$3:$D$1002="HT20260831")*(原始数据!$E$3:$E$1002&lt;&gt;""),0),0)),"")</f>
        <v>20260619</v>
      </c>
      <c r="F454" s="22">
        <f>SUMIFS(原始数据!$F$3:$F$1002,原始数据!$D$3:$D$1002,"HT20260831")</f>
        <v>1269.366</v>
      </c>
      <c r="G454" s="22">
        <f>SUMIFS(原始数据!$H$3:$H$1002,原始数据!$D$3:$D$1002,"HT20260831")</f>
        <v>905.4280000000001</v>
      </c>
      <c r="H454" s="22">
        <f>SUMIFS(原始数据!$I$3:$I$1002,原始数据!$D$3:$D$1002,"HT20260831")</f>
        <v>363.938</v>
      </c>
      <c r="I454" s="22">
        <f>SUMIFS(原始数据!$J$3:$J$1002,原始数据!$D$3:$D$1002,"HT20260831")</f>
        <v>168.979</v>
      </c>
      <c r="J454" s="22">
        <f>SUMIFS(原始数据!$K$3:$K$1002,原始数据!$D$3:$D$1002,"HT20260831")</f>
        <v>194.959</v>
      </c>
      <c r="K454" s="19" t="str">
        <f>IFERROR(INDEX(原始数据!$L$3:$L$1002,MATCH(1,INDEX((原始数据!$D$3:$D$1002="HT20260831")*(原始数据!$L$3:$L$1002&lt;&gt;""),0),0)),"")</f>
        <v>十部</v>
      </c>
      <c r="L454" s="20" t="str">
        <f>IFERROR(INDEX(原始数据!$M$3:$M$1002,MATCH(1,INDEX((原始数据!$D$3:$D$1002="HT20260831")*(原始数据!$M$3:$M$1002&lt;&gt;""),0),0)),"")</f>
        <v>雷声</v>
      </c>
      <c r="M454" s="19" t="str">
        <f>IFERROR(INDEX(原始数据!$N$3:$N$1002,MATCH(1,INDEX((原始数据!$D$3:$D$1002="HT20260831")*(原始数据!$N$3:$N$1002&lt;&gt;""),0),0)),"")</f>
        <v>2-3年</v>
      </c>
      <c r="N454" s="19" t="inlineStr"/>
    </row>
    <row r="455">
      <c r="A455" s="13">
        <f>ROW()-2</f>
        <v>453</v>
      </c>
      <c r="B455" s="14" t="str">
        <f>IFERROR(INDEX(原始数据!$B$3:$B$1002,MATCH(1,INDEX((原始数据!$D$3:$D$1002="HT20260902")*(原始数据!$B$3:$B$1002&lt;&gt;""),0),0)),"")</f>
        <v>华北-河北</v>
      </c>
      <c r="C455" s="14" t="str">
        <f>IFERROR(INDEX(原始数据!$C$3:$C$1002,MATCH(1,INDEX((原始数据!$D$3:$D$1002="HT20260902")*(原始数据!$C$3:$C$1002&lt;&gt;""),0),0)),"")</f>
        <v>基层自治组织</v>
      </c>
      <c r="D455" s="15" t="inlineStr">
        <is>
          <t>HT20260902</t>
        </is>
      </c>
      <c r="E455" s="16">
        <f>IFERROR(INDEX(原始数据!$E$3:$E$1002,MATCH(1,INDEX((原始数据!$D$3:$D$1002="HT20260902")*(原始数据!$E$3:$E$1002&lt;&gt;""),0),0)),"")</f>
        <v>20260422</v>
      </c>
      <c r="F455" s="17">
        <f>SUMIFS(原始数据!$F$3:$F$1002,原始数据!$D$3:$D$1002,"HT20260902")</f>
        <v>925.277</v>
      </c>
      <c r="G455" s="17">
        <f>SUMIFS(原始数据!$H$3:$H$1002,原始数据!$D$3:$D$1002,"HT20260902")</f>
        <v>902.846</v>
      </c>
      <c r="H455" s="17">
        <f>SUMIFS(原始数据!$I$3:$I$1002,原始数据!$D$3:$D$1002,"HT20260902")</f>
        <v>22.431</v>
      </c>
      <c r="I455" s="17">
        <f>SUMIFS(原始数据!$J$3:$J$1002,原始数据!$D$3:$D$1002,"HT20260902")</f>
        <v>12.392</v>
      </c>
      <c r="J455" s="17">
        <f>SUMIFS(原始数据!$K$3:$K$1002,原始数据!$D$3:$D$1002,"HT20260902")</f>
        <v>10.039</v>
      </c>
      <c r="K455" s="14" t="str">
        <f>IFERROR(INDEX(原始数据!$L$3:$L$1002,MATCH(1,INDEX((原始数据!$D$3:$D$1002="HT20260902")*(原始数据!$L$3:$L$1002&lt;&gt;""),0),0)),"")</f>
        <v>四部</v>
      </c>
      <c r="L455" s="15" t="str">
        <f>IFERROR(INDEX(原始数据!$M$3:$M$1002,MATCH(1,INDEX((原始数据!$D$3:$D$1002="HT20260902")*(原始数据!$M$3:$M$1002&lt;&gt;""),0),0)),"")</f>
        <v>罗刚</v>
      </c>
      <c r="M455" s="14" t="str">
        <f>IFERROR(INDEX(原始数据!$N$3:$N$1002,MATCH(1,INDEX((原始数据!$D$3:$D$1002="HT20260902")*(原始数据!$N$3:$N$1002&lt;&gt;""),0),0)),"")</f>
        <v>2-3年</v>
      </c>
      <c r="N455" s="14" t="inlineStr"/>
    </row>
    <row r="456">
      <c r="A456" s="18">
        <f>ROW()-2</f>
        <v>454</v>
      </c>
      <c r="B456" s="19" t="str">
        <f>IFERROR(INDEX(原始数据!$B$3:$B$1002,MATCH(1,INDEX((原始数据!$D$3:$D$1002="HT20260903")*(原始数据!$B$3:$B$1002&lt;&gt;""),0),0)),"")</f>
        <v>华东-山东</v>
      </c>
      <c r="C456" s="19" t="str">
        <f>IFERROR(INDEX(原始数据!$C$3:$C$1002,MATCH(1,INDEX((原始数据!$D$3:$D$1002="HT20260903")*(原始数据!$C$3:$C$1002&lt;&gt;""),0),0)),"")</f>
        <v>人大政协</v>
      </c>
      <c r="D456" s="20" t="inlineStr">
        <is>
          <t>HT20260903</t>
        </is>
      </c>
      <c r="E456" s="21">
        <f>IFERROR(INDEX(原始数据!$E$3:$E$1002,MATCH(1,INDEX((原始数据!$D$3:$D$1002="HT20260903")*(原始数据!$E$3:$E$1002&lt;&gt;""),0),0)),"")</f>
        <v>20260721</v>
      </c>
      <c r="F456" s="22">
        <f>SUMIFS(原始数据!$F$3:$F$1002,原始数据!$D$3:$D$1002,"HT20260903")</f>
        <v>305.563</v>
      </c>
      <c r="G456" s="22">
        <f>SUMIFS(原始数据!$H$3:$H$1002,原始数据!$D$3:$D$1002,"HT20260903")</f>
        <v>107.8</v>
      </c>
      <c r="H456" s="22">
        <f>SUMIFS(原始数据!$I$3:$I$1002,原始数据!$D$3:$D$1002,"HT20260903")</f>
        <v>197.763</v>
      </c>
      <c r="I456" s="22">
        <f>SUMIFS(原始数据!$J$3:$J$1002,原始数据!$D$3:$D$1002,"HT20260903")</f>
        <v>79.117</v>
      </c>
      <c r="J456" s="22">
        <f>SUMIFS(原始数据!$K$3:$K$1002,原始数据!$D$3:$D$1002,"HT20260903")</f>
        <v>118.646</v>
      </c>
      <c r="K456" s="19" t="str">
        <f>IFERROR(INDEX(原始数据!$L$3:$L$1002,MATCH(1,INDEX((原始数据!$D$3:$D$1002="HT20260903")*(原始数据!$L$3:$L$1002&lt;&gt;""),0),0)),"")</f>
        <v>九部</v>
      </c>
      <c r="L456" s="20" t="str">
        <f>IFERROR(INDEX(原始数据!$M$3:$M$1002,MATCH(1,INDEX((原始数据!$D$3:$D$1002="HT20260903")*(原始数据!$M$3:$M$1002&lt;&gt;""),0),0)),"")</f>
        <v>丁磊</v>
      </c>
      <c r="M456" s="19" t="str">
        <f>IFERROR(INDEX(原始数据!$N$3:$N$1002,MATCH(1,INDEX((原始数据!$D$3:$D$1002="HT20260903")*(原始数据!$N$3:$N$1002&lt;&gt;""),0),0)),"")</f>
        <v>1年以内</v>
      </c>
      <c r="N456" s="19" t="inlineStr">
        <is>
          <t>产品不合格</t>
        </is>
      </c>
    </row>
    <row r="457">
      <c r="A457" s="13">
        <f>ROW()-2</f>
        <v>455</v>
      </c>
      <c r="B457" s="14" t="str">
        <f>IFERROR(INDEX(原始数据!$B$3:$B$1002,MATCH(1,INDEX((原始数据!$D$3:$D$1002="HT20260905")*(原始数据!$B$3:$B$1002&lt;&gt;""),0),0)),"")</f>
        <v>西北-青海</v>
      </c>
      <c r="C457" s="14" t="str">
        <f>IFERROR(INDEX(原始数据!$C$3:$C$1002,MATCH(1,INDEX((原始数据!$D$3:$D$1002="HT20260905")*(原始数据!$C$3:$C$1002&lt;&gt;""),0),0)),"")</f>
        <v>监察司法机关</v>
      </c>
      <c r="D457" s="15" t="inlineStr">
        <is>
          <t>HT20260905</t>
        </is>
      </c>
      <c r="E457" s="16">
        <f>IFERROR(INDEX(原始数据!$E$3:$E$1002,MATCH(1,INDEX((原始数据!$D$3:$D$1002="HT20260905")*(原始数据!$E$3:$E$1002&lt;&gt;""),0),0)),"")</f>
        <v>20260218</v>
      </c>
      <c r="F457" s="17">
        <f>SUMIFS(原始数据!$F$3:$F$1002,原始数据!$D$3:$D$1002,"HT20260905")</f>
        <v>7668.5109999999995</v>
      </c>
      <c r="G457" s="17">
        <f>SUMIFS(原始数据!$H$3:$H$1002,原始数据!$D$3:$D$1002,"HT20260905")</f>
        <v>4931.554999999999</v>
      </c>
      <c r="H457" s="17">
        <f>SUMIFS(原始数据!$I$3:$I$1002,原始数据!$D$3:$D$1002,"HT20260905")</f>
        <v>2736.956</v>
      </c>
      <c r="I457" s="17">
        <f>SUMIFS(原始数据!$J$3:$J$1002,原始数据!$D$3:$D$1002,"HT20260905")</f>
        <v>2027.569</v>
      </c>
      <c r="J457" s="17">
        <f>SUMIFS(原始数据!$K$3:$K$1002,原始数据!$D$3:$D$1002,"HT20260905")</f>
        <v>709.3870000000001</v>
      </c>
      <c r="K457" s="14" t="str">
        <f>IFERROR(INDEX(原始数据!$L$3:$L$1002,MATCH(1,INDEX((原始数据!$D$3:$D$1002="HT20260905")*(原始数据!$L$3:$L$1002&lt;&gt;""),0),0)),"")</f>
        <v>八部</v>
      </c>
      <c r="L457" s="15" t="str">
        <f>IFERROR(INDEX(原始数据!$M$3:$M$1002,MATCH(1,INDEX((原始数据!$D$3:$D$1002="HT20260905")*(原始数据!$M$3:$M$1002&lt;&gt;""),0),0)),"")</f>
        <v>苏珊</v>
      </c>
      <c r="M457" s="14" t="str">
        <f>IFERROR(INDEX(原始数据!$N$3:$N$1002,MATCH(1,INDEX((原始数据!$D$3:$D$1002="HT20260905")*(原始数据!$N$3:$N$1002&lt;&gt;""),0),0)),"")</f>
        <v>1年以内</v>
      </c>
      <c r="N457" s="14" t="inlineStr"/>
    </row>
    <row r="458">
      <c r="A458" s="18">
        <f>ROW()-2</f>
        <v>456</v>
      </c>
      <c r="B458" s="19" t="str">
        <f>IFERROR(INDEX(原始数据!$B$3:$B$1002,MATCH(1,INDEX((原始数据!$D$3:$D$1002="HT20260906")*(原始数据!$B$3:$B$1002&lt;&gt;""),0),0)),"")</f>
        <v>西南-西藏</v>
      </c>
      <c r="C458" s="19" t="str">
        <f>IFERROR(INDEX(原始数据!$C$3:$C$1002,MATCH(1,INDEX((原始数据!$D$3:$D$1002="HT20260906")*(原始数据!$C$3:$C$1002&lt;&gt;""),0),0)),"")</f>
        <v>人大政协</v>
      </c>
      <c r="D458" s="20" t="inlineStr">
        <is>
          <t>HT20260906</t>
        </is>
      </c>
      <c r="E458" s="21">
        <f>IFERROR(INDEX(原始数据!$E$3:$E$1002,MATCH(1,INDEX((原始数据!$D$3:$D$1002="HT20260906")*(原始数据!$E$3:$E$1002&lt;&gt;""),0),0)),"")</f>
        <v>20260627</v>
      </c>
      <c r="F458" s="22">
        <f>SUMIFS(原始数据!$F$3:$F$1002,原始数据!$D$3:$D$1002,"HT20260906")</f>
        <v>300.428</v>
      </c>
      <c r="G458" s="22">
        <f>SUMIFS(原始数据!$H$3:$H$1002,原始数据!$D$3:$D$1002,"HT20260906")</f>
        <v>295.689</v>
      </c>
      <c r="H458" s="22">
        <f>SUMIFS(原始数据!$I$3:$I$1002,原始数据!$D$3:$D$1002,"HT20260906")</f>
        <v>4.739</v>
      </c>
      <c r="I458" s="22">
        <f>SUMIFS(原始数据!$J$3:$J$1002,原始数据!$D$3:$D$1002,"HT20260906")</f>
        <v>0.461</v>
      </c>
      <c r="J458" s="22">
        <f>SUMIFS(原始数据!$K$3:$K$1002,原始数据!$D$3:$D$1002,"HT20260906")</f>
        <v>4.278</v>
      </c>
      <c r="K458" s="19" t="str">
        <f>IFERROR(INDEX(原始数据!$L$3:$L$1002,MATCH(1,INDEX((原始数据!$D$3:$D$1002="HT20260906")*(原始数据!$L$3:$L$1002&lt;&gt;""),0),0)),"")</f>
        <v>八部</v>
      </c>
      <c r="L458" s="20" t="str">
        <f>IFERROR(INDEX(原始数据!$M$3:$M$1002,MATCH(1,INDEX((原始数据!$D$3:$D$1002="HT20260906")*(原始数据!$M$3:$M$1002&lt;&gt;""),0),0)),"")</f>
        <v>苏珊</v>
      </c>
      <c r="M458" s="19" t="str">
        <f>IFERROR(INDEX(原始数据!$N$3:$N$1002,MATCH(1,INDEX((原始数据!$D$3:$D$1002="HT20260906")*(原始数据!$N$3:$N$1002&lt;&gt;""),0),0)),"")</f>
        <v>2-3年</v>
      </c>
      <c r="N458" s="19" t="inlineStr"/>
    </row>
    <row r="459">
      <c r="A459" s="13">
        <f>ROW()-2</f>
        <v>457</v>
      </c>
      <c r="B459" s="14" t="str">
        <f>IFERROR(INDEX(原始数据!$B$3:$B$1002,MATCH(1,INDEX((原始数据!$D$3:$D$1002="HT20260907")*(原始数据!$B$3:$B$1002&lt;&gt;""),0),0)),"")</f>
        <v>华中-河南</v>
      </c>
      <c r="C459" s="14" t="str">
        <f>IFERROR(INDEX(原始数据!$C$3:$C$1002,MATCH(1,INDEX((原始数据!$D$3:$D$1002="HT20260907")*(原始数据!$C$3:$C$1002&lt;&gt;""),0),0)),"")</f>
        <v>国有企业</v>
      </c>
      <c r="D459" s="15" t="inlineStr">
        <is>
          <t>HT20260907</t>
        </is>
      </c>
      <c r="E459" s="16">
        <f>IFERROR(INDEX(原始数据!$E$3:$E$1002,MATCH(1,INDEX((原始数据!$D$3:$D$1002="HT20260907")*(原始数据!$E$3:$E$1002&lt;&gt;""),0),0)),"")</f>
        <v>20260626</v>
      </c>
      <c r="F459" s="17">
        <f>SUMIFS(原始数据!$F$3:$F$1002,原始数据!$D$3:$D$1002,"HT20260907")</f>
        <v>460.78</v>
      </c>
      <c r="G459" s="17">
        <f>SUMIFS(原始数据!$H$3:$H$1002,原始数据!$D$3:$D$1002,"HT20260907")</f>
        <v>221.144</v>
      </c>
      <c r="H459" s="17">
        <f>SUMIFS(原始数据!$I$3:$I$1002,原始数据!$D$3:$D$1002,"HT20260907")</f>
        <v>239.63600000000002</v>
      </c>
      <c r="I459" s="17">
        <f>SUMIFS(原始数据!$J$3:$J$1002,原始数据!$D$3:$D$1002,"HT20260907")</f>
        <v>205.19799999999998</v>
      </c>
      <c r="J459" s="17">
        <f>SUMIFS(原始数据!$K$3:$K$1002,原始数据!$D$3:$D$1002,"HT20260907")</f>
        <v>34.438</v>
      </c>
      <c r="K459" s="14" t="str">
        <f>IFERROR(INDEX(原始数据!$L$3:$L$1002,MATCH(1,INDEX((原始数据!$D$3:$D$1002="HT20260907")*(原始数据!$L$3:$L$1002&lt;&gt;""),0),0)),"")</f>
        <v>一部</v>
      </c>
      <c r="L459" s="15" t="str">
        <f>IFERROR(INDEX(原始数据!$M$3:$M$1002,MATCH(1,INDEX((原始数据!$D$3:$D$1002="HT20260907")*(原始数据!$M$3:$M$1002&lt;&gt;""),0),0)),"")</f>
        <v>王芳</v>
      </c>
      <c r="M459" s="14" t="str">
        <f>IFERROR(INDEX(原始数据!$N$3:$N$1002,MATCH(1,INDEX((原始数据!$D$3:$D$1002="HT20260907")*(原始数据!$N$3:$N$1002&lt;&gt;""),0),0)),"")</f>
        <v>1-2年</v>
      </c>
      <c r="N459" s="14" t="inlineStr"/>
    </row>
    <row r="460">
      <c r="A460" s="18">
        <f>ROW()-2</f>
        <v>458</v>
      </c>
      <c r="B460" s="19" t="str">
        <f>IFERROR(INDEX(原始数据!$B$3:$B$1002,MATCH(1,INDEX((原始数据!$D$3:$D$1002="HT20260908")*(原始数据!$B$3:$B$1002&lt;&gt;""),0),0)),"")</f>
        <v>西南-云南</v>
      </c>
      <c r="C460" s="19" t="str">
        <f>IFERROR(INDEX(原始数据!$C$3:$C$1002,MATCH(1,INDEX((原始数据!$D$3:$D$1002="HT20260908")*(原始数据!$C$3:$C$1002&lt;&gt;""),0),0)),"")</f>
        <v>基层自治组织</v>
      </c>
      <c r="D460" s="20" t="inlineStr">
        <is>
          <t>HT20260908</t>
        </is>
      </c>
      <c r="E460" s="21">
        <f>IFERROR(INDEX(原始数据!$E$3:$E$1002,MATCH(1,INDEX((原始数据!$D$3:$D$1002="HT20260908")*(原始数据!$E$3:$E$1002&lt;&gt;""),0),0)),"")</f>
        <v>20260602</v>
      </c>
      <c r="F460" s="22">
        <f>SUMIFS(原始数据!$F$3:$F$1002,原始数据!$D$3:$D$1002,"HT20260908")</f>
        <v>641.257</v>
      </c>
      <c r="G460" s="22">
        <f>SUMIFS(原始数据!$H$3:$H$1002,原始数据!$D$3:$D$1002,"HT20260908")</f>
        <v>148.21</v>
      </c>
      <c r="H460" s="22">
        <f>SUMIFS(原始数据!$I$3:$I$1002,原始数据!$D$3:$D$1002,"HT20260908")</f>
        <v>493.047</v>
      </c>
      <c r="I460" s="22">
        <f>SUMIFS(原始数据!$J$3:$J$1002,原始数据!$D$3:$D$1002,"HT20260908")</f>
        <v>146.99</v>
      </c>
      <c r="J460" s="22">
        <f>SUMIFS(原始数据!$K$3:$K$1002,原始数据!$D$3:$D$1002,"HT20260908")</f>
        <v>346.057</v>
      </c>
      <c r="K460" s="19" t="str">
        <f>IFERROR(INDEX(原始数据!$L$3:$L$1002,MATCH(1,INDEX((原始数据!$D$3:$D$1002="HT20260908")*(原始数据!$L$3:$L$1002&lt;&gt;""),0),0)),"")</f>
        <v>八部</v>
      </c>
      <c r="L460" s="20" t="str">
        <f>IFERROR(INDEX(原始数据!$M$3:$M$1002,MATCH(1,INDEX((原始数据!$D$3:$D$1002="HT20260908")*(原始数据!$M$3:$M$1002&lt;&gt;""),0),0)),"")</f>
        <v>吕强</v>
      </c>
      <c r="M460" s="19" t="str">
        <f>IFERROR(INDEX(原始数据!$N$3:$N$1002,MATCH(1,INDEX((原始数据!$D$3:$D$1002="HT20260908")*(原始数据!$N$3:$N$1002&lt;&gt;""),0),0)),"")</f>
        <v>1年以内</v>
      </c>
      <c r="N460" s="19" t="inlineStr"/>
    </row>
    <row r="461">
      <c r="A461" s="13">
        <f>ROW()-2</f>
        <v>459</v>
      </c>
      <c r="B461" s="14" t="str">
        <f>IFERROR(INDEX(原始数据!$B$3:$B$1002,MATCH(1,INDEX((原始数据!$D$3:$D$1002="HT20260910")*(原始数据!$B$3:$B$1002&lt;&gt;""),0),0)),"")</f>
        <v>华南-广西</v>
      </c>
      <c r="C461" s="14" t="str">
        <f>IFERROR(INDEX(原始数据!$C$3:$C$1002,MATCH(1,INDEX((原始数据!$D$3:$D$1002="HT20260910")*(原始数据!$C$3:$C$1002&lt;&gt;""),0),0)),"")</f>
        <v>政府机关</v>
      </c>
      <c r="D461" s="15" t="inlineStr">
        <is>
          <t>HT20260910</t>
        </is>
      </c>
      <c r="E461" s="16">
        <f>IFERROR(INDEX(原始数据!$E$3:$E$1002,MATCH(1,INDEX((原始数据!$D$3:$D$1002="HT20260910")*(原始数据!$E$3:$E$1002&lt;&gt;""),0),0)),"")</f>
        <v>20260530</v>
      </c>
      <c r="F461" s="17">
        <f>SUMIFS(原始数据!$F$3:$F$1002,原始数据!$D$3:$D$1002,"HT20260910")</f>
        <v>832.184</v>
      </c>
      <c r="G461" s="17">
        <f>SUMIFS(原始数据!$H$3:$H$1002,原始数据!$D$3:$D$1002,"HT20260910")</f>
        <v>524.359</v>
      </c>
      <c r="H461" s="17">
        <f>SUMIFS(原始数据!$I$3:$I$1002,原始数据!$D$3:$D$1002,"HT20260910")</f>
        <v>307.825</v>
      </c>
      <c r="I461" s="17">
        <f>SUMIFS(原始数据!$J$3:$J$1002,原始数据!$D$3:$D$1002,"HT20260910")</f>
        <v>135.81</v>
      </c>
      <c r="J461" s="17">
        <f>SUMIFS(原始数据!$K$3:$K$1002,原始数据!$D$3:$D$1002,"HT20260910")</f>
        <v>172.01500000000001</v>
      </c>
      <c r="K461" s="14" t="str">
        <f>IFERROR(INDEX(原始数据!$L$3:$L$1002,MATCH(1,INDEX((原始数据!$D$3:$D$1002="HT20260910")*(原始数据!$L$3:$L$1002&lt;&gt;""),0),0)),"")</f>
        <v>七部</v>
      </c>
      <c r="L461" s="15" t="str">
        <f>IFERROR(INDEX(原始数据!$M$3:$M$1002,MATCH(1,INDEX((原始数据!$D$3:$D$1002="HT20260910")*(原始数据!$M$3:$M$1002&lt;&gt;""),0),0)),"")</f>
        <v>沈刚</v>
      </c>
      <c r="M461" s="14" t="str">
        <f>IFERROR(INDEX(原始数据!$N$3:$N$1002,MATCH(1,INDEX((原始数据!$D$3:$D$1002="HT20260910")*(原始数据!$N$3:$N$1002&lt;&gt;""),0),0)),"")</f>
        <v>2-3年</v>
      </c>
      <c r="N461" s="14" t="inlineStr"/>
    </row>
    <row r="462">
      <c r="A462" s="18">
        <f>ROW()-2</f>
        <v>460</v>
      </c>
      <c r="B462" s="19" t="str">
        <f>IFERROR(INDEX(原始数据!$B$3:$B$1002,MATCH(1,INDEX((原始数据!$D$3:$D$1002="HT20260911")*(原始数据!$B$3:$B$1002&lt;&gt;""),0),0)),"")</f>
        <v>华南-海南</v>
      </c>
      <c r="C462" s="19" t="str">
        <f>IFERROR(INDEX(原始数据!$C$3:$C$1002,MATCH(1,INDEX((原始数据!$D$3:$D$1002="HT20260911")*(原始数据!$C$3:$C$1002&lt;&gt;""),0),0)),"")</f>
        <v>党委机关</v>
      </c>
      <c r="D462" s="20" t="inlineStr">
        <is>
          <t>HT20260911</t>
        </is>
      </c>
      <c r="E462" s="21">
        <f>IFERROR(INDEX(原始数据!$E$3:$E$1002,MATCH(1,INDEX((原始数据!$D$3:$D$1002="HT20260911")*(原始数据!$E$3:$E$1002&lt;&gt;""),0),0)),"")</f>
        <v>20260407</v>
      </c>
      <c r="F462" s="22">
        <f>SUMIFS(原始数据!$F$3:$F$1002,原始数据!$D$3:$D$1002,"HT20260911")</f>
        <v>732.628</v>
      </c>
      <c r="G462" s="22">
        <f>SUMIFS(原始数据!$H$3:$H$1002,原始数据!$D$3:$D$1002,"HT20260911")</f>
        <v>509.023</v>
      </c>
      <c r="H462" s="22">
        <f>SUMIFS(原始数据!$I$3:$I$1002,原始数据!$D$3:$D$1002,"HT20260911")</f>
        <v>223.605</v>
      </c>
      <c r="I462" s="22">
        <f>SUMIFS(原始数据!$J$3:$J$1002,原始数据!$D$3:$D$1002,"HT20260911")</f>
        <v>13.033</v>
      </c>
      <c r="J462" s="22">
        <f>SUMIFS(原始数据!$K$3:$K$1002,原始数据!$D$3:$D$1002,"HT20260911")</f>
        <v>210.572</v>
      </c>
      <c r="K462" s="19" t="str">
        <f>IFERROR(INDEX(原始数据!$L$3:$L$1002,MATCH(1,INDEX((原始数据!$D$3:$D$1002="HT20260911")*(原始数据!$L$3:$L$1002&lt;&gt;""),0),0)),"")</f>
        <v>十部</v>
      </c>
      <c r="L462" s="20" t="str">
        <f>IFERROR(INDEX(原始数据!$M$3:$M$1002,MATCH(1,INDEX((原始数据!$D$3:$D$1002="HT20260911")*(原始数据!$M$3:$M$1002&lt;&gt;""),0),0)),"")</f>
        <v>雷声</v>
      </c>
      <c r="M462" s="19" t="str">
        <f>IFERROR(INDEX(原始数据!$N$3:$N$1002,MATCH(1,INDEX((原始数据!$D$3:$D$1002="HT20260911")*(原始数据!$N$3:$N$1002&lt;&gt;""),0),0)),"")</f>
        <v>1年以内</v>
      </c>
      <c r="N462" s="19" t="inlineStr"/>
    </row>
    <row r="463">
      <c r="A463" s="13">
        <f>ROW()-2</f>
        <v>461</v>
      </c>
      <c r="B463" s="14" t="str">
        <f>IFERROR(INDEX(原始数据!$B$3:$B$1002,MATCH(1,INDEX((原始数据!$D$3:$D$1002="HT20260912")*(原始数据!$B$3:$B$1002&lt;&gt;""),0),0)),"")</f>
        <v>华北-山西</v>
      </c>
      <c r="C463" s="14" t="str">
        <f>IFERROR(INDEX(原始数据!$C$3:$C$1002,MATCH(1,INDEX((原始数据!$D$3:$D$1002="HT20260912")*(原始数据!$C$3:$C$1002&lt;&gt;""),0),0)),"")</f>
        <v>监察司法机关</v>
      </c>
      <c r="D463" s="15" t="inlineStr">
        <is>
          <t>HT20260912</t>
        </is>
      </c>
      <c r="E463" s="16">
        <f>IFERROR(INDEX(原始数据!$E$3:$E$1002,MATCH(1,INDEX((原始数据!$D$3:$D$1002="HT20260912")*(原始数据!$E$3:$E$1002&lt;&gt;""),0),0)),"")</f>
        <v>20260729</v>
      </c>
      <c r="F463" s="17">
        <f>SUMIFS(原始数据!$F$3:$F$1002,原始数据!$D$3:$D$1002,"HT20260912")</f>
        <v>1022.7629999999999</v>
      </c>
      <c r="G463" s="17">
        <f>SUMIFS(原始数据!$H$3:$H$1002,原始数据!$D$3:$D$1002,"HT20260912")</f>
        <v>440.269</v>
      </c>
      <c r="H463" s="17">
        <f>SUMIFS(原始数据!$I$3:$I$1002,原始数据!$D$3:$D$1002,"HT20260912")</f>
        <v>582.4939999999999</v>
      </c>
      <c r="I463" s="17">
        <f>SUMIFS(原始数据!$J$3:$J$1002,原始数据!$D$3:$D$1002,"HT20260912")</f>
        <v>417.089</v>
      </c>
      <c r="J463" s="17">
        <f>SUMIFS(原始数据!$K$3:$K$1002,原始数据!$D$3:$D$1002,"HT20260912")</f>
        <v>165.405</v>
      </c>
      <c r="K463" s="14" t="str">
        <f>IFERROR(INDEX(原始数据!$L$3:$L$1002,MATCH(1,INDEX((原始数据!$D$3:$D$1002="HT20260912")*(原始数据!$L$3:$L$1002&lt;&gt;""),0),0)),"")</f>
        <v>八部</v>
      </c>
      <c r="L463" s="15" t="str">
        <f>IFERROR(INDEX(原始数据!$M$3:$M$1002,MATCH(1,INDEX((原始数据!$D$3:$D$1002="HT20260912")*(原始数据!$M$3:$M$1002&lt;&gt;""),0),0)),"")</f>
        <v>卢俊</v>
      </c>
      <c r="M463" s="14" t="str">
        <f>IFERROR(INDEX(原始数据!$N$3:$N$1002,MATCH(1,INDEX((原始数据!$D$3:$D$1002="HT20260912")*(原始数据!$N$3:$N$1002&lt;&gt;""),0),0)),"")</f>
        <v>1年以内</v>
      </c>
      <c r="N463" s="14" t="inlineStr"/>
    </row>
    <row r="464">
      <c r="A464" s="18">
        <f>ROW()-2</f>
        <v>462</v>
      </c>
      <c r="B464" s="19" t="str">
        <f>IFERROR(INDEX(原始数据!$B$3:$B$1002,MATCH(1,INDEX((原始数据!$D$3:$D$1002="HT20260914")*(原始数据!$B$3:$B$1002&lt;&gt;""),0),0)),"")</f>
        <v>华东-江西</v>
      </c>
      <c r="C464" s="19" t="str">
        <f>IFERROR(INDEX(原始数据!$C$3:$C$1002,MATCH(1,INDEX((原始数据!$D$3:$D$1002="HT20260914")*(原始数据!$C$3:$C$1002&lt;&gt;""),0),0)),"")</f>
        <v>国有企业</v>
      </c>
      <c r="D464" s="20" t="inlineStr">
        <is>
          <t>HT20260914</t>
        </is>
      </c>
      <c r="E464" s="21">
        <f>IFERROR(INDEX(原始数据!$E$3:$E$1002,MATCH(1,INDEX((原始数据!$D$3:$D$1002="HT20260914")*(原始数据!$E$3:$E$1002&lt;&gt;""),0),0)),"")</f>
        <v>20260113</v>
      </c>
      <c r="F464" s="22">
        <f>SUMIFS(原始数据!$F$3:$F$1002,原始数据!$D$3:$D$1002,"HT20260914")</f>
        <v>889.707</v>
      </c>
      <c r="G464" s="22">
        <f>SUMIFS(原始数据!$H$3:$H$1002,原始数据!$D$3:$D$1002,"HT20260914")</f>
        <v>439.86199999999997</v>
      </c>
      <c r="H464" s="22">
        <f>SUMIFS(原始数据!$I$3:$I$1002,原始数据!$D$3:$D$1002,"HT20260914")</f>
        <v>449.84499999999997</v>
      </c>
      <c r="I464" s="22">
        <f>SUMIFS(原始数据!$J$3:$J$1002,原始数据!$D$3:$D$1002,"HT20260914")</f>
        <v>9.142</v>
      </c>
      <c r="J464" s="22">
        <f>SUMIFS(原始数据!$K$3:$K$1002,原始数据!$D$3:$D$1002,"HT20260914")</f>
        <v>440.70300000000003</v>
      </c>
      <c r="K464" s="19" t="str">
        <f>IFERROR(INDEX(原始数据!$L$3:$L$1002,MATCH(1,INDEX((原始数据!$D$3:$D$1002="HT20260914")*(原始数据!$L$3:$L$1002&lt;&gt;""),0),0)),"")</f>
        <v>五部</v>
      </c>
      <c r="L464" s="20" t="str">
        <f>IFERROR(INDEX(原始数据!$M$3:$M$1002,MATCH(1,INDEX((原始数据!$D$3:$D$1002="HT20260914")*(原始数据!$M$3:$M$1002&lt;&gt;""),0),0)),"")</f>
        <v>郑浩</v>
      </c>
      <c r="M464" s="19" t="str">
        <f>IFERROR(INDEX(原始数据!$N$3:$N$1002,MATCH(1,INDEX((原始数据!$D$3:$D$1002="HT20260914")*(原始数据!$N$3:$N$1002&lt;&gt;""),0),0)),"")</f>
        <v>2-3年</v>
      </c>
      <c r="N464" s="19" t="inlineStr">
        <is>
          <t>公司负债</t>
        </is>
      </c>
    </row>
    <row r="465">
      <c r="A465" s="13">
        <f>ROW()-2</f>
        <v>463</v>
      </c>
      <c r="B465" s="14" t="str">
        <f>IFERROR(INDEX(原始数据!$B$3:$B$1002,MATCH(1,INDEX((原始数据!$D$3:$D$1002="HT20260915")*(原始数据!$B$3:$B$1002&lt;&gt;""),0),0)),"")</f>
        <v>西北-甘肃</v>
      </c>
      <c r="C465" s="14" t="str">
        <f>IFERROR(INDEX(原始数据!$C$3:$C$1002,MATCH(1,INDEX((原始数据!$D$3:$D$1002="HT20260915")*(原始数据!$C$3:$C$1002&lt;&gt;""),0),0)),"")</f>
        <v>群团组织</v>
      </c>
      <c r="D465" s="15" t="inlineStr">
        <is>
          <t>HT20260915</t>
        </is>
      </c>
      <c r="E465" s="16">
        <f>IFERROR(INDEX(原始数据!$E$3:$E$1002,MATCH(1,INDEX((原始数据!$D$3:$D$1002="HT20260915")*(原始数据!$E$3:$E$1002&lt;&gt;""),0),0)),"")</f>
        <v>20260520</v>
      </c>
      <c r="F465" s="17">
        <f>SUMIFS(原始数据!$F$3:$F$1002,原始数据!$D$3:$D$1002,"HT20260915")</f>
        <v>3222.117</v>
      </c>
      <c r="G465" s="17">
        <f>SUMIFS(原始数据!$H$3:$H$1002,原始数据!$D$3:$D$1002,"HT20260915")</f>
        <v>1122.558</v>
      </c>
      <c r="H465" s="17">
        <f>SUMIFS(原始数据!$I$3:$I$1002,原始数据!$D$3:$D$1002,"HT20260915")</f>
        <v>2099.559</v>
      </c>
      <c r="I465" s="17">
        <f>SUMIFS(原始数据!$J$3:$J$1002,原始数据!$D$3:$D$1002,"HT20260915")</f>
        <v>808.333</v>
      </c>
      <c r="J465" s="17">
        <f>SUMIFS(原始数据!$K$3:$K$1002,原始数据!$D$3:$D$1002,"HT20260915")</f>
        <v>1291.226</v>
      </c>
      <c r="K465" s="14" t="str">
        <f>IFERROR(INDEX(原始数据!$L$3:$L$1002,MATCH(1,INDEX((原始数据!$D$3:$D$1002="HT20260915")*(原始数据!$L$3:$L$1002&lt;&gt;""),0),0)),"")</f>
        <v>二部</v>
      </c>
      <c r="L465" s="15" t="str">
        <f>IFERROR(INDEX(原始数据!$M$3:$M$1002,MATCH(1,INDEX((原始数据!$D$3:$D$1002="HT20260915")*(原始数据!$M$3:$M$1002&lt;&gt;""),0),0)),"")</f>
        <v>吴丽</v>
      </c>
      <c r="M465" s="14" t="str">
        <f>IFERROR(INDEX(原始数据!$N$3:$N$1002,MATCH(1,INDEX((原始数据!$D$3:$D$1002="HT20260915")*(原始数据!$N$3:$N$1002&lt;&gt;""),0),0)),"")</f>
        <v>2-3年</v>
      </c>
      <c r="N465" s="14" t="inlineStr"/>
    </row>
  </sheetData>
  <autoFilter ref="A2:N465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17" customWidth="1" style="9" min="2" max="2"/>
    <col width="13" customWidth="1" style="9" min="3" max="3"/>
    <col width="13" customWidth="1" style="9" min="4" max="4"/>
    <col width="15" customWidth="1" style="9" min="5" max="5"/>
    <col width="8" customWidth="1" style="9" min="6" max="6"/>
  </cols>
  <sheetData>
    <row r="1">
      <c r="A1" s="11" t="inlineStr">
        <is>
          <t>未回款原因分类汇总</t>
        </is>
      </c>
    </row>
    <row r="2">
      <c r="A2" s="12" t="inlineStr">
        <is>
          <t>序号</t>
        </is>
      </c>
      <c r="B2" s="12" t="inlineStr">
        <is>
          <t>未回款原因分类</t>
        </is>
      </c>
      <c r="C2" s="12" t="inlineStr">
        <is>
          <t>开票未回款</t>
        </is>
      </c>
      <c r="D2" s="12" t="inlineStr">
        <is>
          <t>涉及合同数</t>
        </is>
      </c>
      <c r="E2" s="12" t="inlineStr">
        <is>
          <t>涉及数据笔数</t>
        </is>
      </c>
      <c r="F2" s="12" t="inlineStr">
        <is>
          <t>占比</t>
        </is>
      </c>
    </row>
    <row r="3">
      <c r="A3" s="13">
        <f>ROW()-2</f>
        <v>1</v>
      </c>
      <c r="B3" s="14" t="inlineStr">
        <is>
          <t>公司负债</t>
        </is>
      </c>
      <c r="C3" s="17">
        <f>SUMIFS(原始数据!$K$3:$K$1002,原始数据!$O$3:$O$1002,"公司负债")</f>
        <v>2507.84</v>
      </c>
      <c r="D3" s="13">
        <f>SUMPRODUCT((原始数据!$O$3:$O$1002="公司负债")/COUNTIFS(原始数据!$D$3:$D$1002,原始数据!$D$3:$D$1002&amp;"",原始数据!$O$3:$O$1002,原始数据!$O$3:$O$1002))</f>
        <v>6</v>
      </c>
      <c r="E3" s="13">
        <f>COUNTIFS(原始数据!$O$3:$O$1002,"公司负债")</f>
        <v>6</v>
      </c>
      <c r="F3" s="23">
        <f>IF(SUM(原始数据!$K$3:$K$1002)=0,"",C3/SUM(原始数据!$K$3:$K$1002))</f>
        <v>0.011886843604110851</v>
      </c>
    </row>
    <row r="4">
      <c r="A4" s="18">
        <f>ROW()-2</f>
        <v>2</v>
      </c>
      <c r="B4" s="19" t="inlineStr">
        <is>
          <t>需求不满足</t>
        </is>
      </c>
      <c r="C4" s="22">
        <f>SUMIFS(原始数据!$K$3:$K$1002,原始数据!$O$3:$O$1002,"需求不满足")</f>
        <v>2145.812</v>
      </c>
      <c r="D4" s="18">
        <f>SUMPRODUCT((原始数据!$O$3:$O$1002="需求不满足")/COUNTIFS(原始数据!$D$3:$D$1002,原始数据!$D$3:$D$1002&amp;"",原始数据!$O$3:$O$1002,原始数据!$O$3:$O$1002))</f>
        <v>12</v>
      </c>
      <c r="E4" s="18">
        <f>COUNTIFS(原始数据!$O$3:$O$1002,"需求不满足")</f>
        <v>12</v>
      </c>
      <c r="F4" s="24">
        <f>IF(SUM(原始数据!$K$3:$K$1002)=0,"",C4/SUM(原始数据!$K$3:$K$1002))</f>
        <v>0.010170876789517795</v>
      </c>
    </row>
    <row r="5">
      <c r="A5" s="13">
        <f>ROW()-2</f>
        <v>3</v>
      </c>
      <c r="B5" s="14" t="inlineStr">
        <is>
          <t>产品不合格</t>
        </is>
      </c>
      <c r="C5" s="17">
        <f>SUMIFS(原始数据!$K$3:$K$1002,原始数据!$O$3:$O$1002,"产品不合格")</f>
        <v>1919.6600000000003</v>
      </c>
      <c r="D5" s="13">
        <f>SUMPRODUCT((原始数据!$O$3:$O$1002="产品不合格")/COUNTIFS(原始数据!$D$3:$D$1002,原始数据!$D$3:$D$1002&amp;"",原始数据!$O$3:$O$1002,原始数据!$O$3:$O$1002))</f>
        <v>8</v>
      </c>
      <c r="E5" s="13">
        <f>COUNTIFS(原始数据!$O$3:$O$1002,"产品不合格")</f>
        <v>8</v>
      </c>
      <c r="F5" s="23">
        <f>IF(SUM(原始数据!$K$3:$K$1002)=0,"",C5/SUM(原始数据!$K$3:$K$1002))</f>
        <v>0.009098944985751659</v>
      </c>
    </row>
    <row r="6">
      <c r="A6" s="18">
        <f>ROW()-2</f>
        <v>4</v>
      </c>
      <c r="B6" s="19" t="inlineStr">
        <is>
          <t>服务不满意</t>
        </is>
      </c>
      <c r="C6" s="22">
        <f>SUMIFS(原始数据!$K$3:$K$1002,原始数据!$O$3:$O$1002,"服务不满意")</f>
        <v>1672.8200000000002</v>
      </c>
      <c r="D6" s="18">
        <f>SUMPRODUCT((原始数据!$O$3:$O$1002="服务不满意")/COUNTIFS(原始数据!$D$3:$D$1002,原始数据!$D$3:$D$1002&amp;"",原始数据!$O$3:$O$1002,原始数据!$O$3:$O$1002))</f>
        <v>11</v>
      </c>
      <c r="E6" s="18">
        <f>COUNTIFS(原始数据!$O$3:$O$1002,"服务不满意")</f>
        <v>15</v>
      </c>
      <c r="F6" s="24">
        <f>IF(SUM(原始数据!$K$3:$K$1002)=0,"",C6/SUM(原始数据!$K$3:$K$1002))</f>
        <v>0.007928954685238578</v>
      </c>
    </row>
  </sheetData>
  <autoFilter ref="A2:F6"/>
  <mergeCells count="1">
    <mergeCell ref="A1:F1"/>
  </mergeCells>
  <conditionalFormatting sqref="B3:B6">
    <cfRule type="expression" priority="1" dxfId="0" stopIfTrue="1">
      <formula>$B3="公司负债"</formula>
    </cfRule>
    <cfRule type="expression" priority="2" dxfId="1" stopIfTrue="1">
      <formula>$B4="需求不满足"</formula>
    </cfRule>
    <cfRule type="expression" priority="3" dxfId="2" stopIfTrue="1">
      <formula>$B5="产品不合格"</formula>
    </cfRule>
    <cfRule type="expression" priority="4" dxfId="3" stopIfTrue="1">
      <formula>$B6="服务不满意"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14" customWidth="1" style="9" min="2" max="2"/>
    <col width="13" customWidth="1" style="9" min="3" max="3"/>
    <col width="13" customWidth="1" style="9" min="4" max="4"/>
    <col width="13" customWidth="1" style="9" min="5" max="5"/>
    <col width="15" customWidth="1" style="9" min="6" max="6"/>
    <col width="9" customWidth="1" style="9" min="7" max="7"/>
    <col width="13" customWidth="1" style="9" min="8" max="8"/>
    <col width="13" customWidth="1" style="9" min="9" max="9"/>
  </cols>
  <sheetData>
    <row r="1">
      <c r="A1" s="11" t="inlineStr">
        <is>
          <t>区域维度统计分析</t>
        </is>
      </c>
    </row>
    <row r="2">
      <c r="A2" s="12" t="inlineStr">
        <is>
          <t>序号</t>
        </is>
      </c>
      <c r="B2" s="12" t="inlineStr">
        <is>
          <t>区域</t>
        </is>
      </c>
      <c r="C2" s="12" t="inlineStr">
        <is>
          <t>总合同金额</t>
        </is>
      </c>
      <c r="D2" s="12" t="inlineStr">
        <is>
          <t>总开票金额</t>
        </is>
      </c>
      <c r="E2" s="12" t="inlineStr">
        <is>
          <t>总回款合计</t>
        </is>
      </c>
      <c r="F2" s="12" t="inlineStr">
        <is>
          <t>总开票未回款</t>
        </is>
      </c>
      <c r="G2" s="12" t="inlineStr">
        <is>
          <t>合同数</t>
        </is>
      </c>
      <c r="H2" s="12" t="inlineStr">
        <is>
          <t>整体回款率</t>
        </is>
      </c>
      <c r="I2" s="12" t="inlineStr">
        <is>
          <t>未回款占比</t>
        </is>
      </c>
    </row>
    <row r="3">
      <c r="A3" s="13">
        <f>ROW()-2</f>
        <v>1</v>
      </c>
      <c r="B3" s="14" t="inlineStr">
        <is>
          <t>华南-海南</t>
        </is>
      </c>
      <c r="C3" s="17">
        <f>SUMIFS(原始数据!$F$3:$F$1002,原始数据!$B$3:$B$1002,"华南-海南")</f>
        <v>23982.429999999997</v>
      </c>
      <c r="D3" s="17">
        <f>SUMIFS(原始数据!$I$3:$I$1002,原始数据!$B$3:$B$1002,"华南-海南")</f>
        <v>17099.851</v>
      </c>
      <c r="E3" s="17">
        <f>SUMIFS(原始数据!$J$3:$J$1002,原始数据!$B$3:$B$1002,"华南-海南")</f>
        <v>5325.631</v>
      </c>
      <c r="F3" s="17">
        <f>SUMIFS(原始数据!$K$3:$K$1002,原始数据!$B$3:$B$1002,"华南-海南")</f>
        <v>11774.22</v>
      </c>
      <c r="G3" s="13">
        <f>SUMPRODUCT((原始数据!$B$3:$B$1002="华南-海南")/COUNTIFS(原始数据!$D$3:$D$1002,原始数据!$D$3:$D$1002&amp;"",原始数据!$B$3:$B$1002,原始数据!$B$3:$B$1002))</f>
        <v>29</v>
      </c>
      <c r="H3" s="23">
        <f>IF(C3=0,"",E3/C3)</f>
        <v>0.22206386091818056</v>
      </c>
      <c r="I3" s="23">
        <f>IF(SUM(原始数据!$F$3:$F$1002)=0,"",F3/SUM(原始数据!$F$3:$F$1002))</f>
        <v>0.012912084297091453</v>
      </c>
    </row>
    <row r="4">
      <c r="A4" s="18">
        <f>ROW()-2</f>
        <v>2</v>
      </c>
      <c r="B4" s="19" t="inlineStr">
        <is>
          <t>华中-湖南</t>
        </is>
      </c>
      <c r="C4" s="22">
        <f>SUMIFS(原始数据!$F$3:$F$1002,原始数据!$B$3:$B$1002,"华中-湖南")</f>
        <v>42226.011</v>
      </c>
      <c r="D4" s="22">
        <f>SUMIFS(原始数据!$I$3:$I$1002,原始数据!$B$3:$B$1002,"华中-湖南")</f>
        <v>20756.138</v>
      </c>
      <c r="E4" s="22">
        <f>SUMIFS(原始数据!$J$3:$J$1002,原始数据!$B$3:$B$1002,"华中-湖南")</f>
        <v>10128.130000000001</v>
      </c>
      <c r="F4" s="22">
        <f>SUMIFS(原始数据!$K$3:$K$1002,原始数据!$B$3:$B$1002,"华中-湖南")</f>
        <v>10628.007999999998</v>
      </c>
      <c r="G4" s="18">
        <f>SUMPRODUCT((原始数据!$B$3:$B$1002="华中-湖南")/COUNTIFS(原始数据!$D$3:$D$1002,原始数据!$D$3:$D$1002&amp;"",原始数据!$B$3:$B$1002,原始数据!$B$3:$B$1002))</f>
        <v>29</v>
      </c>
      <c r="H4" s="24">
        <f>IF(C4=0,"",E4/C4)</f>
        <v>0.2398552399372984</v>
      </c>
      <c r="I4" s="24">
        <f>IF(SUM(原始数据!$F$3:$F$1002)=0,"",F4/SUM(原始数据!$F$3:$F$1002))</f>
        <v>0.011655102011527077</v>
      </c>
    </row>
    <row r="5">
      <c r="A5" s="13">
        <f>ROW()-2</f>
        <v>3</v>
      </c>
      <c r="B5" s="14" t="inlineStr">
        <is>
          <t>华东-山东</t>
        </is>
      </c>
      <c r="C5" s="17">
        <f>SUMIFS(原始数据!$F$3:$F$1002,原始数据!$B$3:$B$1002,"华东-山东")</f>
        <v>36845.918000000005</v>
      </c>
      <c r="D5" s="17">
        <f>SUMIFS(原始数据!$I$3:$I$1002,原始数据!$B$3:$B$1002,"华东-山东")</f>
        <v>22686.956</v>
      </c>
      <c r="E5" s="17">
        <f>SUMIFS(原始数据!$J$3:$J$1002,原始数据!$B$3:$B$1002,"华东-山东")</f>
        <v>12573.21</v>
      </c>
      <c r="F5" s="17">
        <f>SUMIFS(原始数据!$K$3:$K$1002,原始数据!$B$3:$B$1002,"华东-山东")</f>
        <v>10113.746000000001</v>
      </c>
      <c r="G5" s="13">
        <f>SUMPRODUCT((原始数据!$B$3:$B$1002="华东-山东")/COUNTIFS(原始数据!$D$3:$D$1002,原始数据!$D$3:$D$1002&amp;"",原始数据!$B$3:$B$1002,原始数据!$B$3:$B$1002))</f>
        <v>35</v>
      </c>
      <c r="H5" s="23">
        <f>IF(C5=0,"",E5/C5)</f>
        <v>0.3412375286727826</v>
      </c>
      <c r="I5" s="23">
        <f>IF(SUM(原始数据!$F$3:$F$1002)=0,"",F5/SUM(原始数据!$F$3:$F$1002))</f>
        <v>0.011091141571277887</v>
      </c>
    </row>
    <row r="6">
      <c r="A6" s="18">
        <f>ROW()-2</f>
        <v>4</v>
      </c>
      <c r="B6" s="19" t="inlineStr">
        <is>
          <t>华中-湖北</t>
        </is>
      </c>
      <c r="C6" s="22">
        <f>SUMIFS(原始数据!$F$3:$F$1002,原始数据!$B$3:$B$1002,"华中-湖北")</f>
        <v>30365.665999999997</v>
      </c>
      <c r="D6" s="22">
        <f>SUMIFS(原始数据!$I$3:$I$1002,原始数据!$B$3:$B$1002,"华中-湖北")</f>
        <v>17451.939000000002</v>
      </c>
      <c r="E6" s="22">
        <f>SUMIFS(原始数据!$J$3:$J$1002,原始数据!$B$3:$B$1002,"华中-湖北")</f>
        <v>8115.9580000000005</v>
      </c>
      <c r="F6" s="22">
        <f>SUMIFS(原始数据!$K$3:$K$1002,原始数据!$B$3:$B$1002,"华中-湖北")</f>
        <v>9335.981</v>
      </c>
      <c r="G6" s="18">
        <f>SUMPRODUCT((原始数据!$B$3:$B$1002="华中-湖北")/COUNTIFS(原始数据!$D$3:$D$1002,原始数据!$D$3:$D$1002&amp;"",原始数据!$B$3:$B$1002,原始数据!$B$3:$B$1002))</f>
        <v>24</v>
      </c>
      <c r="H6" s="24">
        <f>IF(C6=0,"",E6/C6)</f>
        <v>0.2672741641826661</v>
      </c>
      <c r="I6" s="24">
        <f>IF(SUM(原始数据!$F$3:$F$1002)=0,"",F6/SUM(原始数据!$F$3:$F$1002))</f>
        <v>0.010238213118834553</v>
      </c>
    </row>
    <row r="7">
      <c r="A7" s="13">
        <f>ROW()-2</f>
        <v>5</v>
      </c>
      <c r="B7" s="14" t="inlineStr">
        <is>
          <t>华北-河北</t>
        </is>
      </c>
      <c r="C7" s="17">
        <f>SUMIFS(原始数据!$F$3:$F$1002,原始数据!$B$3:$B$1002,"华北-河北")</f>
        <v>36665.233</v>
      </c>
      <c r="D7" s="17">
        <f>SUMIFS(原始数据!$I$3:$I$1002,原始数据!$B$3:$B$1002,"华北-河北")</f>
        <v>14544.299</v>
      </c>
      <c r="E7" s="17">
        <f>SUMIFS(原始数据!$J$3:$J$1002,原始数据!$B$3:$B$1002,"华北-河北")</f>
        <v>6273.0650000000005</v>
      </c>
      <c r="F7" s="17">
        <f>SUMIFS(原始数据!$K$3:$K$1002,原始数据!$B$3:$B$1002,"华北-河北")</f>
        <v>8271.234000000002</v>
      </c>
      <c r="G7" s="13">
        <f>SUMPRODUCT((原始数据!$B$3:$B$1002="华北-河北")/COUNTIFS(原始数据!$D$3:$D$1002,原始数据!$D$3:$D$1002&amp;"",原始数据!$B$3:$B$1002,原始数据!$B$3:$B$1002))</f>
        <v>33</v>
      </c>
      <c r="H7" s="23">
        <f>IF(C7=0,"",E7/C7)</f>
        <v>0.17109028053906</v>
      </c>
      <c r="I7" s="23">
        <f>IF(SUM(原始数据!$F$3:$F$1002)=0,"",F7/SUM(原始数据!$F$3:$F$1002))</f>
        <v>0.00907056863630618</v>
      </c>
    </row>
    <row r="8">
      <c r="A8" s="18">
        <f>ROW()-2</f>
        <v>6</v>
      </c>
      <c r="B8" s="19" t="inlineStr">
        <is>
          <t>东北-黑龙江</t>
        </is>
      </c>
      <c r="C8" s="22">
        <f>SUMIFS(原始数据!$F$3:$F$1002,原始数据!$B$3:$B$1002,"东北-黑龙江")</f>
        <v>30514.793</v>
      </c>
      <c r="D8" s="22">
        <f>SUMIFS(原始数据!$I$3:$I$1002,原始数据!$B$3:$B$1002,"东北-黑龙江")</f>
        <v>17476.442000000003</v>
      </c>
      <c r="E8" s="22">
        <f>SUMIFS(原始数据!$J$3:$J$1002,原始数据!$B$3:$B$1002,"东北-黑龙江")</f>
        <v>9344.883</v>
      </c>
      <c r="F8" s="22">
        <f>SUMIFS(原始数据!$K$3:$K$1002,原始数据!$B$3:$B$1002,"东北-黑龙江")</f>
        <v>8131.558999999999</v>
      </c>
      <c r="G8" s="18">
        <f>SUMPRODUCT((原始数据!$B$3:$B$1002="东北-黑龙江")/COUNTIFS(原始数据!$D$3:$D$1002,原始数据!$D$3:$D$1002&amp;"",原始数据!$B$3:$B$1002,原始数据!$B$3:$B$1002))</f>
        <v>34</v>
      </c>
      <c r="H8" s="24">
        <f>IF(C8=0,"",E8/C8)</f>
        <v>0.3062410746158429</v>
      </c>
      <c r="I8" s="24">
        <f>IF(SUM(原始数据!$F$3:$F$1002)=0,"",F8/SUM(原始数据!$F$3:$F$1002))</f>
        <v>0.008917395400695135</v>
      </c>
    </row>
    <row r="9">
      <c r="A9" s="13">
        <f>ROW()-2</f>
        <v>7</v>
      </c>
      <c r="B9" s="14" t="inlineStr">
        <is>
          <t>华南-广东</t>
        </is>
      </c>
      <c r="C9" s="17">
        <f>SUMIFS(原始数据!$F$3:$F$1002,原始数据!$B$3:$B$1002,"华南-广东")</f>
        <v>19847.927999999996</v>
      </c>
      <c r="D9" s="17">
        <f>SUMIFS(原始数据!$I$3:$I$1002,原始数据!$B$3:$B$1002,"华南-广东")</f>
        <v>11117.152</v>
      </c>
      <c r="E9" s="17">
        <f>SUMIFS(原始数据!$J$3:$J$1002,原始数据!$B$3:$B$1002,"华南-广东")</f>
        <v>3205.0660000000003</v>
      </c>
      <c r="F9" s="17">
        <f>SUMIFS(原始数据!$K$3:$K$1002,原始数据!$B$3:$B$1002,"华南-广东")</f>
        <v>7912.086</v>
      </c>
      <c r="G9" s="13">
        <f>SUMPRODUCT((原始数据!$B$3:$B$1002="华南-广东")/COUNTIFS(原始数据!$D$3:$D$1002,原始数据!$D$3:$D$1002&amp;"",原始数据!$B$3:$B$1002,原始数据!$B$3:$B$1002))</f>
        <v>25</v>
      </c>
      <c r="H9" s="23">
        <f>IF(C9=0,"",E9/C9)</f>
        <v>0.16148113798075048</v>
      </c>
      <c r="I9" s="23">
        <f>IF(SUM(原始数据!$F$3:$F$1002)=0,"",F9/SUM(原始数据!$F$3:$F$1002))</f>
        <v>0.008676712461448584</v>
      </c>
    </row>
    <row r="10">
      <c r="A10" s="18">
        <f>ROW()-2</f>
        <v>8</v>
      </c>
      <c r="B10" s="19" t="inlineStr">
        <is>
          <t>西北-甘肃</t>
        </is>
      </c>
      <c r="C10" s="22">
        <f>SUMIFS(原始数据!$F$3:$F$1002,原始数据!$B$3:$B$1002,"西北-甘肃")</f>
        <v>36956.236000000004</v>
      </c>
      <c r="D10" s="22">
        <f>SUMIFS(原始数据!$I$3:$I$1002,原始数据!$B$3:$B$1002,"西北-甘肃")</f>
        <v>17891.387000000002</v>
      </c>
      <c r="E10" s="22">
        <f>SUMIFS(原始数据!$J$3:$J$1002,原始数据!$B$3:$B$1002,"西北-甘肃")</f>
        <v>10106.854</v>
      </c>
      <c r="F10" s="22">
        <f>SUMIFS(原始数据!$K$3:$K$1002,原始数据!$B$3:$B$1002,"西北-甘肃")</f>
        <v>7784.533</v>
      </c>
      <c r="G10" s="18">
        <f>SUMPRODUCT((原始数据!$B$3:$B$1002="西北-甘肃")/COUNTIFS(原始数据!$D$3:$D$1002,原始数据!$D$3:$D$1002&amp;"",原始数据!$B$3:$B$1002,原始数据!$B$3:$B$1002))</f>
        <v>25</v>
      </c>
      <c r="H10" s="24">
        <f>IF(C10=0,"",E10/C10)</f>
        <v>0.27348169331963346</v>
      </c>
      <c r="I10" s="24">
        <f>IF(SUM(原始数据!$F$3:$F$1002)=0,"",F10/SUM(原始数据!$F$3:$F$1002))</f>
        <v>0.00853683269970242</v>
      </c>
    </row>
    <row r="11">
      <c r="A11" s="13">
        <f>ROW()-2</f>
        <v>9</v>
      </c>
      <c r="B11" s="14" t="inlineStr">
        <is>
          <t>华北-山西</t>
        </is>
      </c>
      <c r="C11" s="17">
        <f>SUMIFS(原始数据!$F$3:$F$1002,原始数据!$B$3:$B$1002,"华北-山西")</f>
        <v>33604.331999999995</v>
      </c>
      <c r="D11" s="17">
        <f>SUMIFS(原始数据!$I$3:$I$1002,原始数据!$B$3:$B$1002,"华北-山西")</f>
        <v>17647.016</v>
      </c>
      <c r="E11" s="17">
        <f>SUMIFS(原始数据!$J$3:$J$1002,原始数据!$B$3:$B$1002,"华北-山西")</f>
        <v>9912.104</v>
      </c>
      <c r="F11" s="17">
        <f>SUMIFS(原始数据!$K$3:$K$1002,原始数据!$B$3:$B$1002,"华北-山西")</f>
        <v>7734.912</v>
      </c>
      <c r="G11" s="13">
        <f>SUMPRODUCT((原始数据!$B$3:$B$1002="华北-山西")/COUNTIFS(原始数据!$D$3:$D$1002,原始数据!$D$3:$D$1002&amp;"",原始数据!$B$3:$B$1002,原始数据!$B$3:$B$1002))</f>
        <v>34</v>
      </c>
      <c r="H11" s="23">
        <f>IF(C11=0,"",E11/C11)</f>
        <v>0.2949650658135386</v>
      </c>
      <c r="I11" s="23">
        <f>IF(SUM(原始数据!$F$3:$F$1002)=0,"",F11/SUM(原始数据!$F$3:$F$1002))</f>
        <v>0.008482416310769143</v>
      </c>
    </row>
    <row r="12">
      <c r="A12" s="18">
        <f>ROW()-2</f>
        <v>10</v>
      </c>
      <c r="B12" s="19" t="inlineStr">
        <is>
          <t>华东-福建</t>
        </is>
      </c>
      <c r="C12" s="22">
        <f>SUMIFS(原始数据!$F$3:$F$1002,原始数据!$B$3:$B$1002,"华东-福建")</f>
        <v>24814.472</v>
      </c>
      <c r="D12" s="22">
        <f>SUMIFS(原始数据!$I$3:$I$1002,原始数据!$B$3:$B$1002,"华东-福建")</f>
        <v>16180.25</v>
      </c>
      <c r="E12" s="22">
        <f>SUMIFS(原始数据!$J$3:$J$1002,原始数据!$B$3:$B$1002,"华东-福建")</f>
        <v>8494.939</v>
      </c>
      <c r="F12" s="22">
        <f>SUMIFS(原始数据!$K$3:$K$1002,原始数据!$B$3:$B$1002,"华东-福建")</f>
        <v>7685.310999999999</v>
      </c>
      <c r="G12" s="18">
        <f>SUMPRODUCT((原始数据!$B$3:$B$1002="华东-福建")/COUNTIFS(原始数据!$D$3:$D$1002,原始数据!$D$3:$D$1002&amp;"",原始数据!$B$3:$B$1002,原始数据!$B$3:$B$1002))</f>
        <v>30</v>
      </c>
      <c r="H12" s="24">
        <f>IF(C12=0,"",E12/C12)</f>
        <v>0.34233809206176136</v>
      </c>
      <c r="I12" s="24">
        <f>IF(SUM(原始数据!$F$3:$F$1002)=0,"",F12/SUM(原始数据!$F$3:$F$1002))</f>
        <v>0.008428021854642108</v>
      </c>
    </row>
    <row r="13">
      <c r="A13" s="13">
        <f>ROW()-2</f>
        <v>11</v>
      </c>
      <c r="B13" s="14" t="inlineStr">
        <is>
          <t>华东-浙江</t>
        </is>
      </c>
      <c r="C13" s="17">
        <f>SUMIFS(原始数据!$F$3:$F$1002,原始数据!$B$3:$B$1002,"华东-浙江")</f>
        <v>33683.376</v>
      </c>
      <c r="D13" s="17">
        <f>SUMIFS(原始数据!$I$3:$I$1002,原始数据!$B$3:$B$1002,"华东-浙江")</f>
        <v>19938.672</v>
      </c>
      <c r="E13" s="17">
        <f>SUMIFS(原始数据!$J$3:$J$1002,原始数据!$B$3:$B$1002,"华东-浙江")</f>
        <v>12539.687999999998</v>
      </c>
      <c r="F13" s="17">
        <f>SUMIFS(原始数据!$K$3:$K$1002,原始数据!$B$3:$B$1002,"华东-浙江")</f>
        <v>7398.9839999999995</v>
      </c>
      <c r="G13" s="13">
        <f>SUMPRODUCT((原始数据!$B$3:$B$1002="华东-浙江")/COUNTIFS(原始数据!$D$3:$D$1002,原始数据!$D$3:$D$1002&amp;"",原始数据!$B$3:$B$1002,原始数据!$B$3:$B$1002))</f>
        <v>27</v>
      </c>
      <c r="H13" s="23">
        <f>IF(C13=0,"",E13/C13)</f>
        <v>0.3722812107669967</v>
      </c>
      <c r="I13" s="23">
        <f>IF(SUM(原始数据!$F$3:$F$1002)=0,"",F13/SUM(原始数据!$F$3:$F$1002))</f>
        <v>0.00811402412396158</v>
      </c>
    </row>
    <row r="14">
      <c r="A14" s="18">
        <f>ROW()-2</f>
        <v>12</v>
      </c>
      <c r="B14" s="19" t="inlineStr">
        <is>
          <t>华南-广西</t>
        </is>
      </c>
      <c r="C14" s="22">
        <f>SUMIFS(原始数据!$F$3:$F$1002,原始数据!$B$3:$B$1002,"华南-广西")</f>
        <v>31929.932</v>
      </c>
      <c r="D14" s="22">
        <f>SUMIFS(原始数据!$I$3:$I$1002,原始数据!$B$3:$B$1002,"华南-广西")</f>
        <v>15816.182999999999</v>
      </c>
      <c r="E14" s="22">
        <f>SUMIFS(原始数据!$J$3:$J$1002,原始数据!$B$3:$B$1002,"华南-广西")</f>
        <v>8464.513999999997</v>
      </c>
      <c r="F14" s="22">
        <f>SUMIFS(原始数据!$K$3:$K$1002,原始数据!$B$3:$B$1002,"华南-广西")</f>
        <v>7351.669</v>
      </c>
      <c r="G14" s="18">
        <f>SUMPRODUCT((原始数据!$B$3:$B$1002="华南-广西")/COUNTIFS(原始数据!$D$3:$D$1002,原始数据!$D$3:$D$1002&amp;"",原始数据!$B$3:$B$1002,原始数据!$B$3:$B$1002))</f>
        <v>33</v>
      </c>
      <c r="H14" s="24">
        <f>IF(C14=0,"",E14/C14)</f>
        <v>0.2650965244774088</v>
      </c>
      <c r="I14" s="24">
        <f>IF(SUM(原始数据!$F$3:$F$1002)=0,"",F14/SUM(原始数据!$F$3:$F$1002))</f>
        <v>0.00806213658758831</v>
      </c>
    </row>
    <row r="15">
      <c r="A15" s="13">
        <f>ROW()-2</f>
        <v>13</v>
      </c>
      <c r="B15" s="14" t="inlineStr">
        <is>
          <t>西南-重庆</t>
        </is>
      </c>
      <c r="C15" s="17">
        <f>SUMIFS(原始数据!$F$3:$F$1002,原始数据!$B$3:$B$1002,"西南-重庆")</f>
        <v>34803.935000000005</v>
      </c>
      <c r="D15" s="17">
        <f>SUMIFS(原始数据!$I$3:$I$1002,原始数据!$B$3:$B$1002,"西南-重庆")</f>
        <v>19245.738</v>
      </c>
      <c r="E15" s="17">
        <f>SUMIFS(原始数据!$J$3:$J$1002,原始数据!$B$3:$B$1002,"西南-重庆")</f>
        <v>12299.498</v>
      </c>
      <c r="F15" s="17">
        <f>SUMIFS(原始数据!$K$3:$K$1002,原始数据!$B$3:$B$1002,"西南-重庆")</f>
        <v>6946.240000000001</v>
      </c>
      <c r="G15" s="13">
        <f>SUMPRODUCT((原始数据!$B$3:$B$1002="西南-重庆")/COUNTIFS(原始数据!$D$3:$D$1002,原始数据!$D$3:$D$1002&amp;"",原始数据!$B$3:$B$1002,原始数据!$B$3:$B$1002))</f>
        <v>39</v>
      </c>
      <c r="H15" s="23">
        <f>IF(C15=0,"",E15/C15)</f>
        <v>0.35339389066207594</v>
      </c>
      <c r="I15" s="23">
        <f>IF(SUM(原始数据!$F$3:$F$1002)=0,"",F15/SUM(原始数据!$F$3:$F$1002))</f>
        <v>0.007617526802440293</v>
      </c>
    </row>
    <row r="16">
      <c r="A16" s="18">
        <f>ROW()-2</f>
        <v>14</v>
      </c>
      <c r="B16" s="19" t="inlineStr">
        <is>
          <t>西南-云南</t>
        </is>
      </c>
      <c r="C16" s="22">
        <f>SUMIFS(原始数据!$F$3:$F$1002,原始数据!$B$3:$B$1002,"西南-云南")</f>
        <v>25745.91</v>
      </c>
      <c r="D16" s="22">
        <f>SUMIFS(原始数据!$I$3:$I$1002,原始数据!$B$3:$B$1002,"西南-云南")</f>
        <v>14988.095000000001</v>
      </c>
      <c r="E16" s="22">
        <f>SUMIFS(原始数据!$J$3:$J$1002,原始数据!$B$3:$B$1002,"西南-云南")</f>
        <v>8201.773</v>
      </c>
      <c r="F16" s="22">
        <f>SUMIFS(原始数据!$K$3:$K$1002,原始数据!$B$3:$B$1002,"西南-云南")</f>
        <v>6786.322</v>
      </c>
      <c r="G16" s="18">
        <f>SUMPRODUCT((原始数据!$B$3:$B$1002="西南-云南")/COUNTIFS(原始数据!$D$3:$D$1002,原始数据!$D$3:$D$1002&amp;"",原始数据!$B$3:$B$1002,原始数据!$B$3:$B$1002))</f>
        <v>26</v>
      </c>
      <c r="H16" s="24">
        <f>IF(C16=0,"",E16/C16)</f>
        <v>0.31856605573467783</v>
      </c>
      <c r="I16" s="24">
        <f>IF(SUM(原始数据!$F$3:$F$1002)=0,"",F16/SUM(原始数据!$F$3:$F$1002))</f>
        <v>0.007442154276988733</v>
      </c>
    </row>
    <row r="17">
      <c r="A17" s="13">
        <f>ROW()-2</f>
        <v>15</v>
      </c>
      <c r="B17" s="14" t="inlineStr">
        <is>
          <t>西北-陕西</t>
        </is>
      </c>
      <c r="C17" s="17">
        <f>SUMIFS(原始数据!$F$3:$F$1002,原始数据!$B$3:$B$1002,"西北-陕西")</f>
        <v>27679.206</v>
      </c>
      <c r="D17" s="17">
        <f>SUMIFS(原始数据!$I$3:$I$1002,原始数据!$B$3:$B$1002,"西北-陕西")</f>
        <v>14528.937</v>
      </c>
      <c r="E17" s="17">
        <f>SUMIFS(原始数据!$J$3:$J$1002,原始数据!$B$3:$B$1002,"西北-陕西")</f>
        <v>7775.5960000000005</v>
      </c>
      <c r="F17" s="17">
        <f>SUMIFS(原始数据!$K$3:$K$1002,原始数据!$B$3:$B$1002,"西北-陕西")</f>
        <v>6753.3409999999985</v>
      </c>
      <c r="G17" s="13">
        <f>SUMPRODUCT((原始数据!$B$3:$B$1002="西北-陕西")/COUNTIFS(原始数据!$D$3:$D$1002,原始数据!$D$3:$D$1002&amp;"",原始数据!$B$3:$B$1002,原始数据!$B$3:$B$1002))</f>
        <v>23</v>
      </c>
      <c r="H17" s="23">
        <f>IF(C17=0,"",E17/C17)</f>
        <v>0.2809183182494469</v>
      </c>
      <c r="I17" s="23">
        <f>IF(SUM(原始数据!$F$3:$F$1002)=0,"",F17/SUM(原始数据!$F$3:$F$1002))</f>
        <v>0.007405985982850998</v>
      </c>
    </row>
    <row r="18">
      <c r="A18" s="18">
        <f>ROW()-2</f>
        <v>16</v>
      </c>
      <c r="B18" s="19" t="inlineStr">
        <is>
          <t>华北-天津</t>
        </is>
      </c>
      <c r="C18" s="22">
        <f>SUMIFS(原始数据!$F$3:$F$1002,原始数据!$B$3:$B$1002,"华北-天津")</f>
        <v>31140.257</v>
      </c>
      <c r="D18" s="22">
        <f>SUMIFS(原始数据!$I$3:$I$1002,原始数据!$B$3:$B$1002,"华北-天津")</f>
        <v>11137.866000000002</v>
      </c>
      <c r="E18" s="22">
        <f>SUMIFS(原始数据!$J$3:$J$1002,原始数据!$B$3:$B$1002,"华北-天津")</f>
        <v>4656.211</v>
      </c>
      <c r="F18" s="22">
        <f>SUMIFS(原始数据!$K$3:$K$1002,原始数据!$B$3:$B$1002,"华北-天津")</f>
        <v>6481.654999999999</v>
      </c>
      <c r="G18" s="18">
        <f>SUMPRODUCT((原始数据!$B$3:$B$1002="华北-天津")/COUNTIFS(原始数据!$D$3:$D$1002,原始数据!$D$3:$D$1002&amp;"",原始数据!$B$3:$B$1002,原始数据!$B$3:$B$1002))</f>
        <v>20</v>
      </c>
      <c r="H18" s="24">
        <f>IF(C18=0,"",E18/C18)</f>
        <v>0.14952384625470497</v>
      </c>
      <c r="I18" s="24">
        <f>IF(SUM(原始数据!$F$3:$F$1002)=0,"",F18/SUM(原始数据!$F$3:$F$1002))</f>
        <v>0.0071080441629818615</v>
      </c>
    </row>
    <row r="19">
      <c r="A19" s="13">
        <f>ROW()-2</f>
        <v>17</v>
      </c>
      <c r="B19" s="14" t="inlineStr">
        <is>
          <t>西南-西藏</t>
        </is>
      </c>
      <c r="C19" s="17">
        <f>SUMIFS(原始数据!$F$3:$F$1002,原始数据!$B$3:$B$1002,"西南-西藏")</f>
        <v>24186.85</v>
      </c>
      <c r="D19" s="17">
        <f>SUMIFS(原始数据!$I$3:$I$1002,原始数据!$B$3:$B$1002,"西南-西藏")</f>
        <v>9717.623000000001</v>
      </c>
      <c r="E19" s="17">
        <f>SUMIFS(原始数据!$J$3:$J$1002,原始数据!$B$3:$B$1002,"西南-西藏")</f>
        <v>4015.605</v>
      </c>
      <c r="F19" s="17">
        <f>SUMIFS(原始数据!$K$3:$K$1002,原始数据!$B$3:$B$1002,"西南-西藏")</f>
        <v>5702.018</v>
      </c>
      <c r="G19" s="13">
        <f>SUMPRODUCT((原始数据!$B$3:$B$1002="西南-西藏")/COUNTIFS(原始数据!$D$3:$D$1002,原始数据!$D$3:$D$1002&amp;"",原始数据!$B$3:$B$1002,原始数据!$B$3:$B$1002))</f>
        <v>25</v>
      </c>
      <c r="H19" s="23">
        <f>IF(C19=0,"",E19/C19)</f>
        <v>0.16602430659635298</v>
      </c>
      <c r="I19" s="23">
        <f>IF(SUM(原始数据!$F$3:$F$1002)=0,"",F19/SUM(原始数据!$F$3:$F$1002))</f>
        <v>0.006253062799874032</v>
      </c>
    </row>
    <row r="20">
      <c r="A20" s="18">
        <f>ROW()-2</f>
        <v>18</v>
      </c>
      <c r="B20" s="19" t="inlineStr">
        <is>
          <t>西南-四川</t>
        </is>
      </c>
      <c r="C20" s="22">
        <f>SUMIFS(原始数据!$F$3:$F$1002,原始数据!$B$3:$B$1002,"西南-四川")</f>
        <v>24213.663</v>
      </c>
      <c r="D20" s="22">
        <f>SUMIFS(原始数据!$I$3:$I$1002,原始数据!$B$3:$B$1002,"西南-四川")</f>
        <v>12264.507999999998</v>
      </c>
      <c r="E20" s="22">
        <f>SUMIFS(原始数据!$J$3:$J$1002,原始数据!$B$3:$B$1002,"西南-四川")</f>
        <v>6620.790000000002</v>
      </c>
      <c r="F20" s="22">
        <f>SUMIFS(原始数据!$K$3:$K$1002,原始数据!$B$3:$B$1002,"西南-四川")</f>
        <v>5643.718000000001</v>
      </c>
      <c r="G20" s="18">
        <f>SUMPRODUCT((原始数据!$B$3:$B$1002="西南-四川")/COUNTIFS(原始数据!$D$3:$D$1002,原始数据!$D$3:$D$1002&amp;"",原始数据!$B$3:$B$1002,原始数据!$B$3:$B$1002))</f>
        <v>26</v>
      </c>
      <c r="H20" s="24">
        <f>IF(C20=0,"",E20/C20)</f>
        <v>0.2734319875518215</v>
      </c>
      <c r="I20" s="24">
        <f>IF(SUM(原始数据!$F$3:$F$1002)=0,"",F20/SUM(原始数据!$F$3:$F$1002))</f>
        <v>0.006189128669670891</v>
      </c>
    </row>
    <row r="21">
      <c r="A21" s="13">
        <f>ROW()-2</f>
        <v>19</v>
      </c>
      <c r="B21" s="14" t="inlineStr">
        <is>
          <t>东北-吉林</t>
        </is>
      </c>
      <c r="C21" s="17">
        <f>SUMIFS(原始数据!$F$3:$F$1002,原始数据!$B$3:$B$1002,"东北-吉林")</f>
        <v>26549.393000000004</v>
      </c>
      <c r="D21" s="17">
        <f>SUMIFS(原始数据!$I$3:$I$1002,原始数据!$B$3:$B$1002,"东北-吉林")</f>
        <v>14132.999</v>
      </c>
      <c r="E21" s="17">
        <f>SUMIFS(原始数据!$J$3:$J$1002,原始数据!$B$3:$B$1002,"东北-吉林")</f>
        <v>8582.346</v>
      </c>
      <c r="F21" s="17">
        <f>SUMIFS(原始数据!$K$3:$K$1002,原始数据!$B$3:$B$1002,"东北-吉林")</f>
        <v>5550.652999999999</v>
      </c>
      <c r="G21" s="13">
        <f>SUMPRODUCT((原始数据!$B$3:$B$1002="东北-吉林")/COUNTIFS(原始数据!$D$3:$D$1002,原始数据!$D$3:$D$1002&amp;"",原始数据!$B$3:$B$1002,原始数据!$B$3:$B$1002))</f>
        <v>32</v>
      </c>
      <c r="H21" s="23">
        <f>IF(C21=0,"",E21/C21)</f>
        <v>0.3232595939199061</v>
      </c>
      <c r="I21" s="23">
        <f>IF(SUM(原始数据!$F$3:$F$1002)=0,"",F21/SUM(原始数据!$F$3:$F$1002))</f>
        <v>0.006087069839012993</v>
      </c>
    </row>
    <row r="22">
      <c r="A22" s="18">
        <f>ROW()-2</f>
        <v>20</v>
      </c>
      <c r="B22" s="19" t="inlineStr">
        <is>
          <t>西北-新疆</t>
        </is>
      </c>
      <c r="C22" s="22">
        <f>SUMIFS(原始数据!$F$3:$F$1002,原始数据!$B$3:$B$1002,"西北-新疆")</f>
        <v>33689.655</v>
      </c>
      <c r="D22" s="22">
        <f>SUMIFS(原始数据!$I$3:$I$1002,原始数据!$B$3:$B$1002,"西北-新疆")</f>
        <v>13183.262999999999</v>
      </c>
      <c r="E22" s="22">
        <f>SUMIFS(原始数据!$J$3:$J$1002,原始数据!$B$3:$B$1002,"西北-新疆")</f>
        <v>8053.746</v>
      </c>
      <c r="F22" s="22">
        <f>SUMIFS(原始数据!$K$3:$K$1002,原始数据!$B$3:$B$1002,"西北-新疆")</f>
        <v>5129.517</v>
      </c>
      <c r="G22" s="18">
        <f>SUMPRODUCT((原始数据!$B$3:$B$1002="西北-新疆")/COUNTIFS(原始数据!$D$3:$D$1002,原始数据!$D$3:$D$1002&amp;"",原始数据!$B$3:$B$1002,原始数据!$B$3:$B$1002))</f>
        <v>32</v>
      </c>
      <c r="H22" s="24">
        <f>IF(C22=0,"",E22/C22)</f>
        <v>0.23905694492864354</v>
      </c>
      <c r="I22" s="24">
        <f>IF(SUM(原始数据!$F$3:$F$1002)=0,"",F22/SUM(原始数据!$F$3:$F$1002))</f>
        <v>0.0056252351244807436</v>
      </c>
    </row>
    <row r="23">
      <c r="A23" s="13">
        <f>ROW()-2</f>
        <v>21</v>
      </c>
      <c r="B23" s="14" t="inlineStr">
        <is>
          <t>华东-江西</t>
        </is>
      </c>
      <c r="C23" s="17">
        <f>SUMIFS(原始数据!$F$3:$F$1002,原始数据!$B$3:$B$1002,"华东-江西")</f>
        <v>30545.732</v>
      </c>
      <c r="D23" s="17">
        <f>SUMIFS(原始数据!$I$3:$I$1002,原始数据!$B$3:$B$1002,"华东-江西")</f>
        <v>12372.661</v>
      </c>
      <c r="E23" s="17">
        <f>SUMIFS(原始数据!$J$3:$J$1002,原始数据!$B$3:$B$1002,"华东-江西")</f>
        <v>7313.443</v>
      </c>
      <c r="F23" s="17">
        <f>SUMIFS(原始数据!$K$3:$K$1002,原始数据!$B$3:$B$1002,"华东-江西")</f>
        <v>5059.218000000001</v>
      </c>
      <c r="G23" s="13">
        <f>SUMPRODUCT((原始数据!$B$3:$B$1002="华东-江西")/COUNTIFS(原始数据!$D$3:$D$1002,原始数据!$D$3:$D$1002&amp;"",原始数据!$B$3:$B$1002,原始数据!$B$3:$B$1002))</f>
        <v>28</v>
      </c>
      <c r="H23" s="23">
        <f>IF(C23=0,"",E23/C23)</f>
        <v>0.23942601866604474</v>
      </c>
      <c r="I23" s="23">
        <f>IF(SUM(原始数据!$F$3:$F$1002)=0,"",F23/SUM(原始数据!$F$3:$F$1002))</f>
        <v>0.005548142407171128</v>
      </c>
    </row>
    <row r="24">
      <c r="A24" s="18">
        <f>ROW()-2</f>
        <v>22</v>
      </c>
      <c r="B24" s="19" t="inlineStr">
        <is>
          <t>西南-贵州</t>
        </is>
      </c>
      <c r="C24" s="22">
        <f>SUMIFS(原始数据!$F$3:$F$1002,原始数据!$B$3:$B$1002,"西南-贵州")</f>
        <v>24470.794</v>
      </c>
      <c r="D24" s="22">
        <f>SUMIFS(原始数据!$I$3:$I$1002,原始数据!$B$3:$B$1002,"西南-贵州")</f>
        <v>12150.522</v>
      </c>
      <c r="E24" s="22">
        <f>SUMIFS(原始数据!$J$3:$J$1002,原始数据!$B$3:$B$1002,"西南-贵州")</f>
        <v>7155.764999999999</v>
      </c>
      <c r="F24" s="22">
        <f>SUMIFS(原始数据!$K$3:$K$1002,原始数据!$B$3:$B$1002,"西南-贵州")</f>
        <v>4994.757</v>
      </c>
      <c r="G24" s="18">
        <f>SUMPRODUCT((原始数据!$B$3:$B$1002="西南-贵州")/COUNTIFS(原始数据!$D$3:$D$1002,原始数据!$D$3:$D$1002&amp;"",原始数据!$B$3:$B$1002,原始数据!$B$3:$B$1002))</f>
        <v>23</v>
      </c>
      <c r="H24" s="24">
        <f>IF(C24=0,"",E24/C24)</f>
        <v>0.29242063007845187</v>
      </c>
      <c r="I24" s="24">
        <f>IF(SUM(原始数据!$F$3:$F$1002)=0,"",F24/SUM(原始数据!$F$3:$F$1002))</f>
        <v>0.005477451876004322</v>
      </c>
    </row>
    <row r="25">
      <c r="A25" s="13">
        <f>ROW()-2</f>
        <v>23</v>
      </c>
      <c r="B25" s="14" t="inlineStr">
        <is>
          <t>华东-安徽</t>
        </is>
      </c>
      <c r="C25" s="17">
        <f>SUMIFS(原始数据!$F$3:$F$1002,原始数据!$B$3:$B$1002,"华东-安徽")</f>
        <v>27682.323</v>
      </c>
      <c r="D25" s="17">
        <f>SUMIFS(原始数据!$I$3:$I$1002,原始数据!$B$3:$B$1002,"华东-安徽")</f>
        <v>14272.066</v>
      </c>
      <c r="E25" s="17">
        <f>SUMIFS(原始数据!$J$3:$J$1002,原始数据!$B$3:$B$1002,"华东-安徽")</f>
        <v>9284.545</v>
      </c>
      <c r="F25" s="17">
        <f>SUMIFS(原始数据!$K$3:$K$1002,原始数据!$B$3:$B$1002,"华东-安徽")</f>
        <v>4987.521</v>
      </c>
      <c r="G25" s="13">
        <f>SUMPRODUCT((原始数据!$B$3:$B$1002="华东-安徽")/COUNTIFS(原始数据!$D$3:$D$1002,原始数据!$D$3:$D$1002&amp;"",原始数据!$B$3:$B$1002,原始数据!$B$3:$B$1002))</f>
        <v>38</v>
      </c>
      <c r="H25" s="23">
        <f>IF(C25=0,"",E25/C25)</f>
        <v>0.3353961659937282</v>
      </c>
      <c r="I25" s="23">
        <f>IF(SUM(原始数据!$F$3:$F$1002)=0,"",F25/SUM(原始数据!$F$3:$F$1002))</f>
        <v>0.00546951658670501</v>
      </c>
    </row>
    <row r="26">
      <c r="A26" s="18">
        <f>ROW()-2</f>
        <v>24</v>
      </c>
      <c r="B26" s="19" t="inlineStr">
        <is>
          <t>华东-江苏</t>
        </is>
      </c>
      <c r="C26" s="22">
        <f>SUMIFS(原始数据!$F$3:$F$1002,原始数据!$B$3:$B$1002,"华东-江苏")</f>
        <v>22046.507000000005</v>
      </c>
      <c r="D26" s="22">
        <f>SUMIFS(原始数据!$I$3:$I$1002,原始数据!$B$3:$B$1002,"华东-江苏")</f>
        <v>8983.794</v>
      </c>
      <c r="E26" s="22">
        <f>SUMIFS(原始数据!$J$3:$J$1002,原始数据!$B$3:$B$1002,"华东-江苏")</f>
        <v>4203.363</v>
      </c>
      <c r="F26" s="22">
        <f>SUMIFS(原始数据!$K$3:$K$1002,原始数据!$B$3:$B$1002,"华东-江苏")</f>
        <v>4780.4310000000005</v>
      </c>
      <c r="G26" s="18">
        <f>SUMPRODUCT((原始数据!$B$3:$B$1002="华东-江苏")/COUNTIFS(原始数据!$D$3:$D$1002,原始数据!$D$3:$D$1002&amp;"",原始数据!$B$3:$B$1002,原始数据!$B$3:$B$1002))</f>
        <v>27</v>
      </c>
      <c r="H26" s="24">
        <f>IF(C26=0,"",E26/C26)</f>
        <v>0.19065891027544632</v>
      </c>
      <c r="I26" s="24">
        <f>IF(SUM(原始数据!$F$3:$F$1002)=0,"",F26/SUM(原始数据!$F$3:$F$1002))</f>
        <v>0.00524241334444483</v>
      </c>
    </row>
    <row r="27">
      <c r="A27" s="13">
        <f>ROW()-2</f>
        <v>25</v>
      </c>
      <c r="B27" s="14" t="inlineStr">
        <is>
          <t>华中-河南</t>
        </is>
      </c>
      <c r="C27" s="17">
        <f>SUMIFS(原始数据!$F$3:$F$1002,原始数据!$B$3:$B$1002,"华中-河南")</f>
        <v>20890.272</v>
      </c>
      <c r="D27" s="17">
        <f>SUMIFS(原始数据!$I$3:$I$1002,原始数据!$B$3:$B$1002,"华中-河南")</f>
        <v>7693.409</v>
      </c>
      <c r="E27" s="17">
        <f>SUMIFS(原始数据!$J$3:$J$1002,原始数据!$B$3:$B$1002,"华中-河南")</f>
        <v>2994.906</v>
      </c>
      <c r="F27" s="17">
        <f>SUMIFS(原始数据!$K$3:$K$1002,原始数据!$B$3:$B$1002,"华中-河南")</f>
        <v>4698.503</v>
      </c>
      <c r="G27" s="13">
        <f>SUMPRODUCT((原始数据!$B$3:$B$1002="华中-河南")/COUNTIFS(原始数据!$D$3:$D$1002,原始数据!$D$3:$D$1002&amp;"",原始数据!$B$3:$B$1002,原始数据!$B$3:$B$1002))</f>
        <v>24</v>
      </c>
      <c r="H27" s="23">
        <f>IF(C27=0,"",E27/C27)</f>
        <v>0.1433636670695336</v>
      </c>
      <c r="I27" s="23">
        <f>IF(SUM(原始数据!$F$3:$F$1002)=0,"",F27/SUM(原始数据!$F$3:$F$1002))</f>
        <v>0.0051525677969442634</v>
      </c>
    </row>
    <row r="28">
      <c r="A28" s="18">
        <f>ROW()-2</f>
        <v>26</v>
      </c>
      <c r="B28" s="19" t="inlineStr">
        <is>
          <t>华东-台湾</t>
        </is>
      </c>
      <c r="C28" s="22">
        <f>SUMIFS(原始数据!$F$3:$F$1002,原始数据!$B$3:$B$1002,"华东-台湾")</f>
        <v>20022.165</v>
      </c>
      <c r="D28" s="22">
        <f>SUMIFS(原始数据!$I$3:$I$1002,原始数据!$B$3:$B$1002,"华东-台湾")</f>
        <v>8953.459</v>
      </c>
      <c r="E28" s="22">
        <f>SUMIFS(原始数据!$J$3:$J$1002,原始数据!$B$3:$B$1002,"华东-台湾")</f>
        <v>4374.622</v>
      </c>
      <c r="F28" s="22">
        <f>SUMIFS(原始数据!$K$3:$K$1002,原始数据!$B$3:$B$1002,"华东-台湾")</f>
        <v>4578.8369999999995</v>
      </c>
      <c r="G28" s="18">
        <f>SUMPRODUCT((原始数据!$B$3:$B$1002="华东-台湾")/COUNTIFS(原始数据!$D$3:$D$1002,原始数据!$D$3:$D$1002&amp;"",原始数据!$B$3:$B$1002,原始数据!$B$3:$B$1002))</f>
        <v>31</v>
      </c>
      <c r="H28" s="24">
        <f>IF(C28=0,"",E28/C28)</f>
        <v>0.21848895961051165</v>
      </c>
      <c r="I28" s="24">
        <f>IF(SUM(原始数据!$F$3:$F$1002)=0,"",F28/SUM(原始数据!$F$3:$F$1002))</f>
        <v>0.0050213372373406765</v>
      </c>
    </row>
    <row r="29">
      <c r="A29" s="13">
        <f>ROW()-2</f>
        <v>27</v>
      </c>
      <c r="B29" s="14" t="inlineStr">
        <is>
          <t>西北-青海</t>
        </is>
      </c>
      <c r="C29" s="17">
        <f>SUMIFS(原始数据!$F$3:$F$1002,原始数据!$B$3:$B$1002,"西北-青海")</f>
        <v>18747.598</v>
      </c>
      <c r="D29" s="17">
        <f>SUMIFS(原始数据!$I$3:$I$1002,原始数据!$B$3:$B$1002,"西北-青海")</f>
        <v>7919.446</v>
      </c>
      <c r="E29" s="17">
        <f>SUMIFS(原始数据!$J$3:$J$1002,原始数据!$B$3:$B$1002,"西北-青海")</f>
        <v>3639.9919999999997</v>
      </c>
      <c r="F29" s="17">
        <f>SUMIFS(原始数据!$K$3:$K$1002,原始数据!$B$3:$B$1002,"西北-青海")</f>
        <v>4279.454</v>
      </c>
      <c r="G29" s="13">
        <f>SUMPRODUCT((原始数据!$B$3:$B$1002="西北-青海")/COUNTIFS(原始数据!$D$3:$D$1002,原始数据!$D$3:$D$1002&amp;"",原始数据!$B$3:$B$1002,原始数据!$B$3:$B$1002))</f>
        <v>25</v>
      </c>
      <c r="H29" s="23">
        <f>IF(C29=0,"",E29/C29)</f>
        <v>0.1941577795726151</v>
      </c>
      <c r="I29" s="23">
        <f>IF(SUM(原始数据!$F$3:$F$1002)=0,"",F29/SUM(原始数据!$F$3:$F$1002))</f>
        <v>0.004693021770743642</v>
      </c>
    </row>
    <row r="30">
      <c r="A30" s="18">
        <f>ROW()-2</f>
        <v>28</v>
      </c>
      <c r="B30" s="19" t="inlineStr">
        <is>
          <t>西北-宁夏</t>
        </is>
      </c>
      <c r="C30" s="22">
        <f>SUMIFS(原始数据!$F$3:$F$1002,原始数据!$B$3:$B$1002,"西北-宁夏")</f>
        <v>16473.561</v>
      </c>
      <c r="D30" s="22">
        <f>SUMIFS(原始数据!$I$3:$I$1002,原始数据!$B$3:$B$1002,"西北-宁夏")</f>
        <v>10688.308</v>
      </c>
      <c r="E30" s="22">
        <f>SUMIFS(原始数据!$J$3:$J$1002,原始数据!$B$3:$B$1002,"西北-宁夏")</f>
        <v>6422.259</v>
      </c>
      <c r="F30" s="22">
        <f>SUMIFS(原始数据!$K$3:$K$1002,原始数据!$B$3:$B$1002,"西北-宁夏")</f>
        <v>4266.049</v>
      </c>
      <c r="G30" s="18">
        <f>SUMPRODUCT((原始数据!$B$3:$B$1002="西北-宁夏")/COUNTIFS(原始数据!$D$3:$D$1002,原始数据!$D$3:$D$1002&amp;"",原始数据!$B$3:$B$1002,原始数据!$B$3:$B$1002))</f>
        <v>24</v>
      </c>
      <c r="H30" s="24">
        <f>IF(C30=0,"",E30/C30)</f>
        <v>0.3898525036572238</v>
      </c>
      <c r="I30" s="24">
        <f>IF(SUM(原始数据!$F$3:$F$1002)=0,"",F30/SUM(原始数据!$F$3:$F$1002))</f>
        <v>0.004678321307358169</v>
      </c>
    </row>
    <row r="31">
      <c r="A31" s="13">
        <f>ROW()-2</f>
        <v>29</v>
      </c>
      <c r="B31" s="14" t="inlineStr">
        <is>
          <t>华南-香港</t>
        </is>
      </c>
      <c r="C31" s="17">
        <f>SUMIFS(原始数据!$F$3:$F$1002,原始数据!$B$3:$B$1002,"华南-香港")</f>
        <v>16119.062999999998</v>
      </c>
      <c r="D31" s="17">
        <f>SUMIFS(原始数据!$I$3:$I$1002,原始数据!$B$3:$B$1002,"华南-香港")</f>
        <v>7454.45</v>
      </c>
      <c r="E31" s="17">
        <f>SUMIFS(原始数据!$J$3:$J$1002,原始数据!$B$3:$B$1002,"华南-香港")</f>
        <v>3486.3410000000003</v>
      </c>
      <c r="F31" s="17">
        <f>SUMIFS(原始数据!$K$3:$K$1002,原始数据!$B$3:$B$1002,"华南-香港")</f>
        <v>3968.1090000000004</v>
      </c>
      <c r="G31" s="13">
        <f>SUMPRODUCT((原始数据!$B$3:$B$1002="华南-香港")/COUNTIFS(原始数据!$D$3:$D$1002,原始数据!$D$3:$D$1002&amp;"",原始数据!$B$3:$B$1002,原始数据!$B$3:$B$1002))</f>
        <v>32</v>
      </c>
      <c r="H31" s="23">
        <f>IF(C31=0,"",E31/C31)</f>
        <v>0.2162868275904127</v>
      </c>
      <c r="I31" s="23">
        <f>IF(SUM(原始数据!$F$3:$F$1002)=0,"",F31/SUM(原始数据!$F$3:$F$1002))</f>
        <v>0.004351588292731687</v>
      </c>
    </row>
    <row r="32">
      <c r="A32" s="18">
        <f>ROW()-2</f>
        <v>30</v>
      </c>
      <c r="B32" s="19" t="inlineStr">
        <is>
          <t>华东-上海</t>
        </is>
      </c>
      <c r="C32" s="22">
        <f>SUMIFS(原始数据!$F$3:$F$1002,原始数据!$B$3:$B$1002,"华东-上海")</f>
        <v>23529.613999999998</v>
      </c>
      <c r="D32" s="22">
        <f>SUMIFS(原始数据!$I$3:$I$1002,原始数据!$B$3:$B$1002,"华东-上海")</f>
        <v>8982.802000000001</v>
      </c>
      <c r="E32" s="22">
        <f>SUMIFS(原始数据!$J$3:$J$1002,原始数据!$B$3:$B$1002,"华东-上海")</f>
        <v>5089.979000000001</v>
      </c>
      <c r="F32" s="22">
        <f>SUMIFS(原始数据!$K$3:$K$1002,原始数据!$B$3:$B$1002,"华东-上海")</f>
        <v>3892.823000000001</v>
      </c>
      <c r="G32" s="18">
        <f>SUMPRODUCT((原始数据!$B$3:$B$1002="华东-上海")/COUNTIFS(原始数据!$D$3:$D$1002,原始数据!$D$3:$D$1002&amp;"",原始数据!$B$3:$B$1002,原始数据!$B$3:$B$1002))</f>
        <v>38</v>
      </c>
      <c r="H32" s="24">
        <f>IF(C32=0,"",E32/C32)</f>
        <v>0.2163222482102767</v>
      </c>
      <c r="I32" s="24">
        <f>IF(SUM(原始数据!$F$3:$F$1002)=0,"",F32/SUM(原始数据!$F$3:$F$1002))</f>
        <v>0.004269026630184968</v>
      </c>
    </row>
    <row r="33">
      <c r="A33" s="13">
        <f>ROW()-2</f>
        <v>31</v>
      </c>
      <c r="B33" s="14" t="inlineStr">
        <is>
          <t>华南-澳门</t>
        </is>
      </c>
      <c r="C33" s="17">
        <f>SUMIFS(原始数据!$F$3:$F$1002,原始数据!$B$3:$B$1002,"华南-澳门")</f>
        <v>35940.286000000015</v>
      </c>
      <c r="D33" s="17">
        <f>SUMIFS(原始数据!$I$3:$I$1002,原始数据!$B$3:$B$1002,"华南-澳门")</f>
        <v>8788.841999999999</v>
      </c>
      <c r="E33" s="17">
        <f>SUMIFS(原始数据!$J$3:$J$1002,原始数据!$B$3:$B$1002,"华南-澳门")</f>
        <v>4984.228</v>
      </c>
      <c r="F33" s="17">
        <f>SUMIFS(原始数据!$K$3:$K$1002,原始数据!$B$3:$B$1002,"华南-澳门")</f>
        <v>3804.614</v>
      </c>
      <c r="G33" s="13">
        <f>SUMPRODUCT((原始数据!$B$3:$B$1002="华南-澳门")/COUNTIFS(原始数据!$D$3:$D$1002,原始数据!$D$3:$D$1002&amp;"",原始数据!$B$3:$B$1002,原始数据!$B$3:$B$1002))</f>
        <v>22</v>
      </c>
      <c r="H33" s="23">
        <f>IF(C33=0,"",E33/C33)</f>
        <v>0.1386808107203153</v>
      </c>
      <c r="I33" s="23">
        <f>IF(SUM(原始数据!$F$3:$F$1002)=0,"",F33/SUM(原始数据!$F$3:$F$1002))</f>
        <v>0.004172293084883271</v>
      </c>
    </row>
    <row r="34">
      <c r="A34" s="18">
        <f>ROW()-2</f>
        <v>32</v>
      </c>
      <c r="B34" s="19" t="inlineStr">
        <is>
          <t>华北-北京</t>
        </is>
      </c>
      <c r="C34" s="22">
        <f>SUMIFS(原始数据!$F$3:$F$1002,原始数据!$B$3:$B$1002,"华北-北京")</f>
        <v>20842.291</v>
      </c>
      <c r="D34" s="22">
        <f>SUMIFS(原始数据!$I$3:$I$1002,原始数据!$B$3:$B$1002,"华北-北京")</f>
        <v>8046.157</v>
      </c>
      <c r="E34" s="22">
        <f>SUMIFS(原始数据!$J$3:$J$1002,原始数据!$B$3:$B$1002,"华北-北京")</f>
        <v>4255.314</v>
      </c>
      <c r="F34" s="22">
        <f>SUMIFS(原始数据!$K$3:$K$1002,原始数据!$B$3:$B$1002,"华北-北京")</f>
        <v>3790.843</v>
      </c>
      <c r="G34" s="18">
        <f>SUMPRODUCT((原始数据!$B$3:$B$1002="华北-北京")/COUNTIFS(原始数据!$D$3:$D$1002,原始数据!$D$3:$D$1002&amp;"",原始数据!$B$3:$B$1002,原始数据!$B$3:$B$1002))</f>
        <v>24</v>
      </c>
      <c r="H34" s="24">
        <f>IF(C34=0,"",E34/C34)</f>
        <v>0.20416728660011513</v>
      </c>
      <c r="I34" s="24">
        <f>IF(SUM(原始数据!$F$3:$F$1002)=0,"",F34/SUM(原始数据!$F$3:$F$1002))</f>
        <v>0.00415719125114352</v>
      </c>
    </row>
    <row r="35">
      <c r="A35" s="13">
        <f>ROW()-2</f>
        <v>33</v>
      </c>
      <c r="B35" s="14" t="inlineStr">
        <is>
          <t>东北-辽宁</t>
        </is>
      </c>
      <c r="C35" s="17">
        <f>SUMIFS(原始数据!$F$3:$F$1002,原始数据!$B$3:$B$1002,"东北-辽宁")</f>
        <v>16750.445</v>
      </c>
      <c r="D35" s="17">
        <f>SUMIFS(原始数据!$I$3:$I$1002,原始数据!$B$3:$B$1002,"东北-辽宁")</f>
        <v>5402.038</v>
      </c>
      <c r="E35" s="17">
        <f>SUMIFS(原始数据!$J$3:$J$1002,原始数据!$B$3:$B$1002,"东北-辽宁")</f>
        <v>2335.92</v>
      </c>
      <c r="F35" s="17">
        <f>SUMIFS(原始数据!$K$3:$K$1002,原始数据!$B$3:$B$1002,"东北-辽宁")</f>
        <v>3066.118</v>
      </c>
      <c r="G35" s="13">
        <f>SUMPRODUCT((原始数据!$B$3:$B$1002="东北-辽宁")/COUNTIFS(原始数据!$D$3:$D$1002,原始数据!$D$3:$D$1002&amp;"",原始数据!$B$3:$B$1002,原始数据!$B$3:$B$1002))</f>
        <v>31</v>
      </c>
      <c r="H35" s="23">
        <f>IF(C35=0,"",E35/C35)</f>
        <v>0.13945420554498703</v>
      </c>
      <c r="I35" s="23">
        <f>IF(SUM(原始数据!$F$3:$F$1002)=0,"",F35/SUM(原始数据!$F$3:$F$1002))</f>
        <v>0.0033624286008609875</v>
      </c>
    </row>
    <row r="36">
      <c r="A36" s="18">
        <f>ROW()-2</f>
        <v>34</v>
      </c>
      <c r="B36" s="19" t="inlineStr">
        <is>
          <t>华北-内蒙古</t>
        </is>
      </c>
      <c r="C36" s="22">
        <f>SUMIFS(原始数据!$F$3:$F$1002,原始数据!$B$3:$B$1002,"华北-内蒙古")</f>
        <v>8370.17</v>
      </c>
      <c r="D36" s="22">
        <f>SUMIFS(原始数据!$I$3:$I$1002,原始数据!$B$3:$B$1002,"华北-内蒙古")</f>
        <v>3308.223000000001</v>
      </c>
      <c r="E36" s="22">
        <f>SUMIFS(原始数据!$J$3:$J$1002,原始数据!$B$3:$B$1002,"华北-内蒙古")</f>
        <v>1615.099</v>
      </c>
      <c r="F36" s="22">
        <f>SUMIFS(原始数据!$K$3:$K$1002,原始数据!$B$3:$B$1002,"华北-内蒙古")</f>
        <v>1693.1239999999998</v>
      </c>
      <c r="G36" s="18">
        <f>SUMPRODUCT((原始数据!$B$3:$B$1002="华北-内蒙古")/COUNTIFS(原始数据!$D$3:$D$1002,原始数据!$D$3:$D$1002&amp;"",原始数据!$B$3:$B$1002,原始数据!$B$3:$B$1002))</f>
        <v>21</v>
      </c>
      <c r="H36" s="24">
        <f>IF(C36=0,"",E36/C36)</f>
        <v>0.1929589243707117</v>
      </c>
      <c r="I36" s="24">
        <f>IF(SUM(原始数据!$F$3:$F$1002)=0,"",F36/SUM(原始数据!$F$3:$F$1002))</f>
        <v>0.001856748032007952</v>
      </c>
    </row>
  </sheetData>
  <autoFilter ref="A2:I36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8" customWidth="1" style="9" min="2" max="2"/>
    <col width="14" customWidth="1" style="9" min="3" max="3"/>
    <col width="13" customWidth="1" style="9" min="4" max="4"/>
    <col width="13" customWidth="1" style="9" min="5" max="5"/>
    <col width="15" customWidth="1" style="9" min="6" max="6"/>
    <col width="9" customWidth="1" style="9" min="7" max="7"/>
    <col width="13" customWidth="1" style="9" min="8" max="8"/>
    <col width="13" customWidth="1" style="9" min="9" max="9"/>
  </cols>
  <sheetData>
    <row r="1">
      <c r="A1" s="11" t="inlineStr">
        <is>
          <t>部门维度统计分析</t>
        </is>
      </c>
    </row>
    <row r="2">
      <c r="A2" s="12" t="inlineStr">
        <is>
          <t>序号</t>
        </is>
      </c>
      <c r="B2" s="12" t="inlineStr">
        <is>
          <t>部门</t>
        </is>
      </c>
      <c r="C2" s="12" t="inlineStr">
        <is>
          <t>总合同金额</t>
        </is>
      </c>
      <c r="D2" s="12" t="inlineStr">
        <is>
          <t>总开票金额</t>
        </is>
      </c>
      <c r="E2" s="12" t="inlineStr">
        <is>
          <t>总回款合计</t>
        </is>
      </c>
      <c r="F2" s="12" t="inlineStr">
        <is>
          <t>总开票未回款</t>
        </is>
      </c>
      <c r="G2" s="12" t="inlineStr">
        <is>
          <t>合同数</t>
        </is>
      </c>
      <c r="H2" s="12" t="inlineStr">
        <is>
          <t>整体回款率</t>
        </is>
      </c>
      <c r="I2" s="12" t="inlineStr">
        <is>
          <t>未回款占比</t>
        </is>
      </c>
    </row>
    <row r="3">
      <c r="A3" s="13">
        <f>ROW()-2</f>
        <v>1</v>
      </c>
      <c r="B3" s="14" t="inlineStr">
        <is>
          <t>三部</t>
        </is>
      </c>
      <c r="C3" s="17">
        <f>SUMIFS(原始数据!$F$3:$F$1002,原始数据!$L$3:$L$1002,"三部")</f>
        <v>108997.628</v>
      </c>
      <c r="D3" s="17">
        <f>SUMIFS(原始数据!$I$3:$I$1002,原始数据!$L$3:$L$1002,"三部")</f>
        <v>50817.738</v>
      </c>
      <c r="E3" s="17">
        <f>SUMIFS(原始数据!$J$3:$J$1002,原始数据!$L$3:$L$1002,"三部")</f>
        <v>22761.749</v>
      </c>
      <c r="F3" s="17">
        <f>SUMIFS(原始数据!$K$3:$K$1002,原始数据!$L$3:$L$1002,"三部")</f>
        <v>28055.989</v>
      </c>
      <c r="G3" s="13">
        <f>SUMPRODUCT((原始数据!$L$3:$L$1002="三部")/COUNTIFS(原始数据!$D$3:$D$1002,原始数据!$D$3:$D$1002&amp;"",原始数据!$L$3:$L$1002,原始数据!$L$3:$L$1002))</f>
        <v>95</v>
      </c>
      <c r="H3" s="23">
        <f>IF(C3=0,"",E3/C3)</f>
        <v>0.20882792972338812</v>
      </c>
      <c r="I3" s="23">
        <f>IF(SUM(原始数据!$F$3:$F$1002)=0,"",F3/SUM(原始数据!$F$3:$F$1002))</f>
        <v>0.030767328536945172</v>
      </c>
    </row>
    <row r="4">
      <c r="A4" s="18">
        <f>ROW()-2</f>
        <v>2</v>
      </c>
      <c r="B4" s="19" t="inlineStr">
        <is>
          <t>五部</t>
        </is>
      </c>
      <c r="C4" s="22">
        <f>SUMIFS(原始数据!$F$3:$F$1002,原始数据!$L$3:$L$1002,"五部")</f>
        <v>98391.603</v>
      </c>
      <c r="D4" s="22">
        <f>SUMIFS(原始数据!$I$3:$I$1002,原始数据!$L$3:$L$1002,"五部")</f>
        <v>49767.647999999994</v>
      </c>
      <c r="E4" s="22">
        <f>SUMIFS(原始数据!$J$3:$J$1002,原始数据!$L$3:$L$1002,"五部")</f>
        <v>23487.015999999996</v>
      </c>
      <c r="F4" s="22">
        <f>SUMIFS(原始数据!$K$3:$K$1002,原始数据!$L$3:$L$1002,"五部")</f>
        <v>26280.631999999998</v>
      </c>
      <c r="G4" s="18">
        <f>SUMPRODUCT((原始数据!$L$3:$L$1002="五部")/COUNTIFS(原始数据!$D$3:$D$1002,原始数据!$D$3:$D$1002&amp;"",原始数据!$L$3:$L$1002,原始数据!$L$3:$L$1002))</f>
        <v>93</v>
      </c>
      <c r="H4" s="24">
        <f>IF(C4=0,"",E4/C4)</f>
        <v>0.2387095573592799</v>
      </c>
      <c r="I4" s="24">
        <f>IF(SUM(原始数据!$F$3:$F$1002)=0,"",F4/SUM(原始数据!$F$3:$F$1002))</f>
        <v>0.02882040048214142</v>
      </c>
    </row>
    <row r="5">
      <c r="A5" s="13">
        <f>ROW()-2</f>
        <v>3</v>
      </c>
      <c r="B5" s="14" t="inlineStr">
        <is>
          <t>八部</t>
        </is>
      </c>
      <c r="C5" s="17">
        <f>SUMIFS(原始数据!$F$3:$F$1002,原始数据!$L$3:$L$1002,"八部")</f>
        <v>103231.425</v>
      </c>
      <c r="D5" s="17">
        <f>SUMIFS(原始数据!$I$3:$I$1002,原始数据!$L$3:$L$1002,"八部")</f>
        <v>53270.276000000005</v>
      </c>
      <c r="E5" s="17">
        <f>SUMIFS(原始数据!$J$3:$J$1002,原始数据!$L$3:$L$1002,"八部")</f>
        <v>27009.869000000002</v>
      </c>
      <c r="F5" s="17">
        <f>SUMIFS(原始数据!$K$3:$K$1002,原始数据!$L$3:$L$1002,"八部")</f>
        <v>26260.407</v>
      </c>
      <c r="G5" s="13">
        <f>SUMPRODUCT((原始数据!$L$3:$L$1002="八部")/COUNTIFS(原始数据!$D$3:$D$1002,原始数据!$D$3:$D$1002&amp;"",原始数据!$L$3:$L$1002,原始数据!$L$3:$L$1002))</f>
        <v>85</v>
      </c>
      <c r="H5" s="23">
        <f>IF(C5=0,"",E5/C5)</f>
        <v>0.2616438647437057</v>
      </c>
      <c r="I5" s="23">
        <f>IF(SUM(原始数据!$F$3:$F$1002)=0,"",F5/SUM(原始数据!$F$3:$F$1002))</f>
        <v>0.028798220931826525</v>
      </c>
    </row>
    <row r="6">
      <c r="A6" s="18">
        <f>ROW()-2</f>
        <v>4</v>
      </c>
      <c r="B6" s="19" t="inlineStr">
        <is>
          <t>七部</t>
        </is>
      </c>
      <c r="C6" s="22">
        <f>SUMIFS(原始数据!$F$3:$F$1002,原始数据!$L$3:$L$1002,"七部")</f>
        <v>117281.76000000001</v>
      </c>
      <c r="D6" s="22">
        <f>SUMIFS(原始数据!$I$3:$I$1002,原始数据!$L$3:$L$1002,"七部")</f>
        <v>62766.86200000001</v>
      </c>
      <c r="E6" s="22">
        <f>SUMIFS(原始数据!$J$3:$J$1002,原始数据!$L$3:$L$1002,"七部")</f>
        <v>38428.22</v>
      </c>
      <c r="F6" s="22">
        <f>SUMIFS(原始数据!$K$3:$K$1002,原始数据!$L$3:$L$1002,"七部")</f>
        <v>24338.641999999996</v>
      </c>
      <c r="G6" s="18">
        <f>SUMPRODUCT((原始数据!$L$3:$L$1002="七部")/COUNTIFS(原始数据!$D$3:$D$1002,原始数据!$D$3:$D$1002&amp;"",原始数据!$L$3:$L$1002,原始数据!$L$3:$L$1002))</f>
        <v>89</v>
      </c>
      <c r="H6" s="24">
        <f>IF(C6=0,"",E6/C6)</f>
        <v>0.3276572588951598</v>
      </c>
      <c r="I6" s="24">
        <f>IF(SUM(原始数据!$F$3:$F$1002)=0,"",F6/SUM(原始数据!$F$3:$F$1002))</f>
        <v>0.02669073596218947</v>
      </c>
    </row>
    <row r="7">
      <c r="A7" s="13">
        <f>ROW()-2</f>
        <v>5</v>
      </c>
      <c r="B7" s="14" t="inlineStr">
        <is>
          <t>六部</t>
        </is>
      </c>
      <c r="C7" s="17">
        <f>SUMIFS(原始数据!$F$3:$F$1002,原始数据!$L$3:$L$1002,"六部")</f>
        <v>99473.43299999999</v>
      </c>
      <c r="D7" s="17">
        <f>SUMIFS(原始数据!$I$3:$I$1002,原始数据!$L$3:$L$1002,"六部")</f>
        <v>48784.11</v>
      </c>
      <c r="E7" s="17">
        <f>SUMIFS(原始数据!$J$3:$J$1002,原始数据!$L$3:$L$1002,"六部")</f>
        <v>24629.5</v>
      </c>
      <c r="F7" s="17">
        <f>SUMIFS(原始数据!$K$3:$K$1002,原始数据!$L$3:$L$1002,"六部")</f>
        <v>24154.61</v>
      </c>
      <c r="G7" s="13">
        <f>SUMPRODUCT((原始数据!$L$3:$L$1002="六部")/COUNTIFS(原始数据!$D$3:$D$1002,原始数据!$D$3:$D$1002&amp;"",原始数据!$L$3:$L$1002,原始数据!$L$3:$L$1002))</f>
        <v>83</v>
      </c>
      <c r="H7" s="23">
        <f>IF(C7=0,"",E7/C7)</f>
        <v>0.24759877343330458</v>
      </c>
      <c r="I7" s="23">
        <f>IF(SUM(原始数据!$F$3:$F$1002)=0,"",F7/SUM(原始数据!$F$3:$F$1002))</f>
        <v>0.026488919052248747</v>
      </c>
    </row>
    <row r="8">
      <c r="A8" s="18">
        <f>ROW()-2</f>
        <v>6</v>
      </c>
      <c r="B8" s="19" t="inlineStr">
        <is>
          <t>一部</t>
        </is>
      </c>
      <c r="C8" s="22">
        <f>SUMIFS(原始数据!$F$3:$F$1002,原始数据!$L$3:$L$1002,"一部")</f>
        <v>84389.80199999998</v>
      </c>
      <c r="D8" s="22">
        <f>SUMIFS(原始数据!$I$3:$I$1002,原始数据!$L$3:$L$1002,"一部")</f>
        <v>45247.382</v>
      </c>
      <c r="E8" s="22">
        <f>SUMIFS(原始数据!$J$3:$J$1002,原始数据!$L$3:$L$1002,"一部")</f>
        <v>26178.925999999996</v>
      </c>
      <c r="F8" s="22">
        <f>SUMIFS(原始数据!$K$3:$K$1002,原始数据!$L$3:$L$1002,"一部")</f>
        <v>19068.456</v>
      </c>
      <c r="G8" s="18">
        <f>SUMPRODUCT((原始数据!$L$3:$L$1002="一部")/COUNTIFS(原始数据!$D$3:$D$1002,原始数据!$D$3:$D$1002&amp;"",原始数据!$L$3:$L$1002,原始数据!$L$3:$L$1002))</f>
        <v>93</v>
      </c>
      <c r="H8" s="24">
        <f>IF(C8=0,"",E8/C8)</f>
        <v>0.31021433134776166</v>
      </c>
      <c r="I8" s="24">
        <f>IF(SUM(原始数据!$F$3:$F$1002)=0,"",F8/SUM(原始数据!$F$3:$F$1002))</f>
        <v>0.020911237541627326</v>
      </c>
    </row>
    <row r="9">
      <c r="A9" s="13">
        <f>ROW()-2</f>
        <v>7</v>
      </c>
      <c r="B9" s="14" t="inlineStr">
        <is>
          <t>九部</t>
        </is>
      </c>
      <c r="C9" s="17">
        <f>SUMIFS(原始数据!$F$3:$F$1002,原始数据!$L$3:$L$1002,"九部")</f>
        <v>62032.188</v>
      </c>
      <c r="D9" s="17">
        <f>SUMIFS(原始数据!$I$3:$I$1002,原始数据!$L$3:$L$1002,"九部")</f>
        <v>32632.992</v>
      </c>
      <c r="E9" s="17">
        <f>SUMIFS(原始数据!$J$3:$J$1002,原始数据!$L$3:$L$1002,"九部")</f>
        <v>14467.279999999999</v>
      </c>
      <c r="F9" s="17">
        <f>SUMIFS(原始数据!$K$3:$K$1002,原始数据!$L$3:$L$1002,"九部")</f>
        <v>18165.712</v>
      </c>
      <c r="G9" s="13">
        <f>SUMPRODUCT((原始数据!$L$3:$L$1002="九部")/COUNTIFS(原始数据!$D$3:$D$1002,原始数据!$D$3:$D$1002&amp;"",原始数据!$L$3:$L$1002,原始数据!$L$3:$L$1002))</f>
        <v>88</v>
      </c>
      <c r="H9" s="23">
        <f>IF(C9=0,"",E9/C9)</f>
        <v>0.23322214589625628</v>
      </c>
      <c r="I9" s="23">
        <f>IF(SUM(原始数据!$F$3:$F$1002)=0,"",F9/SUM(原始数据!$F$3:$F$1002))</f>
        <v>0.01992125207960152</v>
      </c>
    </row>
    <row r="10">
      <c r="A10" s="18">
        <f>ROW()-2</f>
        <v>8</v>
      </c>
      <c r="B10" s="19" t="inlineStr">
        <is>
          <t>十部</t>
        </is>
      </c>
      <c r="C10" s="22">
        <f>SUMIFS(原始数据!$F$3:$F$1002,原始数据!$L$3:$L$1002,"十部")</f>
        <v>78089.65399999998</v>
      </c>
      <c r="D10" s="22">
        <f>SUMIFS(原始数据!$I$3:$I$1002,原始数据!$L$3:$L$1002,"十部")</f>
        <v>36174.50199999999</v>
      </c>
      <c r="E10" s="22">
        <f>SUMIFS(原始数据!$J$3:$J$1002,原始数据!$L$3:$L$1002,"十部")</f>
        <v>19497.072999999997</v>
      </c>
      <c r="F10" s="22">
        <f>SUMIFS(原始数据!$K$3:$K$1002,原始数据!$L$3:$L$1002,"十部")</f>
        <v>16677.429</v>
      </c>
      <c r="G10" s="18">
        <f>SUMPRODUCT((原始数据!$L$3:$L$1002="十部")/COUNTIFS(原始数据!$D$3:$D$1002,原始数据!$D$3:$D$1002&amp;"",原始数据!$L$3:$L$1002,原始数据!$L$3:$L$1002))</f>
        <v>97</v>
      </c>
      <c r="H10" s="24">
        <f>IF(C10=0,"",E10/C10)</f>
        <v>0.24967549478449477</v>
      </c>
      <c r="I10" s="24">
        <f>IF(SUM(原始数据!$F$3:$F$1002)=0,"",F10/SUM(原始数据!$F$3:$F$1002))</f>
        <v>0.018289140945791538</v>
      </c>
    </row>
    <row r="11">
      <c r="A11" s="13">
        <f>ROW()-2</f>
        <v>9</v>
      </c>
      <c r="B11" s="14" t="inlineStr">
        <is>
          <t>四部</t>
        </is>
      </c>
      <c r="C11" s="17">
        <f>SUMIFS(原始数据!$F$3:$F$1002,原始数据!$L$3:$L$1002,"四部")</f>
        <v>73776.352</v>
      </c>
      <c r="D11" s="17">
        <f>SUMIFS(原始数据!$I$3:$I$1002,原始数据!$L$3:$L$1002,"四部")</f>
        <v>30619.633</v>
      </c>
      <c r="E11" s="17">
        <f>SUMIFS(原始数据!$J$3:$J$1002,原始数据!$L$3:$L$1002,"四部")</f>
        <v>15615.765</v>
      </c>
      <c r="F11" s="17">
        <f>SUMIFS(原始数据!$K$3:$K$1002,原始数据!$L$3:$L$1002,"四部")</f>
        <v>15003.868000000002</v>
      </c>
      <c r="G11" s="13">
        <f>SUMPRODUCT((原始数据!$L$3:$L$1002="四部")/COUNTIFS(原始数据!$D$3:$D$1002,原始数据!$D$3:$D$1002&amp;"",原始数据!$L$3:$L$1002,原始数据!$L$3:$L$1002))</f>
        <v>89</v>
      </c>
      <c r="H11" s="23">
        <f>IF(C11=0,"",E11/C11)</f>
        <v>0.21166355582341614</v>
      </c>
      <c r="I11" s="23">
        <f>IF(SUM(原始数据!$F$3:$F$1002)=0,"",F11/SUM(原始数据!$F$3:$F$1002))</f>
        <v>0.016453846488211788</v>
      </c>
    </row>
    <row r="12">
      <c r="A12" s="18">
        <f>ROW()-2</f>
        <v>10</v>
      </c>
      <c r="B12" s="19" t="inlineStr">
        <is>
          <t>二部</t>
        </is>
      </c>
      <c r="C12" s="22">
        <f>SUMIFS(原始数据!$F$3:$F$1002,原始数据!$L$3:$L$1002,"二部")</f>
        <v>86212.17199999998</v>
      </c>
      <c r="D12" s="22">
        <f>SUMIFS(原始数据!$I$3:$I$1002,原始数据!$L$3:$L$1002,"二部")</f>
        <v>32740.348000000005</v>
      </c>
      <c r="E12" s="22">
        <f>SUMIFS(原始数据!$J$3:$J$1002,原始数据!$L$3:$L$1002,"二部")</f>
        <v>19769.985</v>
      </c>
      <c r="F12" s="22">
        <f>SUMIFS(原始数据!$K$3:$K$1002,原始数据!$L$3:$L$1002,"二部")</f>
        <v>12970.362999999998</v>
      </c>
      <c r="G12" s="18">
        <f>SUMPRODUCT((原始数据!$L$3:$L$1002="二部")/COUNTIFS(原始数据!$D$3:$D$1002,原始数据!$D$3:$D$1002&amp;"",原始数据!$L$3:$L$1002,原始数据!$L$3:$L$1002))</f>
        <v>79</v>
      </c>
      <c r="H12" s="24">
        <f>IF(C12=0,"",E12/C12)</f>
        <v>0.22931779285180295</v>
      </c>
      <c r="I12" s="24">
        <f>IF(SUM(原始数据!$F$3:$F$1002)=0,"",F12/SUM(原始数据!$F$3:$F$1002))</f>
        <v>0.014223822930085898</v>
      </c>
    </row>
  </sheetData>
  <autoFilter ref="A2:I12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10" customWidth="1" style="9" min="2" max="2"/>
    <col width="14" customWidth="1" style="9" min="3" max="3"/>
    <col width="14" customWidth="1" style="9" min="4" max="4"/>
    <col width="13" customWidth="1" style="9" min="5" max="5"/>
    <col width="15" customWidth="1" style="9" min="6" max="6"/>
    <col width="9" customWidth="1" style="9" min="7" max="7"/>
    <col width="13" customWidth="1" style="9" min="8" max="8"/>
    <col width="13" customWidth="1" style="9" min="9" max="9"/>
  </cols>
  <sheetData>
    <row r="1">
      <c r="A1" s="11" t="inlineStr">
        <is>
          <t>账龄维度统计分析</t>
        </is>
      </c>
    </row>
    <row r="2">
      <c r="A2" s="12" t="inlineStr">
        <is>
          <t>序号</t>
        </is>
      </c>
      <c r="B2" s="12" t="inlineStr">
        <is>
          <t>账龄</t>
        </is>
      </c>
      <c r="C2" s="12" t="inlineStr">
        <is>
          <t>总合同金额</t>
        </is>
      </c>
      <c r="D2" s="12" t="inlineStr">
        <is>
          <t>总开票金额</t>
        </is>
      </c>
      <c r="E2" s="12" t="inlineStr">
        <is>
          <t>总回款合计</t>
        </is>
      </c>
      <c r="F2" s="12" t="inlineStr">
        <is>
          <t>总开票未回款</t>
        </is>
      </c>
      <c r="G2" s="12" t="inlineStr">
        <is>
          <t>合同数</t>
        </is>
      </c>
      <c r="H2" s="12" t="inlineStr">
        <is>
          <t>整体回款率</t>
        </is>
      </c>
      <c r="I2" s="12" t="inlineStr">
        <is>
          <t>未回款占比</t>
        </is>
      </c>
    </row>
    <row r="3">
      <c r="A3" s="13">
        <f>ROW()-2</f>
        <v>1</v>
      </c>
      <c r="B3" s="14" t="inlineStr">
        <is>
          <t>1-2年</t>
        </is>
      </c>
      <c r="C3" s="17">
        <f>SUMIFS(原始数据!$F$3:$F$1002,原始数据!$N$3:$N$1002,"1-2年")</f>
        <v>309964.044</v>
      </c>
      <c r="D3" s="17">
        <f>SUMIFS(原始数据!$I$3:$I$1002,原始数据!$N$3:$N$1002,"1-2年")</f>
        <v>161705.658</v>
      </c>
      <c r="E3" s="17">
        <f>SUMIFS(原始数据!$J$3:$J$1002,原始数据!$N$3:$N$1002,"1-2年")</f>
        <v>82777.254</v>
      </c>
      <c r="F3" s="17">
        <f>SUMIFS(原始数据!$K$3:$K$1002,原始数据!$N$3:$N$1002,"1-2年")</f>
        <v>78928.404</v>
      </c>
      <c r="G3" s="13">
        <f>SUMPRODUCT((原始数据!$N$3:$N$1002="1-2年")/COUNTIFS(原始数据!$D$3:$D$1002,原始数据!$D$3:$D$1002&amp;"",原始数据!$N$3:$N$1002,原始数据!$N$3:$N$1002))</f>
        <v>246</v>
      </c>
      <c r="H3" s="23">
        <f>IF(C3=0,"",E3/C3)</f>
        <v>0.26705437486162104</v>
      </c>
      <c r="I3" s="23">
        <f>IF(SUM(原始数据!$F$3:$F$1002)=0,"",F3/SUM(原始数据!$F$3:$F$1002))</f>
        <v>0.08655606960655485</v>
      </c>
    </row>
    <row r="4">
      <c r="A4" s="18">
        <f>ROW()-2</f>
        <v>2</v>
      </c>
      <c r="B4" s="19" t="inlineStr">
        <is>
          <t>1年以内</t>
        </is>
      </c>
      <c r="C4" s="22">
        <f>SUMIFS(原始数据!$F$3:$F$1002,原始数据!$N$3:$N$1002,"1年以内")</f>
        <v>314005.641</v>
      </c>
      <c r="D4" s="22">
        <f>SUMIFS(原始数据!$I$3:$I$1002,原始数据!$N$3:$N$1002,"1年以内")</f>
        <v>146210.44900000002</v>
      </c>
      <c r="E4" s="22">
        <f>SUMIFS(原始数据!$J$3:$J$1002,原始数据!$N$3:$N$1002,"1年以内")</f>
        <v>78169.744</v>
      </c>
      <c r="F4" s="22">
        <f>SUMIFS(原始数据!$K$3:$K$1002,原始数据!$N$3:$N$1002,"1年以内")</f>
        <v>68040.705</v>
      </c>
      <c r="G4" s="18">
        <f>SUMPRODUCT((原始数据!$N$3:$N$1002="1年以内")/COUNTIFS(原始数据!$D$3:$D$1002,原始数据!$D$3:$D$1002&amp;"",原始数据!$N$3:$N$1002,原始数据!$N$3:$N$1002))</f>
        <v>244</v>
      </c>
      <c r="H4" s="24">
        <f>IF(C4=0,"",E4/C4)</f>
        <v>0.24894375703269614</v>
      </c>
      <c r="I4" s="24">
        <f>IF(SUM(原始数据!$F$3:$F$1002)=0,"",F4/SUM(原始数据!$F$3:$F$1002))</f>
        <v>0.07461617997570387</v>
      </c>
    </row>
    <row r="5">
      <c r="A5" s="13">
        <f>ROW()-2</f>
        <v>3</v>
      </c>
      <c r="B5" s="14" t="inlineStr">
        <is>
          <t>2-3年</t>
        </is>
      </c>
      <c r="C5" s="17">
        <f>SUMIFS(原始数据!$F$3:$F$1002,原始数据!$N$3:$N$1002,"2-3年")</f>
        <v>287906.332</v>
      </c>
      <c r="D5" s="17">
        <f>SUMIFS(原始数据!$I$3:$I$1002,原始数据!$N$3:$N$1002,"2-3年")</f>
        <v>134905.38400000002</v>
      </c>
      <c r="E5" s="17">
        <f>SUMIFS(原始数据!$J$3:$J$1002,原始数据!$N$3:$N$1002,"2-3年")</f>
        <v>70898.38500000001</v>
      </c>
      <c r="F5" s="17">
        <f>SUMIFS(原始数据!$K$3:$K$1002,原始数据!$N$3:$N$1002,"2-3年")</f>
        <v>64006.998999999996</v>
      </c>
      <c r="G5" s="13">
        <f>SUMPRODUCT((原始数据!$N$3:$N$1002="2-3年")/COUNTIFS(原始数据!$D$3:$D$1002,原始数据!$D$3:$D$1002&amp;"",原始数据!$N$3:$N$1002,原始数据!$N$3:$N$1002))</f>
        <v>255</v>
      </c>
      <c r="H5" s="23">
        <f>IF(C5=0,"",E5/C5)</f>
        <v>0.24625503894787562</v>
      </c>
      <c r="I5" s="23">
        <f>IF(SUM(原始数据!$F$3:$F$1002)=0,"",F5/SUM(原始数据!$F$3:$F$1002))</f>
        <v>0.07019265536841068</v>
      </c>
    </row>
  </sheetData>
  <autoFilter ref="A2:I5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style="9" min="1" max="1"/>
    <col width="15" customWidth="1" style="9" min="2" max="2"/>
    <col width="14" customWidth="1" style="9" min="3" max="3"/>
    <col width="13" customWidth="1" style="9" min="4" max="4"/>
    <col width="13" customWidth="1" style="9" min="5" max="5"/>
    <col width="15" customWidth="1" style="9" min="6" max="6"/>
    <col width="9" customWidth="1" style="9" min="7" max="7"/>
    <col width="13" customWidth="1" style="9" min="8" max="8"/>
    <col width="13" customWidth="1" style="9" min="9" max="9"/>
  </cols>
  <sheetData>
    <row r="1">
      <c r="A1" s="11" t="inlineStr">
        <is>
          <t>客户分类维度统计分析</t>
        </is>
      </c>
    </row>
    <row r="2">
      <c r="A2" s="12" t="inlineStr">
        <is>
          <t>序号</t>
        </is>
      </c>
      <c r="B2" s="12" t="inlineStr">
        <is>
          <t>客户分类</t>
        </is>
      </c>
      <c r="C2" s="12" t="inlineStr">
        <is>
          <t>总合同金额</t>
        </is>
      </c>
      <c r="D2" s="12" t="inlineStr">
        <is>
          <t>总开票金额</t>
        </is>
      </c>
      <c r="E2" s="12" t="inlineStr">
        <is>
          <t>总回款合计</t>
        </is>
      </c>
      <c r="F2" s="12" t="inlineStr">
        <is>
          <t>总开票未回款</t>
        </is>
      </c>
      <c r="G2" s="12" t="inlineStr">
        <is>
          <t>合同数</t>
        </is>
      </c>
      <c r="H2" s="12" t="inlineStr">
        <is>
          <t>整体回款率</t>
        </is>
      </c>
      <c r="I2" s="12" t="inlineStr">
        <is>
          <t>未回款占比</t>
        </is>
      </c>
    </row>
    <row r="3">
      <c r="A3" s="13">
        <f>ROW()-2</f>
        <v>1</v>
      </c>
      <c r="B3" s="14" t="inlineStr">
        <is>
          <t>事业单位</t>
        </is>
      </c>
      <c r="C3" s="17">
        <f>SUMIFS(原始数据!$F$3:$F$1002,原始数据!$C$3:$C$1002,"事业单位")</f>
        <v>103961.476</v>
      </c>
      <c r="D3" s="17">
        <f>SUMIFS(原始数据!$I$3:$I$1002,原始数据!$C$3:$C$1002,"事业单位")</f>
        <v>51324.638000000006</v>
      </c>
      <c r="E3" s="17">
        <f>SUMIFS(原始数据!$J$3:$J$1002,原始数据!$C$3:$C$1002,"事业单位")</f>
        <v>20887.153</v>
      </c>
      <c r="F3" s="17">
        <f>SUMIFS(原始数据!$K$3:$K$1002,原始数据!$C$3:$C$1002,"事业单位")</f>
        <v>30437.484999999997</v>
      </c>
      <c r="G3" s="13">
        <f>SUMPRODUCT((原始数据!$C$3:$C$1002="事业单位")/COUNTIFS(原始数据!$D$3:$D$1002,原始数据!$D$3:$D$1002&amp;"",原始数据!$C$3:$C$1002,原始数据!$C$3:$C$1002))</f>
        <v>120</v>
      </c>
      <c r="H3" s="23">
        <f>IF(C3=0,"",E3/C3)</f>
        <v>0.20091243221671842</v>
      </c>
      <c r="I3" s="23">
        <f>IF(SUM(原始数据!$F$3:$F$1002)=0,"",F3/SUM(原始数据!$F$3:$F$1002))</f>
        <v>0.033378973053965075</v>
      </c>
    </row>
    <row r="4">
      <c r="A4" s="18">
        <f>ROW()-2</f>
        <v>2</v>
      </c>
      <c r="B4" s="19" t="inlineStr">
        <is>
          <t>基层自治组织</t>
        </is>
      </c>
      <c r="C4" s="22">
        <f>SUMIFS(原始数据!$F$3:$F$1002,原始数据!$C$3:$C$1002,"基层自治组织")</f>
        <v>120509.62299999999</v>
      </c>
      <c r="D4" s="22">
        <f>SUMIFS(原始数据!$I$3:$I$1002,原始数据!$C$3:$C$1002,"基层自治组织")</f>
        <v>66808.48199999999</v>
      </c>
      <c r="E4" s="22">
        <f>SUMIFS(原始数据!$J$3:$J$1002,原始数据!$C$3:$C$1002,"基层自治组织")</f>
        <v>36866.345</v>
      </c>
      <c r="F4" s="22">
        <f>SUMIFS(原始数据!$K$3:$K$1002,原始数据!$C$3:$C$1002,"基层自治组织")</f>
        <v>29942.137000000002</v>
      </c>
      <c r="G4" s="18">
        <f>SUMPRODUCT((原始数据!$C$3:$C$1002="基层自治组织")/COUNTIFS(原始数据!$D$3:$D$1002,原始数据!$D$3:$D$1002&amp;"",原始数据!$C$3:$C$1002,原始数据!$C$3:$C$1002))</f>
        <v>114</v>
      </c>
      <c r="H4" s="24">
        <f>IF(C4=0,"",E4/C4)</f>
        <v>0.30592034131581347</v>
      </c>
      <c r="I4" s="24">
        <f>IF(SUM(原始数据!$F$3:$F$1002)=0,"",F4/SUM(原始数据!$F$3:$F$1002))</f>
        <v>0.032835754468581446</v>
      </c>
    </row>
    <row r="5">
      <c r="A5" s="13">
        <f>ROW()-2</f>
        <v>3</v>
      </c>
      <c r="B5" s="14" t="inlineStr">
        <is>
          <t>群团组织</t>
        </is>
      </c>
      <c r="C5" s="17">
        <f>SUMIFS(原始数据!$F$3:$F$1002,原始数据!$C$3:$C$1002,"群团组织")</f>
        <v>103635.22599999998</v>
      </c>
      <c r="D5" s="17">
        <f>SUMIFS(原始数据!$I$3:$I$1002,原始数据!$C$3:$C$1002,"群团组织")</f>
        <v>56583.521</v>
      </c>
      <c r="E5" s="17">
        <f>SUMIFS(原始数据!$J$3:$J$1002,原始数据!$C$3:$C$1002,"群团组织")</f>
        <v>27195.481</v>
      </c>
      <c r="F5" s="17">
        <f>SUMIFS(原始数据!$K$3:$K$1002,原始数据!$C$3:$C$1002,"群团组织")</f>
        <v>29388.04</v>
      </c>
      <c r="G5" s="13">
        <f>SUMPRODUCT((原始数据!$C$3:$C$1002="群团组织")/COUNTIFS(原始数据!$D$3:$D$1002,原始数据!$D$3:$D$1002&amp;"",原始数据!$C$3:$C$1002,原始数据!$C$3:$C$1002))</f>
        <v>105</v>
      </c>
      <c r="H5" s="23">
        <f>IF(C5=0,"",E5/C5)</f>
        <v>0.26241541654958134</v>
      </c>
      <c r="I5" s="23">
        <f>IF(SUM(原始数据!$F$3:$F$1002)=0,"",F5/SUM(原始数据!$F$3:$F$1002))</f>
        <v>0.032228109361494485</v>
      </c>
    </row>
    <row r="6">
      <c r="A6" s="18">
        <f>ROW()-2</f>
        <v>4</v>
      </c>
      <c r="B6" s="19" t="inlineStr">
        <is>
          <t>人大政协</t>
        </is>
      </c>
      <c r="C6" s="22">
        <f>SUMIFS(原始数据!$F$3:$F$1002,原始数据!$C$3:$C$1002,"人大政协")</f>
        <v>124731.52600000001</v>
      </c>
      <c r="D6" s="22">
        <f>SUMIFS(原始数据!$I$3:$I$1002,原始数据!$C$3:$C$1002,"人大政协")</f>
        <v>55731.121</v>
      </c>
      <c r="E6" s="22">
        <f>SUMIFS(原始数据!$J$3:$J$1002,原始数据!$C$3:$C$1002,"人大政协")</f>
        <v>28625.769999999997</v>
      </c>
      <c r="F6" s="22">
        <f>SUMIFS(原始数据!$K$3:$K$1002,原始数据!$C$3:$C$1002,"人大政协")</f>
        <v>27105.351000000002</v>
      </c>
      <c r="G6" s="18">
        <f>SUMPRODUCT((原始数据!$C$3:$C$1002="人大政协")/COUNTIFS(原始数据!$D$3:$D$1002,原始数据!$D$3:$D$1002&amp;"",原始数据!$C$3:$C$1002,原始数据!$C$3:$C$1002))</f>
        <v>119</v>
      </c>
      <c r="H6" s="24">
        <f>IF(C6=0,"",E6/C6)</f>
        <v>0.22949907628004163</v>
      </c>
      <c r="I6" s="24">
        <f>IF(SUM(原始数据!$F$3:$F$1002)=0,"",F6/SUM(原始数据!$F$3:$F$1002))</f>
        <v>0.029724820583805312</v>
      </c>
    </row>
    <row r="7">
      <c r="A7" s="13">
        <f>ROW()-2</f>
        <v>5</v>
      </c>
      <c r="B7" s="14" t="inlineStr">
        <is>
          <t>党委机关</t>
        </is>
      </c>
      <c r="C7" s="17">
        <f>SUMIFS(原始数据!$F$3:$F$1002,原始数据!$C$3:$C$1002,"党委机关")</f>
        <v>121325.59300000001</v>
      </c>
      <c r="D7" s="17">
        <f>SUMIFS(原始数据!$I$3:$I$1002,原始数据!$C$3:$C$1002,"党委机关")</f>
        <v>56918.39199999999</v>
      </c>
      <c r="E7" s="17">
        <f>SUMIFS(原始数据!$J$3:$J$1002,原始数据!$C$3:$C$1002,"党委机关")</f>
        <v>31713.843</v>
      </c>
      <c r="F7" s="17">
        <f>SUMIFS(原始数据!$K$3:$K$1002,原始数据!$C$3:$C$1002,"党委机关")</f>
        <v>25204.549</v>
      </c>
      <c r="G7" s="13">
        <f>SUMPRODUCT((原始数据!$C$3:$C$1002="党委机关")/COUNTIFS(原始数据!$D$3:$D$1002,原始数据!$D$3:$D$1002&amp;"",原始数据!$C$3:$C$1002,原始数据!$C$3:$C$1002))</f>
        <v>114</v>
      </c>
      <c r="H7" s="23">
        <f>IF(C7=0,"",E7/C7)</f>
        <v>0.2613945023124676</v>
      </c>
      <c r="I7" s="23">
        <f>IF(SUM(原始数据!$F$3:$F$1002)=0,"",F7/SUM(原始数据!$F$3:$F$1002))</f>
        <v>0.027640324485033584</v>
      </c>
    </row>
    <row r="8">
      <c r="A8" s="18">
        <f>ROW()-2</f>
        <v>6</v>
      </c>
      <c r="B8" s="19" t="inlineStr">
        <is>
          <t>国有企业</t>
        </is>
      </c>
      <c r="C8" s="22">
        <f>SUMIFS(原始数据!$F$3:$F$1002,原始数据!$C$3:$C$1002,"国有企业")</f>
        <v>121854.188</v>
      </c>
      <c r="D8" s="22">
        <f>SUMIFS(原始数据!$I$3:$I$1002,原始数据!$C$3:$C$1002,"国有企业")</f>
        <v>54506.18000000001</v>
      </c>
      <c r="E8" s="22">
        <f>SUMIFS(原始数据!$J$3:$J$1002,原始数据!$C$3:$C$1002,"国有企业")</f>
        <v>30563.362999999998</v>
      </c>
      <c r="F8" s="22">
        <f>SUMIFS(原始数据!$K$3:$K$1002,原始数据!$C$3:$C$1002,"国有企业")</f>
        <v>23942.817</v>
      </c>
      <c r="G8" s="18">
        <f>SUMPRODUCT((原始数据!$C$3:$C$1002="国有企业")/COUNTIFS(原始数据!$D$3:$D$1002,原始数据!$D$3:$D$1002&amp;"",原始数据!$C$3:$C$1002,原始数据!$C$3:$C$1002))</f>
        <v>97</v>
      </c>
      <c r="H8" s="24">
        <f>IF(C8=0,"",E8/C8)</f>
        <v>0.2508191429579753</v>
      </c>
      <c r="I8" s="24">
        <f>IF(SUM(原始数据!$F$3:$F$1002)=0,"",F8/SUM(原始数据!$F$3:$F$1002))</f>
        <v>0.026256658310600135</v>
      </c>
    </row>
    <row r="9">
      <c r="A9" s="13">
        <f>ROW()-2</f>
        <v>7</v>
      </c>
      <c r="B9" s="14" t="inlineStr">
        <is>
          <t>监察司法机关</t>
        </is>
      </c>
      <c r="C9" s="17">
        <f>SUMIFS(原始数据!$F$3:$F$1002,原始数据!$C$3:$C$1002,"监察司法机关")</f>
        <v>120253.786</v>
      </c>
      <c r="D9" s="17">
        <f>SUMIFS(原始数据!$I$3:$I$1002,原始数据!$C$3:$C$1002,"监察司法机关")</f>
        <v>54848.62</v>
      </c>
      <c r="E9" s="17">
        <f>SUMIFS(原始数据!$J$3:$J$1002,原始数据!$C$3:$C$1002,"监察司法机关")</f>
        <v>32180.092</v>
      </c>
      <c r="F9" s="17">
        <f>SUMIFS(原始数据!$K$3:$K$1002,原始数据!$C$3:$C$1002,"监察司法机关")</f>
        <v>22668.528</v>
      </c>
      <c r="G9" s="13">
        <f>SUMPRODUCT((原始数据!$C$3:$C$1002="监察司法机关")/COUNTIFS(原始数据!$D$3:$D$1002,原始数据!$D$3:$D$1002&amp;"",原始数据!$C$3:$C$1002,原始数据!$C$3:$C$1002))</f>
        <v>121</v>
      </c>
      <c r="H9" s="23">
        <f>IF(C9=0,"",E9/C9)</f>
        <v>0.2676014874076397</v>
      </c>
      <c r="I9" s="23">
        <f>IF(SUM(原始数据!$F$3:$F$1002)=0,"",F9/SUM(原始数据!$F$3:$F$1002))</f>
        <v>0.024859221623765984</v>
      </c>
    </row>
    <row r="10">
      <c r="A10" s="18">
        <f>ROW()-2</f>
        <v>8</v>
      </c>
      <c r="B10" s="19" t="inlineStr">
        <is>
          <t>政府机关</t>
        </is>
      </c>
      <c r="C10" s="22">
        <f>SUMIFS(原始数据!$F$3:$F$1002,原始数据!$C$3:$C$1002,"政府机关")</f>
        <v>95604.59900000002</v>
      </c>
      <c r="D10" s="22">
        <f>SUMIFS(原始数据!$I$3:$I$1002,原始数据!$C$3:$C$1002,"政府机关")</f>
        <v>46100.537</v>
      </c>
      <c r="E10" s="22">
        <f>SUMIFS(原始数据!$J$3:$J$1002,原始数据!$C$3:$C$1002,"政府机关")</f>
        <v>23813.336000000003</v>
      </c>
      <c r="F10" s="22">
        <f>SUMIFS(原始数据!$K$3:$K$1002,原始数据!$C$3:$C$1002,"政府机关")</f>
        <v>22287.201</v>
      </c>
      <c r="G10" s="18">
        <f>SUMPRODUCT((原始数据!$C$3:$C$1002="政府机关")/COUNTIFS(原始数据!$D$3:$D$1002,原始数据!$D$3:$D$1002&amp;"",原始数据!$C$3:$C$1002,原始数据!$C$3:$C$1002))</f>
        <v>99</v>
      </c>
      <c r="H10" s="24">
        <f>IF(C10=0,"",E10/C10)</f>
        <v>0.2490814903161719</v>
      </c>
      <c r="I10" s="24">
        <f>IF(SUM(原始数据!$F$3:$F$1002)=0,"",F10/SUM(原始数据!$F$3:$F$1002))</f>
        <v>0.02444104306342339</v>
      </c>
    </row>
  </sheetData>
  <autoFilter ref="A2:I10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style="9" min="1" max="1"/>
    <col width="14" customWidth="1" style="9" min="2" max="2"/>
  </cols>
  <sheetData>
    <row r="1">
      <c r="A1" s="11" t="inlineStr">
        <is>
          <t>数据统计总览</t>
        </is>
      </c>
    </row>
    <row r="2">
      <c r="A2" s="12" t="inlineStr">
        <is>
          <t>指标</t>
        </is>
      </c>
      <c r="B2" s="12" t="inlineStr">
        <is>
          <t>数值</t>
        </is>
      </c>
    </row>
    <row r="3">
      <c r="A3" s="15" t="inlineStr">
        <is>
          <t>总合同金额（万元）</t>
        </is>
      </c>
      <c r="B3" s="17">
        <f>SUM(原始数据!$F$3:$F$1002)</f>
        <v>911876.017</v>
      </c>
    </row>
    <row r="4">
      <c r="A4" s="20" t="inlineStr">
        <is>
          <t>总开票金额（万元）</t>
        </is>
      </c>
      <c r="B4" s="22">
        <f>SUM(原始数据!$I$3:$I$1002)</f>
        <v>442821.49100000004</v>
      </c>
    </row>
    <row r="5">
      <c r="A5" s="15" t="inlineStr">
        <is>
          <t>总回款合计（万元）</t>
        </is>
      </c>
      <c r="B5" s="17">
        <f>SUM(原始数据!$J$3:$J$1002)</f>
        <v>231845.383</v>
      </c>
    </row>
    <row r="6">
      <c r="A6" s="20" t="inlineStr">
        <is>
          <t>总开票未回款（万元）</t>
        </is>
      </c>
      <c r="B6" s="22">
        <f>SUM(原始数据!$K$3:$K$1002)</f>
        <v>210976.108</v>
      </c>
    </row>
    <row r="7">
      <c r="A7" s="15" t="inlineStr">
        <is>
          <t>整体回款率</t>
        </is>
      </c>
      <c r="B7" s="23">
        <f>IF(B3=0,"",B5/B3)</f>
        <v>0.25425099320273054</v>
      </c>
    </row>
    <row r="8">
      <c r="A8" s="20" t="inlineStr">
        <is>
          <t>总合同数</t>
        </is>
      </c>
      <c r="B8" s="18">
        <f>SUMPRODUCT(1/COUNTIF(原始数据!$D$3:$D$1002,原始数据!$D$3:$D$1002&amp;""))</f>
        <v>463</v>
      </c>
    </row>
    <row r="9">
      <c r="A9" s="15" t="inlineStr">
        <is>
          <t>总数据笔数</t>
        </is>
      </c>
      <c r="B9" s="13">
        <f>COUNTA(原始数据!$A$3:$A$1002)</f>
        <v>1000</v>
      </c>
    </row>
    <row r="10">
      <c r="A10" s="20" t="inlineStr">
        <is>
          <t>未回款原因分类数</t>
        </is>
      </c>
      <c r="B10" s="18">
        <f>SUMPRODUCT((原始数据!$O$3:$O$1002&lt;&gt;"")/COUNTIF(原始数据!$O$3:$O$1002,原始数据!$O$3:$O$1002&amp;""))</f>
        <v>4</v>
      </c>
    </row>
  </sheetData>
  <autoFilter ref="A2:B10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2026-09-19T04:51:00Z</dcterms:created>
  <dcterms:modified xsi:type="dcterms:W3CDTF">2026-10-03T12:14:18Z</dcterms:modified>
  <cp:lastModifiedBy>瑰觅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{"Label":"1","ContentProducer":"001191110102MACQD9K64010000","ProduceID":"7687104180335119593","ReservedCode1":"","ContentPropagator":"","PropagateID":"","ReservedCode2":""}</vt:lpwstr>
  </property>
  <property name="ICV" fmtid="{D5CDD505-2E9C-101B-9397-08002B2CF9AE}" pid="3">
    <vt:lpwstr>F529D5D9063F4EA3A18960D89ED1684B_13</vt:lpwstr>
  </property>
  <property name="KSOProductBuildVer" fmtid="{D5CDD505-2E9C-101B-9397-08002B2CF9AE}" pid="4">
    <vt:lpwstr>2052-12.1.0.28505</vt:lpwstr>
  </property>
  <property name="CalculationRule" fmtid="{D5CDD505-2E9C-101B-9397-08002B2CF9AE}" pid="5">
    <vt:i4>0</vt:i4>
  </property>
</Properties>
</file>