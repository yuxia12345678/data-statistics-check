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原始数据" sheetId="1" state="visible" r:id="rId1"/>
    <sheet name="同产品型号合并汇总" sheetId="2" state="visible" r:id="rId2"/>
    <sheet name="月份利润汇总" sheetId="3" state="visible" r:id="rId3"/>
    <sheet name="统计总览" sheetId="4" state="visible" r:id="rId4"/>
    <sheet name="月份统计" sheetId="5" state="visible" r:id="rId5"/>
    <sheet name="产品型号统计" sheetId="6" state="visible" r:id="rId6"/>
    <sheet name="机型销售统计" sheetId="7" state="visible" r:id="rId7"/>
    <sheet name="月份×机型交叉表" sheetId="8" state="visible" r:id="rId8"/>
  </sheets>
  <definedNames>
    <definedName name="_xlnm._FilterDatabase" localSheetId="1" hidden="1">'同产品型号合并汇总'!$A$2:$G$6</definedName>
    <definedName name="_xlnm._FilterDatabase" localSheetId="2" hidden="1">'月份利润汇总'!$A$2:$E$14</definedName>
    <definedName name="_xlnm._FilterDatabase" localSheetId="3" hidden="1">'统计总览'!$A$2:$B$9</definedName>
    <definedName name="_xlnm._FilterDatabase" localSheetId="4" hidden="1">'月份统计'!$A$2:$I$14</definedName>
    <definedName name="_xlnm._FilterDatabase" localSheetId="5" hidden="1">'产品型号统计'!$A$2:$I$6</definedName>
    <definedName name="_xlnm._FilterDatabase" localSheetId="6" hidden="1">'机型销售统计'!$A$2:$I$7</definedName>
    <definedName name="_xlnm._FilterDatabase" localSheetId="7" hidden="1">'月份×机型交叉表'!$A$2:$F$15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¥#,##0"/>
    <numFmt numFmtId="165" formatCode="#,##0.00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微软雅黑"/>
      <charset val="1"/>
      <family val="0"/>
      <b val="1"/>
      <sz val="16"/>
    </font>
    <font>
      <name val="Noto Sans CJK SC"/>
      <family val="2"/>
      <b val="1"/>
      <sz val="16"/>
    </font>
    <font>
      <name val="Noto Sans CJK SC"/>
      <family val="2"/>
      <color rgb="FF666666"/>
      <sz val="10"/>
    </font>
    <font>
      <name val="微软雅黑"/>
      <charset val="1"/>
      <family val="0"/>
      <color rgb="FF666666"/>
      <sz val="10"/>
    </font>
    <font>
      <name val="Noto Sans CJK SC"/>
      <family val="2"/>
      <b val="1"/>
      <color rgb="FFFFFFFF"/>
      <sz val="11"/>
    </font>
    <font>
      <name val="微软雅黑"/>
      <charset val="1"/>
      <family val="0"/>
      <b val="1"/>
      <color rgb="FFFFFFFF"/>
      <sz val="11"/>
    </font>
    <font>
      <name val="微软雅黑"/>
      <charset val="1"/>
      <family val="0"/>
      <sz val="10"/>
    </font>
    <font>
      <name val="Noto Sans CJK SC"/>
      <family val="2"/>
      <sz val="10"/>
    </font>
    <font>
      <b val="1"/>
      <color rgb="FFFFFFFF"/>
      <sz val="14"/>
    </font>
    <font>
      <b val="1"/>
      <color rgb="FFFFFFFF"/>
    </font>
    <font>
      <b val="1"/>
    </font>
  </fonts>
  <fills count="7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8F0FE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0070C0"/>
        <bgColor rgb="FF0070C0"/>
      </patternFill>
    </fill>
    <fill>
      <patternFill patternType="solid">
        <fgColor rgb="FFEBF1F8"/>
        <bgColor rgb="FFEBF1F8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3" fontId="10" fillId="3" borderId="1" applyAlignment="1" pivotButton="0" quotePrefix="0" xfId="0">
      <alignment horizontal="center" vertical="center" wrapText="1"/>
    </xf>
    <xf numFmtId="164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3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164" fontId="9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3" fontId="10" fillId="3" borderId="1" applyAlignment="1" pivotButton="0" quotePrefix="0" xfId="0">
      <alignment horizontal="center" vertical="center" wrapText="1"/>
    </xf>
    <xf numFmtId="164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0" fillId="0" borderId="4" pivotButton="0" quotePrefix="0" xfId="0"/>
    <xf numFmtId="3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164" fontId="9" fillId="2" borderId="1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1" fontId="0" fillId="6" borderId="5" applyAlignment="1" pivotButton="0" quotePrefix="0" xfId="0">
      <alignment horizontal="right" vertical="center"/>
    </xf>
    <xf numFmtId="0" fontId="0" fillId="6" borderId="5" applyAlignment="1" pivotButton="0" quotePrefix="0" xfId="0">
      <alignment horizontal="center" vertical="center"/>
    </xf>
    <xf numFmtId="165" fontId="0" fillId="6" borderId="5" applyAlignment="1" pivotButton="0" quotePrefix="0" xfId="0">
      <alignment horizontal="right" vertical="center"/>
    </xf>
    <xf numFmtId="1" fontId="0" fillId="0" borderId="5" applyAlignment="1" pivotButton="0" quotePrefix="0" xfId="0">
      <alignment horizontal="right" vertical="center"/>
    </xf>
    <xf numFmtId="0" fontId="0" fillId="0" borderId="5" applyAlignment="1" pivotButton="0" quotePrefix="0" xfId="0">
      <alignment horizontal="center" vertical="center"/>
    </xf>
    <xf numFmtId="165" fontId="0" fillId="0" borderId="5" applyAlignment="1" pivotButton="0" quotePrefix="0" xfId="0">
      <alignment horizontal="right" vertical="center"/>
    </xf>
    <xf numFmtId="10" fontId="0" fillId="6" borderId="5" applyAlignment="1" pivotButton="0" quotePrefix="0" xfId="0">
      <alignment horizontal="right" vertical="center"/>
    </xf>
    <xf numFmtId="10" fontId="0" fillId="0" borderId="5" applyAlignment="1" pivotButton="0" quotePrefix="0" xfId="0">
      <alignment horizontal="right" vertical="center"/>
    </xf>
    <xf numFmtId="0" fontId="0" fillId="6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1" fontId="14" fillId="6" borderId="5" applyAlignment="1" pivotButton="0" quotePrefix="0" xfId="0">
      <alignment horizontal="right" vertical="center"/>
    </xf>
    <xf numFmtId="0" fontId="14" fillId="6" borderId="5" applyAlignment="1" pivotButton="0" quotePrefix="0" xfId="0">
      <alignment horizontal="center" vertical="center"/>
    </xf>
    <xf numFmtId="165" fontId="14" fillId="6" borderId="5" applyAlignment="1" pivotButton="0" quotePrefix="0" xfId="0">
      <alignment horizontal="right" vertical="center"/>
    </xf>
    <xf numFmtId="10" fontId="14" fillId="6" borderId="5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FDE9D9"/>
          <bgColor rgb="FFFDE9D9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BF1DE"/>
          <bgColor rgb="FFEBF1DE"/>
        </patternFill>
      </fill>
    </dxf>
    <dxf>
      <fill>
        <patternFill patternType="solid">
          <fgColor rgb="FFE4DFEC"/>
          <bgColor rgb="FFE4DFEC"/>
        </patternFill>
      </fill>
    </dxf>
    <dxf>
      <fill>
        <patternFill patternType="solid">
          <fgColor rgb="FFF2DCDB"/>
          <bgColor rgb="FFF2DCDB"/>
        </patternFill>
      </fill>
    </dxf>
    <dxf>
      <fill>
        <patternFill patternType="solid">
          <fgColor rgb="FFDAEEF3"/>
          <bgColor rgb="FFDAEEF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AF1DD"/>
          <bgColor rgb="FFEAF1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5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6" min="1" max="1"/>
    <col width="18" customWidth="1" style="16" min="2" max="2"/>
    <col width="22" customWidth="1" style="16" min="3" max="3"/>
    <col width="11" customWidth="1" style="16" min="4" max="4"/>
    <col width="22" customWidth="1" style="16" min="5" max="7"/>
  </cols>
  <sheetData>
    <row r="1" ht="36" customHeight="1" s="17">
      <c r="A1" s="18" t="inlineStr">
        <is>
          <t>2025年度智能手表销售报表</t>
        </is>
      </c>
    </row>
    <row r="2" ht="21.75" customHeight="1" s="17">
      <c r="A2" s="19" t="inlineStr">
        <is>
          <t>报表日期：2026年10月10日    制表单位：星辰科技有限公司</t>
        </is>
      </c>
    </row>
    <row r="3" ht="27.75" customHeight="1" s="17">
      <c r="A3" s="20" t="inlineStr">
        <is>
          <t>月份</t>
        </is>
      </c>
      <c r="B3" s="20" t="inlineStr">
        <is>
          <t>产品型号</t>
        </is>
      </c>
      <c r="C3" s="20" t="inlineStr">
        <is>
          <t>销售数量(只)</t>
        </is>
      </c>
      <c r="D3" s="20" t="inlineStr">
        <is>
          <t>单价(元)</t>
        </is>
      </c>
      <c r="E3" s="20" t="inlineStr">
        <is>
          <t>销售金额(元)</t>
        </is>
      </c>
      <c r="F3" s="20" t="inlineStr">
        <is>
          <t>成本(元)</t>
        </is>
      </c>
      <c r="G3" s="20" t="inlineStr">
        <is>
          <t>利润(元)</t>
        </is>
      </c>
    </row>
    <row r="4" ht="15" customHeight="1" s="17">
      <c r="A4" s="21" t="inlineStr">
        <is>
          <t>2025年1月</t>
        </is>
      </c>
      <c r="B4" s="21" t="inlineStr">
        <is>
          <t>StarWatch Pro</t>
        </is>
      </c>
      <c r="C4" s="22" t="n">
        <v>407</v>
      </c>
      <c r="D4" s="23" t="n">
        <v>1999</v>
      </c>
      <c r="E4" s="24" t="n">
        <v>813593</v>
      </c>
      <c r="F4" s="24" t="n">
        <v>447700</v>
      </c>
      <c r="G4" s="24" t="n">
        <v>365893</v>
      </c>
    </row>
    <row r="5" ht="15" customHeight="1" s="17">
      <c r="A5" s="25" t="inlineStr">
        <is>
          <t>2025年1月</t>
        </is>
      </c>
      <c r="B5" s="25" t="inlineStr">
        <is>
          <t>StarWatch Lite</t>
        </is>
      </c>
      <c r="C5" s="26" t="n">
        <v>137</v>
      </c>
      <c r="D5" s="27" t="n">
        <v>699</v>
      </c>
      <c r="E5" s="28" t="n">
        <v>95763</v>
      </c>
      <c r="F5" s="28" t="n">
        <v>52060</v>
      </c>
      <c r="G5" s="28" t="n">
        <v>43703</v>
      </c>
    </row>
    <row r="6" ht="15" customHeight="1" s="17">
      <c r="A6" s="21" t="inlineStr">
        <is>
          <t>2025年1月</t>
        </is>
      </c>
      <c r="B6" s="21" t="inlineStr">
        <is>
          <t>StarWatch SE</t>
        </is>
      </c>
      <c r="C6" s="22" t="n">
        <v>92</v>
      </c>
      <c r="D6" s="23" t="n">
        <v>999</v>
      </c>
      <c r="E6" s="24" t="n">
        <v>91908</v>
      </c>
      <c r="F6" s="24" t="n">
        <v>50600</v>
      </c>
      <c r="G6" s="24" t="n">
        <v>41308</v>
      </c>
    </row>
    <row r="7" ht="15" customHeight="1" s="17">
      <c r="A7" s="25" t="inlineStr">
        <is>
          <t>2025年1月</t>
        </is>
      </c>
      <c r="B7" s="25" t="inlineStr">
        <is>
          <t>StarWatch Ultra</t>
        </is>
      </c>
      <c r="C7" s="26" t="n">
        <v>459</v>
      </c>
      <c r="D7" s="27" t="n">
        <v>2999</v>
      </c>
      <c r="E7" s="28" t="n">
        <v>1376541</v>
      </c>
      <c r="F7" s="28" t="n">
        <v>826200</v>
      </c>
      <c r="G7" s="28" t="n">
        <v>550341</v>
      </c>
    </row>
    <row r="8" ht="15" customHeight="1" s="17">
      <c r="A8" s="21" t="inlineStr">
        <is>
          <t>2025年2月</t>
        </is>
      </c>
      <c r="B8" s="21" t="inlineStr">
        <is>
          <t>StarWatch Pro</t>
        </is>
      </c>
      <c r="C8" s="22" t="n">
        <v>220</v>
      </c>
      <c r="D8" s="23" t="n">
        <v>1999</v>
      </c>
      <c r="E8" s="24" t="n">
        <v>439780</v>
      </c>
      <c r="F8" s="24" t="n">
        <v>242000</v>
      </c>
      <c r="G8" s="24" t="n">
        <v>197780</v>
      </c>
    </row>
    <row r="9" ht="15" customHeight="1" s="17">
      <c r="A9" s="25" t="inlineStr">
        <is>
          <t>2025年2月</t>
        </is>
      </c>
      <c r="B9" s="25" t="inlineStr">
        <is>
          <t>StarWatch Lite</t>
        </is>
      </c>
      <c r="C9" s="26" t="n">
        <v>205</v>
      </c>
      <c r="D9" s="27" t="n">
        <v>699</v>
      </c>
      <c r="E9" s="28" t="n">
        <v>143295</v>
      </c>
      <c r="F9" s="28" t="n">
        <v>77900</v>
      </c>
      <c r="G9" s="28" t="n">
        <v>65395</v>
      </c>
    </row>
    <row r="10" ht="15" customHeight="1" s="17">
      <c r="A10" s="21" t="inlineStr">
        <is>
          <t>2025年2月</t>
        </is>
      </c>
      <c r="B10" s="21" t="inlineStr">
        <is>
          <t>StarWatch SE</t>
        </is>
      </c>
      <c r="C10" s="22" t="n">
        <v>194</v>
      </c>
      <c r="D10" s="23" t="n">
        <v>999</v>
      </c>
      <c r="E10" s="24" t="n">
        <v>193806</v>
      </c>
      <c r="F10" s="24" t="n">
        <v>106700</v>
      </c>
      <c r="G10" s="24" t="n">
        <v>87106</v>
      </c>
    </row>
    <row r="11" ht="15" customHeight="1" s="17">
      <c r="A11" s="25" t="inlineStr">
        <is>
          <t>2025年2月</t>
        </is>
      </c>
      <c r="B11" s="25" t="inlineStr">
        <is>
          <t>StarWatch Ultra</t>
        </is>
      </c>
      <c r="C11" s="26" t="n">
        <v>151</v>
      </c>
      <c r="D11" s="27" t="n">
        <v>2999</v>
      </c>
      <c r="E11" s="28" t="n">
        <v>452849</v>
      </c>
      <c r="F11" s="28" t="n">
        <v>271800</v>
      </c>
      <c r="G11" s="28" t="n">
        <v>181049</v>
      </c>
    </row>
    <row r="12" ht="15" customHeight="1" s="17">
      <c r="A12" s="21" t="inlineStr">
        <is>
          <t>2025年3月</t>
        </is>
      </c>
      <c r="B12" s="21" t="inlineStr">
        <is>
          <t>StarWatch Pro</t>
        </is>
      </c>
      <c r="C12" s="22" t="n">
        <v>457</v>
      </c>
      <c r="D12" s="23" t="n">
        <v>1999</v>
      </c>
      <c r="E12" s="24" t="n">
        <v>913543</v>
      </c>
      <c r="F12" s="24" t="n">
        <v>502700</v>
      </c>
      <c r="G12" s="24" t="n">
        <v>410843</v>
      </c>
    </row>
    <row r="13" ht="15" customHeight="1" s="17">
      <c r="A13" s="25" t="inlineStr">
        <is>
          <t>2025年3月</t>
        </is>
      </c>
      <c r="B13" s="25" t="inlineStr">
        <is>
          <t>StarWatch Lite</t>
        </is>
      </c>
      <c r="C13" s="26" t="n">
        <v>132</v>
      </c>
      <c r="D13" s="27" t="n">
        <v>699</v>
      </c>
      <c r="E13" s="28" t="n">
        <v>92268</v>
      </c>
      <c r="F13" s="28" t="n">
        <v>50160</v>
      </c>
      <c r="G13" s="28" t="n">
        <v>42108</v>
      </c>
    </row>
    <row r="14" ht="15" customHeight="1" s="17">
      <c r="A14" s="21" t="inlineStr">
        <is>
          <t>2025年3月</t>
        </is>
      </c>
      <c r="B14" s="21" t="inlineStr">
        <is>
          <t>StarWatch SE</t>
        </is>
      </c>
      <c r="C14" s="22" t="n">
        <v>426</v>
      </c>
      <c r="D14" s="23" t="n">
        <v>999</v>
      </c>
      <c r="E14" s="24" t="n">
        <v>425574</v>
      </c>
      <c r="F14" s="24" t="n">
        <v>234300</v>
      </c>
      <c r="G14" s="24" t="n">
        <v>191274</v>
      </c>
    </row>
    <row r="15" ht="15" customHeight="1" s="17">
      <c r="A15" s="25" t="inlineStr">
        <is>
          <t>2025年3月</t>
        </is>
      </c>
      <c r="B15" s="25" t="inlineStr">
        <is>
          <t>StarWatch Ultra</t>
        </is>
      </c>
      <c r="C15" s="26" t="n">
        <v>459</v>
      </c>
      <c r="D15" s="27" t="n">
        <v>2999</v>
      </c>
      <c r="E15" s="28" t="n">
        <v>1376541</v>
      </c>
      <c r="F15" s="28" t="n">
        <v>826200</v>
      </c>
      <c r="G15" s="28" t="n">
        <v>550341</v>
      </c>
    </row>
    <row r="16" ht="15" customHeight="1" s="17">
      <c r="A16" s="21" t="inlineStr">
        <is>
          <t>2025年4月</t>
        </is>
      </c>
      <c r="B16" s="21" t="inlineStr">
        <is>
          <t>StarWatch Pro</t>
        </is>
      </c>
      <c r="C16" s="22" t="n">
        <v>359</v>
      </c>
      <c r="D16" s="23" t="n">
        <v>1999</v>
      </c>
      <c r="E16" s="24" t="n">
        <v>717641</v>
      </c>
      <c r="F16" s="24" t="n">
        <v>394900</v>
      </c>
      <c r="G16" s="24" t="n">
        <v>322741</v>
      </c>
    </row>
    <row r="17" ht="15" customHeight="1" s="17">
      <c r="A17" s="25" t="inlineStr">
        <is>
          <t>2025年4月</t>
        </is>
      </c>
      <c r="B17" s="25" t="inlineStr">
        <is>
          <t>StarWatch Lite</t>
        </is>
      </c>
      <c r="C17" s="26" t="n">
        <v>124</v>
      </c>
      <c r="D17" s="27" t="n">
        <v>699</v>
      </c>
      <c r="E17" s="28" t="n">
        <v>86676</v>
      </c>
      <c r="F17" s="28" t="n">
        <v>47120</v>
      </c>
      <c r="G17" s="28" t="n">
        <v>39556</v>
      </c>
    </row>
    <row r="18" ht="15" customHeight="1" s="17">
      <c r="A18" s="21" t="inlineStr">
        <is>
          <t>2025年4月</t>
        </is>
      </c>
      <c r="B18" s="21" t="inlineStr">
        <is>
          <t>StarWatch SE</t>
        </is>
      </c>
      <c r="C18" s="22" t="n">
        <v>382</v>
      </c>
      <c r="D18" s="23" t="n">
        <v>999</v>
      </c>
      <c r="E18" s="24" t="n">
        <v>381618</v>
      </c>
      <c r="F18" s="24" t="n">
        <v>210100</v>
      </c>
      <c r="G18" s="24" t="n">
        <v>171518</v>
      </c>
    </row>
    <row r="19" ht="15" customHeight="1" s="17">
      <c r="A19" s="25" t="inlineStr">
        <is>
          <t>2025年4月</t>
        </is>
      </c>
      <c r="B19" s="25" t="inlineStr">
        <is>
          <t>StarWatch Ultra</t>
        </is>
      </c>
      <c r="C19" s="26" t="n">
        <v>296</v>
      </c>
      <c r="D19" s="27" t="n">
        <v>2999</v>
      </c>
      <c r="E19" s="28" t="n">
        <v>887704</v>
      </c>
      <c r="F19" s="28" t="n">
        <v>532800</v>
      </c>
      <c r="G19" s="28" t="n">
        <v>354904</v>
      </c>
    </row>
    <row r="20" ht="15" customHeight="1" s="17">
      <c r="A20" s="21" t="inlineStr">
        <is>
          <t>2025年5月</t>
        </is>
      </c>
      <c r="B20" s="21" t="inlineStr">
        <is>
          <t>StarWatch Pro</t>
        </is>
      </c>
      <c r="C20" s="22" t="n">
        <v>96</v>
      </c>
      <c r="D20" s="23" t="n">
        <v>1999</v>
      </c>
      <c r="E20" s="24" t="n">
        <v>191904</v>
      </c>
      <c r="F20" s="24" t="n">
        <v>105600</v>
      </c>
      <c r="G20" s="24" t="n">
        <v>86304</v>
      </c>
    </row>
    <row r="21" ht="15" customHeight="1" s="17">
      <c r="A21" s="25" t="inlineStr">
        <is>
          <t>2025年5月</t>
        </is>
      </c>
      <c r="B21" s="25" t="inlineStr">
        <is>
          <t>StarWatch Lite</t>
        </is>
      </c>
      <c r="C21" s="26" t="n">
        <v>95</v>
      </c>
      <c r="D21" s="27" t="n">
        <v>699</v>
      </c>
      <c r="E21" s="28" t="n">
        <v>66405</v>
      </c>
      <c r="F21" s="28" t="n">
        <v>36100</v>
      </c>
      <c r="G21" s="28" t="n">
        <v>30305</v>
      </c>
    </row>
    <row r="22" ht="15" customHeight="1" s="17">
      <c r="A22" s="21" t="inlineStr">
        <is>
          <t>2025年5月</t>
        </is>
      </c>
      <c r="B22" s="21" t="inlineStr">
        <is>
          <t>StarWatch SE</t>
        </is>
      </c>
      <c r="C22" s="22" t="n">
        <v>127</v>
      </c>
      <c r="D22" s="23" t="n">
        <v>999</v>
      </c>
      <c r="E22" s="24" t="n">
        <v>126873</v>
      </c>
      <c r="F22" s="24" t="n">
        <v>69850</v>
      </c>
      <c r="G22" s="24" t="n">
        <v>57023</v>
      </c>
    </row>
    <row r="23" ht="15" customHeight="1" s="17">
      <c r="A23" s="25" t="inlineStr">
        <is>
          <t>2025年5月</t>
        </is>
      </c>
      <c r="B23" s="25" t="inlineStr">
        <is>
          <t>StarWatch Ultra</t>
        </is>
      </c>
      <c r="C23" s="26" t="n">
        <v>191</v>
      </c>
      <c r="D23" s="27" t="n">
        <v>2999</v>
      </c>
      <c r="E23" s="28" t="n">
        <v>572809</v>
      </c>
      <c r="F23" s="28" t="n">
        <v>343800</v>
      </c>
      <c r="G23" s="28" t="n">
        <v>229009</v>
      </c>
    </row>
    <row r="24" ht="15" customHeight="1" s="17">
      <c r="A24" s="21" t="inlineStr">
        <is>
          <t>2025年6月</t>
        </is>
      </c>
      <c r="B24" s="21" t="inlineStr">
        <is>
          <t>StarWatch Pro</t>
        </is>
      </c>
      <c r="C24" s="22" t="n">
        <v>199</v>
      </c>
      <c r="D24" s="23" t="n">
        <v>1999</v>
      </c>
      <c r="E24" s="24" t="n">
        <v>397801</v>
      </c>
      <c r="F24" s="24" t="n">
        <v>218900</v>
      </c>
      <c r="G24" s="24" t="n">
        <v>178901</v>
      </c>
    </row>
    <row r="25" ht="15" customHeight="1" s="17">
      <c r="A25" s="25" t="inlineStr">
        <is>
          <t>2025年6月</t>
        </is>
      </c>
      <c r="B25" s="25" t="inlineStr">
        <is>
          <t>StarWatch Lite</t>
        </is>
      </c>
      <c r="C25" s="26" t="n">
        <v>338</v>
      </c>
      <c r="D25" s="27" t="n">
        <v>699</v>
      </c>
      <c r="E25" s="28" t="n">
        <v>236262</v>
      </c>
      <c r="F25" s="28" t="n">
        <v>128440</v>
      </c>
      <c r="G25" s="28" t="n">
        <v>107822</v>
      </c>
    </row>
    <row r="26" ht="15" customHeight="1" s="17">
      <c r="A26" s="21" t="inlineStr">
        <is>
          <t>2025年6月</t>
        </is>
      </c>
      <c r="B26" s="21" t="inlineStr">
        <is>
          <t>StarWatch SE</t>
        </is>
      </c>
      <c r="C26" s="22" t="n">
        <v>388</v>
      </c>
      <c r="D26" s="23" t="n">
        <v>999</v>
      </c>
      <c r="E26" s="24" t="n">
        <v>387612</v>
      </c>
      <c r="F26" s="24" t="n">
        <v>213400</v>
      </c>
      <c r="G26" s="24" t="n">
        <v>174212</v>
      </c>
    </row>
    <row r="27" ht="15" customHeight="1" s="17">
      <c r="A27" s="25" t="inlineStr">
        <is>
          <t>2025年6月</t>
        </is>
      </c>
      <c r="B27" s="25" t="inlineStr">
        <is>
          <t>StarWatch Ultra</t>
        </is>
      </c>
      <c r="C27" s="26" t="n">
        <v>93</v>
      </c>
      <c r="D27" s="27" t="n">
        <v>2999</v>
      </c>
      <c r="E27" s="28" t="n">
        <v>278907</v>
      </c>
      <c r="F27" s="28" t="n">
        <v>167400</v>
      </c>
      <c r="G27" s="28" t="n">
        <v>111507</v>
      </c>
    </row>
    <row r="28" ht="15" customHeight="1" s="17">
      <c r="A28" s="21" t="inlineStr">
        <is>
          <t>2025年7月</t>
        </is>
      </c>
      <c r="B28" s="21" t="inlineStr">
        <is>
          <t>StarWatch Pro</t>
        </is>
      </c>
      <c r="C28" s="22" t="n">
        <v>367</v>
      </c>
      <c r="D28" s="23" t="n">
        <v>1999</v>
      </c>
      <c r="E28" s="24" t="n">
        <v>733633</v>
      </c>
      <c r="F28" s="24" t="n">
        <v>403700</v>
      </c>
      <c r="G28" s="24" t="n">
        <v>329933</v>
      </c>
    </row>
    <row r="29" ht="15" customHeight="1" s="17">
      <c r="A29" s="25" t="inlineStr">
        <is>
          <t>2025年7月</t>
        </is>
      </c>
      <c r="B29" s="25" t="inlineStr">
        <is>
          <t>StarWatch Lite</t>
        </is>
      </c>
      <c r="C29" s="26" t="n">
        <v>181</v>
      </c>
      <c r="D29" s="27" t="n">
        <v>699</v>
      </c>
      <c r="E29" s="28" t="n">
        <v>126519</v>
      </c>
      <c r="F29" s="28" t="n">
        <v>68780</v>
      </c>
      <c r="G29" s="28" t="n">
        <v>57739</v>
      </c>
    </row>
    <row r="30" ht="15" customHeight="1" s="17">
      <c r="A30" s="21" t="inlineStr">
        <is>
          <t>2025年7月</t>
        </is>
      </c>
      <c r="B30" s="21" t="inlineStr">
        <is>
          <t>StarWatch SE</t>
        </is>
      </c>
      <c r="C30" s="22" t="n">
        <v>446</v>
      </c>
      <c r="D30" s="23" t="n">
        <v>999</v>
      </c>
      <c r="E30" s="24" t="n">
        <v>445554</v>
      </c>
      <c r="F30" s="24" t="n">
        <v>245300</v>
      </c>
      <c r="G30" s="24" t="n">
        <v>200254</v>
      </c>
    </row>
    <row r="31" ht="15" customHeight="1" s="17">
      <c r="A31" s="25" t="inlineStr">
        <is>
          <t>2025年7月</t>
        </is>
      </c>
      <c r="B31" s="25" t="inlineStr">
        <is>
          <t>StarWatch Ultra</t>
        </is>
      </c>
      <c r="C31" s="26" t="n">
        <v>412</v>
      </c>
      <c r="D31" s="27" t="n">
        <v>2999</v>
      </c>
      <c r="E31" s="28" t="n">
        <v>1235588</v>
      </c>
      <c r="F31" s="28" t="n">
        <v>741600</v>
      </c>
      <c r="G31" s="28" t="n">
        <v>493988</v>
      </c>
    </row>
    <row r="32" ht="15" customHeight="1" s="17">
      <c r="A32" s="21" t="inlineStr">
        <is>
          <t>2025年8月</t>
        </is>
      </c>
      <c r="B32" s="21" t="inlineStr">
        <is>
          <t>StarWatch Pro</t>
        </is>
      </c>
      <c r="C32" s="22" t="n">
        <v>439</v>
      </c>
      <c r="D32" s="23" t="n">
        <v>1999</v>
      </c>
      <c r="E32" s="24" t="n">
        <v>877561</v>
      </c>
      <c r="F32" s="24" t="n">
        <v>482900</v>
      </c>
      <c r="G32" s="24" t="n">
        <v>394661</v>
      </c>
    </row>
    <row r="33" ht="15" customHeight="1" s="17">
      <c r="A33" s="25" t="inlineStr">
        <is>
          <t>2025年8月</t>
        </is>
      </c>
      <c r="B33" s="25" t="inlineStr">
        <is>
          <t>StarWatch Lite</t>
        </is>
      </c>
      <c r="C33" s="26" t="n">
        <v>359</v>
      </c>
      <c r="D33" s="27" t="n">
        <v>699</v>
      </c>
      <c r="E33" s="28" t="n">
        <v>250941</v>
      </c>
      <c r="F33" s="28" t="n">
        <v>136420</v>
      </c>
      <c r="G33" s="28" t="n">
        <v>114521</v>
      </c>
    </row>
    <row r="34" ht="15" customHeight="1" s="17">
      <c r="A34" s="21" t="inlineStr">
        <is>
          <t>2025年8月</t>
        </is>
      </c>
      <c r="B34" s="21" t="inlineStr">
        <is>
          <t>StarWatch SE</t>
        </is>
      </c>
      <c r="C34" s="22" t="n">
        <v>294</v>
      </c>
      <c r="D34" s="23" t="n">
        <v>999</v>
      </c>
      <c r="E34" s="24" t="n">
        <v>293706</v>
      </c>
      <c r="F34" s="24" t="n">
        <v>161700</v>
      </c>
      <c r="G34" s="24" t="n">
        <v>132006</v>
      </c>
    </row>
    <row r="35" ht="15" customHeight="1" s="17">
      <c r="A35" s="25" t="inlineStr">
        <is>
          <t>2025年8月</t>
        </is>
      </c>
      <c r="B35" s="25" t="inlineStr">
        <is>
          <t>StarWatch Ultra</t>
        </is>
      </c>
      <c r="C35" s="26" t="n">
        <v>192</v>
      </c>
      <c r="D35" s="27" t="n">
        <v>2999</v>
      </c>
      <c r="E35" s="28" t="n">
        <v>575808</v>
      </c>
      <c r="F35" s="28" t="n">
        <v>345600</v>
      </c>
      <c r="G35" s="28" t="n">
        <v>230208</v>
      </c>
    </row>
    <row r="36" ht="15" customHeight="1" s="17">
      <c r="A36" s="21" t="inlineStr">
        <is>
          <t>2025年9月</t>
        </is>
      </c>
      <c r="B36" s="21" t="inlineStr">
        <is>
          <t>StarWatch Pro</t>
        </is>
      </c>
      <c r="C36" s="22" t="n">
        <v>309</v>
      </c>
      <c r="D36" s="23" t="n">
        <v>1999</v>
      </c>
      <c r="E36" s="24" t="n">
        <v>617691</v>
      </c>
      <c r="F36" s="24" t="n">
        <v>339900</v>
      </c>
      <c r="G36" s="24" t="n">
        <v>277791</v>
      </c>
    </row>
    <row r="37" ht="15" customHeight="1" s="17">
      <c r="A37" s="25" t="inlineStr">
        <is>
          <t>2025年9月</t>
        </is>
      </c>
      <c r="B37" s="25" t="inlineStr">
        <is>
          <t>StarWatch Lite</t>
        </is>
      </c>
      <c r="C37" s="26" t="n">
        <v>381</v>
      </c>
      <c r="D37" s="27" t="n">
        <v>699</v>
      </c>
      <c r="E37" s="28" t="n">
        <v>266319</v>
      </c>
      <c r="F37" s="28" t="n">
        <v>144780</v>
      </c>
      <c r="G37" s="28" t="n">
        <v>121539</v>
      </c>
    </row>
    <row r="38" ht="15" customHeight="1" s="17">
      <c r="A38" s="21" t="inlineStr">
        <is>
          <t>2025年9月</t>
        </is>
      </c>
      <c r="B38" s="21" t="inlineStr">
        <is>
          <t>StarWatch SE</t>
        </is>
      </c>
      <c r="C38" s="22" t="n">
        <v>222</v>
      </c>
      <c r="D38" s="23" t="n">
        <v>999</v>
      </c>
      <c r="E38" s="24" t="n">
        <v>221778</v>
      </c>
      <c r="F38" s="24" t="n">
        <v>122100</v>
      </c>
      <c r="G38" s="24" t="n">
        <v>99678</v>
      </c>
    </row>
    <row r="39" ht="15" customHeight="1" s="17">
      <c r="A39" s="25" t="inlineStr">
        <is>
          <t>2025年9月</t>
        </is>
      </c>
      <c r="B39" s="25" t="inlineStr">
        <is>
          <t>StarWatch Ultra</t>
        </is>
      </c>
      <c r="C39" s="26" t="n">
        <v>494</v>
      </c>
      <c r="D39" s="27" t="n">
        <v>2999</v>
      </c>
      <c r="E39" s="28" t="n">
        <v>1481506</v>
      </c>
      <c r="F39" s="28" t="n">
        <v>889200</v>
      </c>
      <c r="G39" s="28" t="n">
        <v>592306</v>
      </c>
    </row>
    <row r="40" ht="15" customHeight="1" s="17">
      <c r="A40" s="21" t="inlineStr">
        <is>
          <t>2025年10月</t>
        </is>
      </c>
      <c r="B40" s="21" t="inlineStr">
        <is>
          <t>StarWatch Pro</t>
        </is>
      </c>
      <c r="C40" s="22" t="n">
        <v>83</v>
      </c>
      <c r="D40" s="23" t="n">
        <v>1999</v>
      </c>
      <c r="E40" s="24" t="n">
        <v>165917</v>
      </c>
      <c r="F40" s="24" t="n">
        <v>91300</v>
      </c>
      <c r="G40" s="24" t="n">
        <v>74617</v>
      </c>
    </row>
    <row r="41" ht="15" customHeight="1" s="17">
      <c r="A41" s="25" t="inlineStr">
        <is>
          <t>2025年10月</t>
        </is>
      </c>
      <c r="B41" s="25" t="inlineStr">
        <is>
          <t>StarWatch Lite</t>
        </is>
      </c>
      <c r="C41" s="26" t="n">
        <v>468</v>
      </c>
      <c r="D41" s="27" t="n">
        <v>699</v>
      </c>
      <c r="E41" s="28" t="n">
        <v>327132</v>
      </c>
      <c r="F41" s="28" t="n">
        <v>177840</v>
      </c>
      <c r="G41" s="28" t="n">
        <v>149292</v>
      </c>
    </row>
    <row r="42" ht="15" customHeight="1" s="17">
      <c r="A42" s="21" t="inlineStr">
        <is>
          <t>2025年10月</t>
        </is>
      </c>
      <c r="B42" s="21" t="inlineStr">
        <is>
          <t>StarWatch SE</t>
        </is>
      </c>
      <c r="C42" s="22" t="n">
        <v>492</v>
      </c>
      <c r="D42" s="23" t="n">
        <v>999</v>
      </c>
      <c r="E42" s="24" t="n">
        <v>491508</v>
      </c>
      <c r="F42" s="24" t="n">
        <v>270600</v>
      </c>
      <c r="G42" s="24" t="n">
        <v>220908</v>
      </c>
    </row>
    <row r="43" ht="15" customHeight="1" s="17">
      <c r="A43" s="25" t="inlineStr">
        <is>
          <t>2025年10月</t>
        </is>
      </c>
      <c r="B43" s="25" t="inlineStr">
        <is>
          <t>StarWatch Ultra</t>
        </is>
      </c>
      <c r="C43" s="26" t="n">
        <v>161</v>
      </c>
      <c r="D43" s="27" t="n">
        <v>2999</v>
      </c>
      <c r="E43" s="28" t="n">
        <v>482839</v>
      </c>
      <c r="F43" s="28" t="n">
        <v>289800</v>
      </c>
      <c r="G43" s="28" t="n">
        <v>193039</v>
      </c>
    </row>
    <row r="44" ht="15" customHeight="1" s="17">
      <c r="A44" s="21" t="inlineStr">
        <is>
          <t>2025年11月</t>
        </is>
      </c>
      <c r="B44" s="21" t="inlineStr">
        <is>
          <t>StarWatch Pro</t>
        </is>
      </c>
      <c r="C44" s="22" t="n">
        <v>437</v>
      </c>
      <c r="D44" s="23" t="n">
        <v>1999</v>
      </c>
      <c r="E44" s="24" t="n">
        <v>873563</v>
      </c>
      <c r="F44" s="24" t="n">
        <v>480700</v>
      </c>
      <c r="G44" s="24" t="n">
        <v>392863</v>
      </c>
    </row>
    <row r="45" ht="15" customHeight="1" s="17">
      <c r="A45" s="25" t="inlineStr">
        <is>
          <t>2025年11月</t>
        </is>
      </c>
      <c r="B45" s="25" t="inlineStr">
        <is>
          <t>StarWatch Lite</t>
        </is>
      </c>
      <c r="C45" s="26" t="n">
        <v>296</v>
      </c>
      <c r="D45" s="27" t="n">
        <v>699</v>
      </c>
      <c r="E45" s="28" t="n">
        <v>206904</v>
      </c>
      <c r="F45" s="28" t="n">
        <v>112480</v>
      </c>
      <c r="G45" s="28" t="n">
        <v>94424</v>
      </c>
    </row>
    <row r="46" ht="15" customHeight="1" s="17">
      <c r="A46" s="21" t="inlineStr">
        <is>
          <t>2025年11月</t>
        </is>
      </c>
      <c r="B46" s="21" t="inlineStr">
        <is>
          <t>StarWatch SE</t>
        </is>
      </c>
      <c r="C46" s="22" t="n">
        <v>254</v>
      </c>
      <c r="D46" s="23" t="n">
        <v>999</v>
      </c>
      <c r="E46" s="24" t="n">
        <v>253746</v>
      </c>
      <c r="F46" s="24" t="n">
        <v>139700</v>
      </c>
      <c r="G46" s="24" t="n">
        <v>114046</v>
      </c>
    </row>
    <row r="47" ht="15" customHeight="1" s="17">
      <c r="A47" s="25" t="inlineStr">
        <is>
          <t>2025年11月</t>
        </is>
      </c>
      <c r="B47" s="25" t="inlineStr">
        <is>
          <t>StarWatch Ultra</t>
        </is>
      </c>
      <c r="C47" s="26" t="n">
        <v>222</v>
      </c>
      <c r="D47" s="27" t="n">
        <v>2999</v>
      </c>
      <c r="E47" s="28" t="n">
        <v>665778</v>
      </c>
      <c r="F47" s="28" t="n">
        <v>399600</v>
      </c>
      <c r="G47" s="28" t="n">
        <v>266178</v>
      </c>
    </row>
    <row r="48" ht="15" customHeight="1" s="17">
      <c r="A48" s="21" t="inlineStr">
        <is>
          <t>2025年12月</t>
        </is>
      </c>
      <c r="B48" s="21" t="inlineStr">
        <is>
          <t>StarWatch Pro</t>
        </is>
      </c>
      <c r="C48" s="22" t="n">
        <v>159</v>
      </c>
      <c r="D48" s="23" t="n">
        <v>1999</v>
      </c>
      <c r="E48" s="24" t="n">
        <v>317841</v>
      </c>
      <c r="F48" s="24" t="n">
        <v>174900</v>
      </c>
      <c r="G48" s="24" t="n">
        <v>142941</v>
      </c>
    </row>
    <row r="49" ht="15" customHeight="1" s="17">
      <c r="A49" s="25" t="inlineStr">
        <is>
          <t>2025年12月</t>
        </is>
      </c>
      <c r="B49" s="25" t="inlineStr">
        <is>
          <t>StarWatch Lite</t>
        </is>
      </c>
      <c r="C49" s="26" t="n">
        <v>190</v>
      </c>
      <c r="D49" s="27" t="n">
        <v>699</v>
      </c>
      <c r="E49" s="28" t="n">
        <v>132810</v>
      </c>
      <c r="F49" s="28" t="n">
        <v>72200</v>
      </c>
      <c r="G49" s="28" t="n">
        <v>60610</v>
      </c>
    </row>
    <row r="50" ht="15" customHeight="1" s="17">
      <c r="A50" s="21" t="inlineStr">
        <is>
          <t>2025年12月</t>
        </is>
      </c>
      <c r="B50" s="21" t="inlineStr">
        <is>
          <t>StarWatch SE</t>
        </is>
      </c>
      <c r="C50" s="22" t="n">
        <v>470</v>
      </c>
      <c r="D50" s="23" t="n">
        <v>999</v>
      </c>
      <c r="E50" s="24" t="n">
        <v>469530</v>
      </c>
      <c r="F50" s="24" t="n">
        <v>258500</v>
      </c>
      <c r="G50" s="24" t="n">
        <v>211030</v>
      </c>
    </row>
    <row r="51" ht="15" customHeight="1" s="17">
      <c r="A51" s="25" t="inlineStr">
        <is>
          <t>2025年12月</t>
        </is>
      </c>
      <c r="B51" s="25" t="inlineStr">
        <is>
          <t>StarWatch Ultra</t>
        </is>
      </c>
      <c r="C51" s="26" t="n">
        <v>252</v>
      </c>
      <c r="D51" s="27" t="n">
        <v>2999</v>
      </c>
      <c r="E51" s="28" t="n">
        <v>755748</v>
      </c>
      <c r="F51" s="28" t="n">
        <v>453600</v>
      </c>
      <c r="G51" s="28" t="n">
        <v>302148</v>
      </c>
    </row>
    <row r="52" ht="25.5" customHeight="1" s="17">
      <c r="A52" s="29" t="inlineStr">
        <is>
          <t>合  计</t>
        </is>
      </c>
      <c r="B52" s="30" t="n"/>
      <c r="C52" s="31">
        <f>SUM(销售明细!C4:C51)</f>
        <v>13607</v>
      </c>
      <c r="D52" s="32" t="n"/>
      <c r="E52" s="33">
        <f>SUM(销售明细!E4:E51)</f>
        <v>23017593</v>
      </c>
      <c r="F52" s="33">
        <f>SUM(销售明细!F4:F51)</f>
        <v>13159930</v>
      </c>
      <c r="G52" s="33">
        <f>SUM(销售明细!G4:G51)</f>
        <v>9857663</v>
      </c>
    </row>
    <row r="53"/>
    <row r="54">
      <c r="G54" s="16" t="inlineStr">
        <is>
          <t>内容由 AI 生成</t>
        </is>
      </c>
    </row>
  </sheetData>
  <mergeCells count="3">
    <mergeCell ref="A2:G2"/>
    <mergeCell ref="A1:G1"/>
    <mergeCell ref="A52:B5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17" min="1" max="1"/>
    <col width="18" customWidth="1" style="17" min="2" max="2"/>
    <col width="40" customWidth="1" style="17" min="3" max="3"/>
    <col width="15" customWidth="1" style="17" min="4" max="4"/>
    <col width="17" customWidth="1" style="17" min="5" max="5"/>
    <col width="16" customWidth="1" style="17" min="6" max="6"/>
    <col width="16" customWidth="1" style="17" min="7" max="7"/>
  </cols>
  <sheetData>
    <row r="1">
      <c r="A1" s="34" t="inlineStr">
        <is>
          <t>同一产品型号数据合并汇总</t>
        </is>
      </c>
    </row>
    <row r="2">
      <c r="A2" s="35" t="inlineStr">
        <is>
          <t>序号</t>
        </is>
      </c>
      <c r="B2" s="35" t="inlineStr">
        <is>
          <t>产品型号</t>
        </is>
      </c>
      <c r="C2" s="35" t="inlineStr">
        <is>
          <t>月份</t>
        </is>
      </c>
      <c r="D2" s="35" t="inlineStr">
        <is>
          <t>销售数量(只)</t>
        </is>
      </c>
      <c r="E2" s="35" t="inlineStr">
        <is>
          <t>销售金额(元)</t>
        </is>
      </c>
      <c r="F2" s="35" t="inlineStr">
        <is>
          <t>成本(元)</t>
        </is>
      </c>
      <c r="G2" s="35" t="inlineStr">
        <is>
          <t>利润(元)</t>
        </is>
      </c>
    </row>
    <row r="3">
      <c r="A3" s="36">
        <f>ROW()-2</f>
        <v>1</v>
      </c>
      <c r="B3" s="37" t="inlineStr">
        <is>
          <t>StarWatch Lite</t>
        </is>
      </c>
      <c r="C3" s="37" t="inlineStr">
        <is>
          <t>2025年1月、2025年2月、2025年3月、2025年4月、2025年5月、2025年6月、2025年7月、2025年8月、2025年9月、2025年10月、2025年11月、2025年12月</t>
        </is>
      </c>
      <c r="D3" s="36">
        <f>SUMIFS(原始数据!$C$4:$C$51,原始数据!$B$4:$B$51,"StarWatch Lite")</f>
        <v>2906.0</v>
      </c>
      <c r="E3" s="38">
        <f>SUMIFS(原始数据!$E$4:$E$51,原始数据!$B$4:$B$51,"StarWatch Lite")</f>
        <v>2031294.0</v>
      </c>
      <c r="F3" s="38">
        <f>SUMIFS(原始数据!$F$4:$F$51,原始数据!$B$4:$B$51,"StarWatch Lite")</f>
        <v>1104280.0</v>
      </c>
      <c r="G3" s="38">
        <f>SUMIFS(原始数据!$G$4:$G$51,原始数据!$B$4:$B$51,"StarWatch Lite")</f>
        <v>927014.0</v>
      </c>
    </row>
    <row r="4">
      <c r="A4" s="39">
        <f>ROW()-2</f>
        <v>2</v>
      </c>
      <c r="B4" s="40" t="inlineStr">
        <is>
          <t>StarWatch Pro</t>
        </is>
      </c>
      <c r="C4" s="40" t="inlineStr">
        <is>
          <t>2025年1月、2025年2月、2025年3月、2025年4月、2025年5月、2025年6月、2025年7月、2025年8月、2025年9月、2025年10月、2025年11月、2025年12月</t>
        </is>
      </c>
      <c r="D4" s="39">
        <f>SUMIFS(原始数据!$C$4:$C$51,原始数据!$B$4:$B$51,"StarWatch Pro")</f>
        <v>3532.0</v>
      </c>
      <c r="E4" s="41">
        <f>SUMIFS(原始数据!$E$4:$E$51,原始数据!$B$4:$B$51,"StarWatch Pro")</f>
        <v>7060468.0</v>
      </c>
      <c r="F4" s="41">
        <f>SUMIFS(原始数据!$F$4:$F$51,原始数据!$B$4:$B$51,"StarWatch Pro")</f>
        <v>3885200.0</v>
      </c>
      <c r="G4" s="41">
        <f>SUMIFS(原始数据!$G$4:$G$51,原始数据!$B$4:$B$51,"StarWatch Pro")</f>
        <v>3175268.0</v>
      </c>
    </row>
    <row r="5">
      <c r="A5" s="36">
        <f>ROW()-2</f>
        <v>3</v>
      </c>
      <c r="B5" s="37" t="inlineStr">
        <is>
          <t>StarWatch SE</t>
        </is>
      </c>
      <c r="C5" s="37" t="inlineStr">
        <is>
          <t>2025年1月、2025年2月、2025年3月、2025年4月、2025年5月、2025年6月、2025年7月、2025年8月、2025年9月、2025年10月、2025年11月、2025年12月</t>
        </is>
      </c>
      <c r="D5" s="36">
        <f>SUMIFS(原始数据!$C$4:$C$51,原始数据!$B$4:$B$51,"StarWatch SE")</f>
        <v>3787.0</v>
      </c>
      <c r="E5" s="38">
        <f>SUMIFS(原始数据!$E$4:$E$51,原始数据!$B$4:$B$51,"StarWatch SE")</f>
        <v>3783213.0</v>
      </c>
      <c r="F5" s="38">
        <f>SUMIFS(原始数据!$F$4:$F$51,原始数据!$B$4:$B$51,"StarWatch SE")</f>
        <v>2082850.0</v>
      </c>
      <c r="G5" s="38">
        <f>SUMIFS(原始数据!$G$4:$G$51,原始数据!$B$4:$B$51,"StarWatch SE")</f>
        <v>1700363.0</v>
      </c>
    </row>
    <row r="6">
      <c r="A6" s="39">
        <f>ROW()-2</f>
        <v>4</v>
      </c>
      <c r="B6" s="40" t="inlineStr">
        <is>
          <t>StarWatch Ultra</t>
        </is>
      </c>
      <c r="C6" s="40" t="inlineStr">
        <is>
          <t>2025年1月、2025年2月、2025年3月、2025年4月、2025年5月、2025年6月、2025年7月、2025年8月、2025年9月、2025年10月、2025年11月、2025年12月</t>
        </is>
      </c>
      <c r="D6" s="39">
        <f>SUMIFS(原始数据!$C$4:$C$51,原始数据!$B$4:$B$51,"StarWatch Ultra")</f>
        <v>3382.0</v>
      </c>
      <c r="E6" s="41">
        <f>SUMIFS(原始数据!$E$4:$E$51,原始数据!$B$4:$B$51,"StarWatch Ultra")</f>
        <v>10142618.0</v>
      </c>
      <c r="F6" s="41">
        <f>SUMIFS(原始数据!$F$4:$F$51,原始数据!$B$4:$B$51,"StarWatch Ultra")</f>
        <v>6087600.0</v>
      </c>
      <c r="G6" s="41">
        <f>SUMIFS(原始数据!$G$4:$G$51,原始数据!$B$4:$B$51,"StarWatch Ultra")</f>
        <v>4055018.0</v>
      </c>
    </row>
  </sheetData>
  <autoFilter ref="A2:G6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17" min="1" max="1"/>
    <col width="13" customWidth="1" style="17" min="2" max="2"/>
    <col width="16" customWidth="1" style="17" min="3" max="3"/>
    <col width="15" customWidth="1" style="17" min="4" max="4"/>
    <col width="9" customWidth="1" style="17" min="5" max="5"/>
  </cols>
  <sheetData>
    <row r="1">
      <c r="A1" s="34" t="inlineStr">
        <is>
          <t>月份利润汇总</t>
        </is>
      </c>
    </row>
    <row r="2">
      <c r="A2" s="35" t="inlineStr">
        <is>
          <t>序号</t>
        </is>
      </c>
      <c r="B2" s="35" t="inlineStr">
        <is>
          <t>月份</t>
        </is>
      </c>
      <c r="C2" s="35" t="inlineStr">
        <is>
          <t>利润(元)</t>
        </is>
      </c>
      <c r="D2" s="35" t="inlineStr">
        <is>
          <t>涉及数据笔数</t>
        </is>
      </c>
      <c r="E2" s="35" t="inlineStr">
        <is>
          <t>占比</t>
        </is>
      </c>
    </row>
    <row r="3">
      <c r="A3" s="36">
        <f>ROW()-2</f>
        <v>1</v>
      </c>
      <c r="B3" s="37" t="inlineStr">
        <is>
          <t>2025年3月</t>
        </is>
      </c>
      <c r="C3" s="38">
        <f>SUMIFS(原始数据!$G$4:$G$51,原始数据!$A$4:$A$51,"2025年3月")</f>
        <v>1194566.0</v>
      </c>
      <c r="D3" s="36">
        <f>COUNTIFS(原始数据!$A$4:$A$51,"2025年3月")</f>
        <v>4</v>
      </c>
      <c r="E3" s="42">
        <f>IF((SUM(原始数据!$E$4:$E$51)-SUM(原始数据!$F$4:$F$51))=0,"",C3/(SUM(原始数据!$E$4:$E$51)-SUM(原始数据!$F$4:$F$51)))</f>
        <v>0.12118146055510318</v>
      </c>
    </row>
    <row r="4">
      <c r="A4" s="39">
        <f>ROW()-2</f>
        <v>2</v>
      </c>
      <c r="B4" s="40" t="inlineStr">
        <is>
          <t>2025年9月</t>
        </is>
      </c>
      <c r="C4" s="41">
        <f>SUMIFS(原始数据!$G$4:$G$51,原始数据!$A$4:$A$51,"2025年9月")</f>
        <v>1091314.0</v>
      </c>
      <c r="D4" s="39">
        <f>COUNTIFS(原始数据!$A$4:$A$51,"2025年9月")</f>
        <v>4</v>
      </c>
      <c r="E4" s="43">
        <f>IF((SUM(原始数据!$E$4:$E$51)-SUM(原始数据!$F$4:$F$51))=0,"",C4/(SUM(原始数据!$E$4:$E$51)-SUM(原始数据!$F$4:$F$51)))</f>
        <v>0.11070717268382983</v>
      </c>
    </row>
    <row r="5">
      <c r="A5" s="36">
        <f>ROW()-2</f>
        <v>3</v>
      </c>
      <c r="B5" s="37" t="inlineStr">
        <is>
          <t>2025年7月</t>
        </is>
      </c>
      <c r="C5" s="38">
        <f>SUMIFS(原始数据!$G$4:$G$51,原始数据!$A$4:$A$51,"2025年7月")</f>
        <v>1081914.0</v>
      </c>
      <c r="D5" s="36">
        <f>COUNTIFS(原始数据!$A$4:$A$51,"2025年7月")</f>
        <v>4</v>
      </c>
      <c r="E5" s="42">
        <f>IF((SUM(原始数据!$E$4:$E$51)-SUM(原始数据!$F$4:$F$51))=0,"",C5/(SUM(原始数据!$E$4:$E$51)-SUM(原始数据!$F$4:$F$51)))</f>
        <v>0.10975359981366781</v>
      </c>
    </row>
    <row r="6">
      <c r="A6" s="39">
        <f>ROW()-2</f>
        <v>4</v>
      </c>
      <c r="B6" s="40" t="inlineStr">
        <is>
          <t>2025年1月</t>
        </is>
      </c>
      <c r="C6" s="41">
        <f>SUMIFS(原始数据!$G$4:$G$51,原始数据!$A$4:$A$51,"2025年1月")</f>
        <v>1001245.0</v>
      </c>
      <c r="D6" s="39">
        <f>COUNTIFS(原始数据!$A$4:$A$51,"2025年1月")</f>
        <v>4</v>
      </c>
      <c r="E6" s="43">
        <f>IF((SUM(原始数据!$E$4:$E$51)-SUM(原始数据!$F$4:$F$51))=0,"",C6/(SUM(原始数据!$E$4:$E$51)-SUM(原始数据!$F$4:$F$51)))</f>
        <v>0.10157022004099754</v>
      </c>
    </row>
    <row r="7">
      <c r="A7" s="36">
        <f>ROW()-2</f>
        <v>5</v>
      </c>
      <c r="B7" s="37" t="inlineStr">
        <is>
          <t>2025年4月</t>
        </is>
      </c>
      <c r="C7" s="38">
        <f>SUMIFS(原始数据!$G$4:$G$51,原始数据!$A$4:$A$51,"2025年4月")</f>
        <v>888719.0</v>
      </c>
      <c r="D7" s="36">
        <f>COUNTIFS(原始数据!$A$4:$A$51,"2025年4月")</f>
        <v>4</v>
      </c>
      <c r="E7" s="42">
        <f>IF((SUM(原始数据!$E$4:$E$51)-SUM(原始数据!$F$4:$F$51))=0,"",C7/(SUM(原始数据!$E$4:$E$51)-SUM(原始数据!$F$4:$F$51)))</f>
        <v>0.09015514123377924</v>
      </c>
    </row>
    <row r="8">
      <c r="A8" s="39">
        <f>ROW()-2</f>
        <v>6</v>
      </c>
      <c r="B8" s="40" t="inlineStr">
        <is>
          <t>2025年8月</t>
        </is>
      </c>
      <c r="C8" s="41">
        <f>SUMIFS(原始数据!$G$4:$G$51,原始数据!$A$4:$A$51,"2025年8月")</f>
        <v>871396.0</v>
      </c>
      <c r="D8" s="39">
        <f>COUNTIFS(原始数据!$A$4:$A$51,"2025年8月")</f>
        <v>4</v>
      </c>
      <c r="E8" s="43">
        <f>IF((SUM(原始数据!$E$4:$E$51)-SUM(原始数据!$F$4:$F$51))=0,"",C8/(SUM(原始数据!$E$4:$E$51)-SUM(原始数据!$F$4:$F$51)))</f>
        <v>0.08839782816677746</v>
      </c>
    </row>
    <row r="9">
      <c r="A9" s="36">
        <f>ROW()-2</f>
        <v>7</v>
      </c>
      <c r="B9" s="37" t="inlineStr">
        <is>
          <t>2025年11月</t>
        </is>
      </c>
      <c r="C9" s="38">
        <f>SUMIFS(原始数据!$G$4:$G$51,原始数据!$A$4:$A$51,"2025年11月")</f>
        <v>867511.0</v>
      </c>
      <c r="D9" s="36">
        <f>COUNTIFS(原始数据!$A$4:$A$51,"2025年11月")</f>
        <v>4</v>
      </c>
      <c r="E9" s="42">
        <f>IF((SUM(原始数据!$E$4:$E$51)-SUM(原始数据!$F$4:$F$51))=0,"",C9/(SUM(原始数据!$E$4:$E$51)-SUM(原始数据!$F$4:$F$51)))</f>
        <v>0.08800371852841794</v>
      </c>
    </row>
    <row r="10">
      <c r="A10" s="39">
        <f>ROW()-2</f>
        <v>8</v>
      </c>
      <c r="B10" s="40" t="inlineStr">
        <is>
          <t>2025年12月</t>
        </is>
      </c>
      <c r="C10" s="41">
        <f>SUMIFS(原始数据!$G$4:$G$51,原始数据!$A$4:$A$51,"2025年12月")</f>
        <v>716729.0</v>
      </c>
      <c r="D10" s="39">
        <f>COUNTIFS(原始数据!$A$4:$A$51,"2025年12月")</f>
        <v>4</v>
      </c>
      <c r="E10" s="43">
        <f>IF((SUM(原始数据!$E$4:$E$51)-SUM(原始数据!$F$4:$F$51))=0,"",C10/(SUM(原始数据!$E$4:$E$51)-SUM(原始数据!$F$4:$F$51)))</f>
        <v>0.0727078010274849</v>
      </c>
    </row>
    <row r="11">
      <c r="A11" s="36">
        <f>ROW()-2</f>
        <v>9</v>
      </c>
      <c r="B11" s="37" t="inlineStr">
        <is>
          <t>2025年10月</t>
        </is>
      </c>
      <c r="C11" s="38">
        <f>SUMIFS(原始数据!$G$4:$G$51,原始数据!$A$4:$A$51,"2025年10月")</f>
        <v>637856.0</v>
      </c>
      <c r="D11" s="36">
        <f>COUNTIFS(原始数据!$A$4:$A$51,"2025年10月")</f>
        <v>4</v>
      </c>
      <c r="E11" s="42">
        <f>IF((SUM(原始数据!$E$4:$E$51)-SUM(原始数据!$F$4:$F$51))=0,"",C11/(SUM(原始数据!$E$4:$E$51)-SUM(原始数据!$F$4:$F$51)))</f>
        <v>0.06470661453936902</v>
      </c>
    </row>
    <row r="12">
      <c r="A12" s="39">
        <f>ROW()-2</f>
        <v>10</v>
      </c>
      <c r="B12" s="40" t="inlineStr">
        <is>
          <t>2025年6月</t>
        </is>
      </c>
      <c r="C12" s="41">
        <f>SUMIFS(原始数据!$G$4:$G$51,原始数据!$A$4:$A$51,"2025年6月")</f>
        <v>572442.0</v>
      </c>
      <c r="D12" s="39">
        <f>COUNTIFS(原始数据!$A$4:$A$51,"2025年6月")</f>
        <v>4</v>
      </c>
      <c r="E12" s="43">
        <f>IF((SUM(原始数据!$E$4:$E$51)-SUM(原始数据!$F$4:$F$51))=0,"",C12/(SUM(原始数据!$E$4:$E$51)-SUM(原始数据!$F$4:$F$51)))</f>
        <v>0.0580707618022649</v>
      </c>
    </row>
    <row r="13">
      <c r="A13" s="36">
        <f>ROW()-2</f>
        <v>11</v>
      </c>
      <c r="B13" s="37" t="inlineStr">
        <is>
          <t>2025年2月</t>
        </is>
      </c>
      <c r="C13" s="38">
        <f>SUMIFS(原始数据!$G$4:$G$51,原始数据!$A$4:$A$51,"2025年2月")</f>
        <v>531330.0</v>
      </c>
      <c r="D13" s="36">
        <f>COUNTIFS(原始数据!$A$4:$A$51,"2025年2月")</f>
        <v>4</v>
      </c>
      <c r="E13" s="42">
        <f>IF((SUM(原始数据!$E$4:$E$51)-SUM(原始数据!$F$4:$F$51))=0,"",C13/(SUM(原始数据!$E$4:$E$51)-SUM(原始数据!$F$4:$F$51)))</f>
        <v>0.05390019926629669</v>
      </c>
    </row>
    <row r="14">
      <c r="A14" s="39">
        <f>ROW()-2</f>
        <v>12</v>
      </c>
      <c r="B14" s="40" t="inlineStr">
        <is>
          <t>2025年5月</t>
        </is>
      </c>
      <c r="C14" s="41">
        <f>SUMIFS(原始数据!$G$4:$G$51,原始数据!$A$4:$A$51,"2025年5月")</f>
        <v>402641.0</v>
      </c>
      <c r="D14" s="39">
        <f>COUNTIFS(原始数据!$A$4:$A$51,"2025年5月")</f>
        <v>4</v>
      </c>
      <c r="E14" s="43">
        <f>IF((SUM(原始数据!$E$4:$E$51)-SUM(原始数据!$F$4:$F$51))=0,"",C14/(SUM(原始数据!$E$4:$E$51)-SUM(原始数据!$F$4:$F$51)))</f>
        <v>0.04084548234201149</v>
      </c>
    </row>
  </sheetData>
  <autoFilter ref="A2:E14"/>
  <mergeCells count="1">
    <mergeCell ref="A1:E1"/>
  </mergeCells>
  <conditionalFormatting sqref="B3:B14">
    <cfRule type="expression" priority="1" dxfId="0" stopIfTrue="1">
      <formula>EXACT($B3,"2025年3月")</formula>
    </cfRule>
    <cfRule type="expression" priority="2" dxfId="1" stopIfTrue="1">
      <formula>EXACT($B3,"2025年9月")</formula>
    </cfRule>
    <cfRule type="expression" priority="3" dxfId="2" stopIfTrue="1">
      <formula>EXACT($B3,"2025年7月")</formula>
    </cfRule>
    <cfRule type="expression" priority="4" dxfId="3" stopIfTrue="1">
      <formula>EXACT($B3,"2025年1月")</formula>
    </cfRule>
    <cfRule type="expression" priority="5" dxfId="4" stopIfTrue="1">
      <formula>EXACT($B3,"2025年4月")</formula>
    </cfRule>
    <cfRule type="expression" priority="6" dxfId="5" stopIfTrue="1">
      <formula>EXACT($B3,"2025年8月")</formula>
    </cfRule>
    <cfRule type="expression" priority="7" dxfId="6" stopIfTrue="1">
      <formula>EXACT($B3,"2025年11月")</formula>
    </cfRule>
    <cfRule type="expression" priority="8" dxfId="7" stopIfTrue="1">
      <formula>EXACT($B3,"2025年12月")</formula>
    </cfRule>
    <cfRule type="expression" priority="9" dxfId="0" stopIfTrue="1">
      <formula>EXACT($B3,"2025年10月")</formula>
    </cfRule>
    <cfRule type="expression" priority="10" dxfId="1" stopIfTrue="1">
      <formula>EXACT($B3,"2025年6月")</formula>
    </cfRule>
    <cfRule type="expression" priority="11" dxfId="2" stopIfTrue="1">
      <formula>EXACT($B3,"2025年2月")</formula>
    </cfRule>
    <cfRule type="expression" priority="12" dxfId="3" stopIfTrue="1">
      <formula>EXACT($B3,"2025年5月")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style="17" min="1" max="1"/>
    <col width="17" customWidth="1" style="17" min="2" max="2"/>
  </cols>
  <sheetData>
    <row r="1">
      <c r="A1" s="34" t="inlineStr">
        <is>
          <t>数据统计总览</t>
        </is>
      </c>
    </row>
    <row r="2">
      <c r="A2" s="35" t="inlineStr">
        <is>
          <t>指标</t>
        </is>
      </c>
      <c r="B2" s="35" t="inlineStr">
        <is>
          <t>数值</t>
        </is>
      </c>
    </row>
    <row r="3">
      <c r="A3" s="44" t="inlineStr">
        <is>
          <t>总销售数量（只）</t>
        </is>
      </c>
      <c r="B3" s="36">
        <f>SUM(原始数据!$C$4:$C$51)</f>
        <v>13607.0</v>
      </c>
    </row>
    <row r="4">
      <c r="A4" s="45" t="inlineStr">
        <is>
          <t>总销售金额（元）</t>
        </is>
      </c>
      <c r="B4" s="41">
        <f>SUM(原始数据!$E$4:$E$51)</f>
        <v>23017593.0</v>
      </c>
    </row>
    <row r="5">
      <c r="A5" s="44" t="inlineStr">
        <is>
          <t>总成本（元）</t>
        </is>
      </c>
      <c r="B5" s="38">
        <f>SUM(原始数据!$F$4:$F$51)</f>
        <v>13159930.0</v>
      </c>
    </row>
    <row r="6">
      <c r="A6" s="45" t="inlineStr">
        <is>
          <t>总利润（元）</t>
        </is>
      </c>
      <c r="B6" s="41">
        <f>SUM(原始数据!$G$4:$G$51)</f>
        <v>9857663.0</v>
      </c>
    </row>
    <row r="7">
      <c r="A7" s="44" t="inlineStr">
        <is>
          <t>整体利润率</t>
        </is>
      </c>
      <c r="B7" s="42">
        <f>IF(B4=0,"",B6/B4)</f>
        <v>0.42826645687930964</v>
      </c>
    </row>
    <row r="8">
      <c r="A8" s="45" t="inlineStr">
        <is>
          <t>总机型数</t>
        </is>
      </c>
      <c r="B8" s="39">
        <f>SUMPRODUCT(1/COUNTIF(原始数据!$B$4:$B$51,原始数据!$B$4:$B$51&amp;""))</f>
        <v>4</v>
      </c>
    </row>
    <row r="9">
      <c r="A9" s="44" t="inlineStr">
        <is>
          <t>总数据笔数</t>
        </is>
      </c>
      <c r="B9" s="36">
        <f>COUNTA(原始数据!$B$4:$B$51)</f>
        <v>48</v>
      </c>
    </row>
  </sheetData>
  <autoFilter ref="A2:B9"/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17" min="1" max="1"/>
    <col width="13" customWidth="1" style="17" min="2" max="2"/>
    <col width="13" customWidth="1" style="17" min="3" max="3"/>
    <col width="16" customWidth="1" style="17" min="4" max="4"/>
    <col width="16" customWidth="1" style="17" min="5" max="5"/>
    <col width="16" customWidth="1" style="17" min="6" max="6"/>
    <col width="9" customWidth="1" style="17" min="7" max="7"/>
    <col width="9" customWidth="1" style="17" min="8" max="8"/>
    <col width="13" customWidth="1" style="17" min="9" max="9"/>
  </cols>
  <sheetData>
    <row r="1">
      <c r="A1" s="34" t="inlineStr">
        <is>
          <t>月份维度统计分析</t>
        </is>
      </c>
    </row>
    <row r="2">
      <c r="A2" s="35" t="inlineStr">
        <is>
          <t>序号</t>
        </is>
      </c>
      <c r="B2" s="35" t="inlineStr">
        <is>
          <t>月份</t>
        </is>
      </c>
      <c r="C2" s="35" t="inlineStr">
        <is>
          <t>总销售数量</t>
        </is>
      </c>
      <c r="D2" s="35" t="inlineStr">
        <is>
          <t>总销售金额</t>
        </is>
      </c>
      <c r="E2" s="35" t="inlineStr">
        <is>
          <t>总成本</t>
        </is>
      </c>
      <c r="F2" s="35" t="inlineStr">
        <is>
          <t>总利润</t>
        </is>
      </c>
      <c r="G2" s="35" t="inlineStr">
        <is>
          <t>机型数</t>
        </is>
      </c>
      <c r="H2" s="35" t="inlineStr">
        <is>
          <t>利润率</t>
        </is>
      </c>
      <c r="I2" s="35" t="inlineStr">
        <is>
          <t>销售额占比</t>
        </is>
      </c>
    </row>
    <row r="3">
      <c r="A3" s="36">
        <f>ROW()-2</f>
        <v>1</v>
      </c>
      <c r="B3" s="37" t="inlineStr">
        <is>
          <t>2025年3月</t>
        </is>
      </c>
      <c r="C3" s="36">
        <f>SUMIFS(原始数据!$C$4:$C$51,原始数据!$A$4:$A$51,"2025年3月")</f>
        <v>1474.0</v>
      </c>
      <c r="D3" s="38">
        <f>SUMIFS(原始数据!$E$4:$E$51,原始数据!$A$4:$A$51,"2025年3月")</f>
        <v>2807926.0</v>
      </c>
      <c r="E3" s="38">
        <f>SUMIFS(原始数据!$F$4:$F$51,原始数据!$A$4:$A$51,"2025年3月")</f>
        <v>1613360.0</v>
      </c>
      <c r="F3" s="38">
        <f>SUMIFS(原始数据!$G$4:$G$51,原始数据!$A$4:$A$51,"2025年3月")</f>
        <v>1194566.0</v>
      </c>
      <c r="G3" s="36">
        <f>SUMPRODUCT((原始数据!$A$4:$A$51="2025年3月")/COUNTIFS(原始数据!$B$4:$B$51,原始数据!$B$4:$B$51&amp;"",原始数据!$A$4:$A$51,原始数据!$A$4:$A$51&amp;""))</f>
        <v>4</v>
      </c>
      <c r="H3" s="42">
        <f>IF(D3=0,"",F3/D3)</f>
        <v>0.42542645354614045</v>
      </c>
      <c r="I3" s="42">
        <f>IF(SUM(原始数据!$E$4:$E$51)=0,"",D3/SUM(原始数据!$E$4:$E$51))</f>
        <v>0.12199042706159588</v>
      </c>
    </row>
    <row r="4">
      <c r="A4" s="39">
        <f>ROW()-2</f>
        <v>2</v>
      </c>
      <c r="B4" s="40" t="inlineStr">
        <is>
          <t>2025年9月</t>
        </is>
      </c>
      <c r="C4" s="39">
        <f>SUMIFS(原始数据!$C$4:$C$51,原始数据!$A$4:$A$51,"2025年9月")</f>
        <v>1406.0</v>
      </c>
      <c r="D4" s="41">
        <f>SUMIFS(原始数据!$E$4:$E$51,原始数据!$A$4:$A$51,"2025年9月")</f>
        <v>2587294.0</v>
      </c>
      <c r="E4" s="41">
        <f>SUMIFS(原始数据!$F$4:$F$51,原始数据!$A$4:$A$51,"2025年9月")</f>
        <v>1495980.0</v>
      </c>
      <c r="F4" s="41">
        <f>SUMIFS(原始数据!$G$4:$G$51,原始数据!$A$4:$A$51,"2025年9月")</f>
        <v>1091314.0</v>
      </c>
      <c r="G4" s="39">
        <f>SUMPRODUCT((原始数据!$A$4:$A$51="2025年9月")/COUNTIFS(原始数据!$B$4:$B$51,原始数据!$B$4:$B$51&amp;"",原始数据!$A$4:$A$51,原始数据!$A$4:$A$51&amp;""))</f>
        <v>4</v>
      </c>
      <c r="H4" s="43">
        <f>IF(D4=0,"",F4/D4)</f>
        <v>0.42179744551643533</v>
      </c>
      <c r="I4" s="43">
        <f>IF(SUM(原始数据!$E$4:$E$51)=0,"",D4/SUM(原始数据!$E$4:$E$51))</f>
        <v>0.11240506337912917</v>
      </c>
    </row>
    <row r="5">
      <c r="A5" s="36">
        <f>ROW()-2</f>
        <v>3</v>
      </c>
      <c r="B5" s="37" t="inlineStr">
        <is>
          <t>2025年7月</t>
        </is>
      </c>
      <c r="C5" s="36">
        <f>SUMIFS(原始数据!$C$4:$C$51,原始数据!$A$4:$A$51,"2025年7月")</f>
        <v>1406.0</v>
      </c>
      <c r="D5" s="38">
        <f>SUMIFS(原始数据!$E$4:$E$51,原始数据!$A$4:$A$51,"2025年7月")</f>
        <v>2541294.0</v>
      </c>
      <c r="E5" s="38">
        <f>SUMIFS(原始数据!$F$4:$F$51,原始数据!$A$4:$A$51,"2025年7月")</f>
        <v>1459380.0</v>
      </c>
      <c r="F5" s="38">
        <f>SUMIFS(原始数据!$G$4:$G$51,原始数据!$A$4:$A$51,"2025年7月")</f>
        <v>1081914.0</v>
      </c>
      <c r="G5" s="36">
        <f>SUMPRODUCT((原始数据!$A$4:$A$51="2025年7月")/COUNTIFS(原始数据!$B$4:$B$51,原始数据!$B$4:$B$51&amp;"",原始数据!$A$4:$A$51,原始数据!$A$4:$A$51&amp;""))</f>
        <v>4</v>
      </c>
      <c r="H5" s="42">
        <f>IF(D5=0,"",F5/D5)</f>
        <v>0.42573350426987194</v>
      </c>
      <c r="I5" s="42">
        <f>IF(SUM(原始数据!$E$4:$E$51)=0,"",D5/SUM(原始数据!$E$4:$E$51))</f>
        <v>0.1104065920359266</v>
      </c>
    </row>
    <row r="6">
      <c r="A6" s="39">
        <f>ROW()-2</f>
        <v>4</v>
      </c>
      <c r="B6" s="40" t="inlineStr">
        <is>
          <t>2025年1月</t>
        </is>
      </c>
      <c r="C6" s="39">
        <f>SUMIFS(原始数据!$C$4:$C$51,原始数据!$A$4:$A$51,"2025年1月")</f>
        <v>1095.0</v>
      </c>
      <c r="D6" s="41">
        <f>SUMIFS(原始数据!$E$4:$E$51,原始数据!$A$4:$A$51,"2025年1月")</f>
        <v>2377805.0</v>
      </c>
      <c r="E6" s="41">
        <f>SUMIFS(原始数据!$F$4:$F$51,原始数据!$A$4:$A$51,"2025年1月")</f>
        <v>1376560.0</v>
      </c>
      <c r="F6" s="41">
        <f>SUMIFS(原始数据!$G$4:$G$51,原始数据!$A$4:$A$51,"2025年1月")</f>
        <v>1001245.0</v>
      </c>
      <c r="G6" s="39">
        <f>SUMPRODUCT((原始数据!$A$4:$A$51="2025年1月")/COUNTIFS(原始数据!$B$4:$B$51,原始数据!$B$4:$B$51&amp;"",原始数据!$A$4:$A$51,原始数据!$A$4:$A$51&amp;""))</f>
        <v>4</v>
      </c>
      <c r="H6" s="43">
        <f>IF(D6=0,"",F6/D6)</f>
        <v>0.4210795250241294</v>
      </c>
      <c r="I6" s="43">
        <f>IF(SUM(原始数据!$E$4:$E$51)=0,"",D6/SUM(原始数据!$E$4:$E$51))</f>
        <v>0.10330380765703868</v>
      </c>
    </row>
    <row r="7">
      <c r="A7" s="36">
        <f>ROW()-2</f>
        <v>5</v>
      </c>
      <c r="B7" s="37" t="inlineStr">
        <is>
          <t>2025年4月</t>
        </is>
      </c>
      <c r="C7" s="36">
        <f>SUMIFS(原始数据!$C$4:$C$51,原始数据!$A$4:$A$51,"2025年4月")</f>
        <v>1161.0</v>
      </c>
      <c r="D7" s="38">
        <f>SUMIFS(原始数据!$E$4:$E$51,原始数据!$A$4:$A$51,"2025年4月")</f>
        <v>2073639.0</v>
      </c>
      <c r="E7" s="38">
        <f>SUMIFS(原始数据!$F$4:$F$51,原始数据!$A$4:$A$51,"2025年4月")</f>
        <v>1184920.0</v>
      </c>
      <c r="F7" s="38">
        <f>SUMIFS(原始数据!$G$4:$G$51,原始数据!$A$4:$A$51,"2025年4月")</f>
        <v>888719.0</v>
      </c>
      <c r="G7" s="36">
        <f>SUMPRODUCT((原始数据!$A$4:$A$51="2025年4月")/COUNTIFS(原始数据!$B$4:$B$51,原始数据!$B$4:$B$51&amp;"",原始数据!$A$4:$A$51,原始数据!$A$4:$A$51&amp;""))</f>
        <v>4</v>
      </c>
      <c r="H7" s="42">
        <f>IF(D7=0,"",F7/D7)</f>
        <v>0.428579420043701</v>
      </c>
      <c r="I7" s="42">
        <f>IF(SUM(原始数据!$E$4:$E$51)=0,"",D7/SUM(原始数据!$E$4:$E$51))</f>
        <v>0.0900893069053745</v>
      </c>
    </row>
    <row r="8">
      <c r="A8" s="39">
        <f>ROW()-2</f>
        <v>6</v>
      </c>
      <c r="B8" s="40" t="inlineStr">
        <is>
          <t>2025年11月</t>
        </is>
      </c>
      <c r="C8" s="39">
        <f>SUMIFS(原始数据!$C$4:$C$51,原始数据!$A$4:$A$51,"2025年11月")</f>
        <v>1209.0</v>
      </c>
      <c r="D8" s="41">
        <f>SUMIFS(原始数据!$E$4:$E$51,原始数据!$A$4:$A$51,"2025年11月")</f>
        <v>1999991.0</v>
      </c>
      <c r="E8" s="41">
        <f>SUMIFS(原始数据!$F$4:$F$51,原始数据!$A$4:$A$51,"2025年11月")</f>
        <v>1132480.0</v>
      </c>
      <c r="F8" s="41">
        <f>SUMIFS(原始数据!$G$4:$G$51,原始数据!$A$4:$A$51,"2025年11月")</f>
        <v>867511.0</v>
      </c>
      <c r="G8" s="39">
        <f>SUMPRODUCT((原始数据!$A$4:$A$51="2025年11月")/COUNTIFS(原始数据!$B$4:$B$51,原始数据!$B$4:$B$51&amp;"",原始数据!$A$4:$A$51,原始数据!$A$4:$A$51&amp;""))</f>
        <v>4</v>
      </c>
      <c r="H8" s="43">
        <f>IF(D8=0,"",F8/D8)</f>
        <v>0.4337574519085336</v>
      </c>
      <c r="I8" s="43">
        <f>IF(SUM(原始数据!$E$4:$E$51)=0,"",D8/SUM(原始数据!$E$4:$E$51))</f>
        <v>0.0868896673948488</v>
      </c>
    </row>
    <row r="9">
      <c r="A9" s="36">
        <f>ROW()-2</f>
        <v>7</v>
      </c>
      <c r="B9" s="37" t="inlineStr">
        <is>
          <t>2025年8月</t>
        </is>
      </c>
      <c r="C9" s="36">
        <f>SUMIFS(原始数据!$C$4:$C$51,原始数据!$A$4:$A$51,"2025年8月")</f>
        <v>1284.0</v>
      </c>
      <c r="D9" s="38">
        <f>SUMIFS(原始数据!$E$4:$E$51,原始数据!$A$4:$A$51,"2025年8月")</f>
        <v>1998016.0</v>
      </c>
      <c r="E9" s="38">
        <f>SUMIFS(原始数据!$F$4:$F$51,原始数据!$A$4:$A$51,"2025年8月")</f>
        <v>1126620.0</v>
      </c>
      <c r="F9" s="38">
        <f>SUMIFS(原始数据!$G$4:$G$51,原始数据!$A$4:$A$51,"2025年8月")</f>
        <v>871396.0</v>
      </c>
      <c r="G9" s="36">
        <f>SUMPRODUCT((原始数据!$A$4:$A$51="2025年8月")/COUNTIFS(原始数据!$B$4:$B$51,原始数据!$B$4:$B$51&amp;"",原始数据!$A$4:$A$51,原始数据!$A$4:$A$51&amp;""))</f>
        <v>4</v>
      </c>
      <c r="H9" s="42">
        <f>IF(D9=0,"",F9/D9)</f>
        <v>0.4361306415964637</v>
      </c>
      <c r="I9" s="42">
        <f>IF(SUM(原始数据!$E$4:$E$51)=0,"",D9/SUM(原始数据!$E$4:$E$51))</f>
        <v>0.0868038634621787</v>
      </c>
    </row>
    <row r="10">
      <c r="A10" s="39">
        <f>ROW()-2</f>
        <v>8</v>
      </c>
      <c r="B10" s="40" t="inlineStr">
        <is>
          <t>2025年12月</t>
        </is>
      </c>
      <c r="C10" s="39">
        <f>SUMIFS(原始数据!$C$4:$C$51,原始数据!$A$4:$A$51,"2025年12月")</f>
        <v>1071.0</v>
      </c>
      <c r="D10" s="41">
        <f>SUMIFS(原始数据!$E$4:$E$51,原始数据!$A$4:$A$51,"2025年12月")</f>
        <v>1675929.0</v>
      </c>
      <c r="E10" s="41">
        <f>SUMIFS(原始数据!$F$4:$F$51,原始数据!$A$4:$A$51,"2025年12月")</f>
        <v>959200.0</v>
      </c>
      <c r="F10" s="41">
        <f>SUMIFS(原始数据!$G$4:$G$51,原始数据!$A$4:$A$51,"2025年12月")</f>
        <v>716729.0</v>
      </c>
      <c r="G10" s="39">
        <f>SUMPRODUCT((原始数据!$A$4:$A$51="2025年12月")/COUNTIFS(原始数据!$B$4:$B$51,原始数据!$B$4:$B$51&amp;"",原始数据!$A$4:$A$51,原始数据!$A$4:$A$51&amp;""))</f>
        <v>4</v>
      </c>
      <c r="H10" s="43">
        <f>IF(D10=0,"",F10/D10)</f>
        <v>0.4276607183239863</v>
      </c>
      <c r="I10" s="43">
        <f>IF(SUM(原始数据!$E$4:$E$51)=0,"",D10/SUM(原始数据!$E$4:$E$51))</f>
        <v>0.07281078434222032</v>
      </c>
    </row>
    <row r="11">
      <c r="A11" s="36">
        <f>ROW()-2</f>
        <v>9</v>
      </c>
      <c r="B11" s="37" t="inlineStr">
        <is>
          <t>2025年10月</t>
        </is>
      </c>
      <c r="C11" s="36">
        <f>SUMIFS(原始数据!$C$4:$C$51,原始数据!$A$4:$A$51,"2025年10月")</f>
        <v>1204.0</v>
      </c>
      <c r="D11" s="38">
        <f>SUMIFS(原始数据!$E$4:$E$51,原始数据!$A$4:$A$51,"2025年10月")</f>
        <v>1467396.0</v>
      </c>
      <c r="E11" s="38">
        <f>SUMIFS(原始数据!$F$4:$F$51,原始数据!$A$4:$A$51,"2025年10月")</f>
        <v>829540.0</v>
      </c>
      <c r="F11" s="38">
        <f>SUMIFS(原始数据!$G$4:$G$51,原始数据!$A$4:$A$51,"2025年10月")</f>
        <v>637856.0</v>
      </c>
      <c r="G11" s="36">
        <f>SUMPRODUCT((原始数据!$A$4:$A$51="2025年10月")/COUNTIFS(原始数据!$B$4:$B$51,原始数据!$B$4:$B$51&amp;"",原始数据!$A$4:$A$51,原始数据!$A$4:$A$51&amp;""))</f>
        <v>4</v>
      </c>
      <c r="H11" s="42">
        <f>IF(D11=0,"",F11/D11)</f>
        <v>0.43468566085773713</v>
      </c>
      <c r="I11" s="42">
        <f>IF(SUM(原始数据!$E$4:$E$51)=0,"",D11/SUM(原始数据!$E$4:$E$51))</f>
        <v>0.06375106206804508</v>
      </c>
    </row>
    <row r="12">
      <c r="A12" s="39">
        <f>ROW()-2</f>
        <v>10</v>
      </c>
      <c r="B12" s="40" t="inlineStr">
        <is>
          <t>2025年6月</t>
        </is>
      </c>
      <c r="C12" s="39">
        <f>SUMIFS(原始数据!$C$4:$C$51,原始数据!$A$4:$A$51,"2025年6月")</f>
        <v>1018.0</v>
      </c>
      <c r="D12" s="41">
        <f>SUMIFS(原始数据!$E$4:$E$51,原始数据!$A$4:$A$51,"2025年6月")</f>
        <v>1300582.0</v>
      </c>
      <c r="E12" s="41">
        <f>SUMIFS(原始数据!$F$4:$F$51,原始数据!$A$4:$A$51,"2025年6月")</f>
        <v>728140.0</v>
      </c>
      <c r="F12" s="41">
        <f>SUMIFS(原始数据!$G$4:$G$51,原始数据!$A$4:$A$51,"2025年6月")</f>
        <v>572442.0</v>
      </c>
      <c r="G12" s="39">
        <f>SUMPRODUCT((原始数据!$A$4:$A$51="2025年6月")/COUNTIFS(原始数据!$B$4:$B$51,原始数据!$B$4:$B$51&amp;"",原始数据!$A$4:$A$51,原始数据!$A$4:$A$51&amp;""))</f>
        <v>4</v>
      </c>
      <c r="H12" s="43">
        <f>IF(D12=0,"",F12/D12)</f>
        <v>0.4401429513863793</v>
      </c>
      <c r="I12" s="43">
        <f>IF(SUM(原始数据!$E$4:$E$51)=0,"",D12/SUM(原始数据!$E$4:$E$51))</f>
        <v>0.05650382296706697</v>
      </c>
    </row>
    <row r="13">
      <c r="A13" s="36">
        <f>ROW()-2</f>
        <v>11</v>
      </c>
      <c r="B13" s="37" t="inlineStr">
        <is>
          <t>2025年2月</t>
        </is>
      </c>
      <c r="C13" s="36">
        <f>SUMIFS(原始数据!$C$4:$C$51,原始数据!$A$4:$A$51,"2025年2月")</f>
        <v>770.0</v>
      </c>
      <c r="D13" s="38">
        <f>SUMIFS(原始数据!$E$4:$E$51,原始数据!$A$4:$A$51,"2025年2月")</f>
        <v>1229730.0</v>
      </c>
      <c r="E13" s="38">
        <f>SUMIFS(原始数据!$F$4:$F$51,原始数据!$A$4:$A$51,"2025年2月")</f>
        <v>698400.0</v>
      </c>
      <c r="F13" s="38">
        <f>SUMIFS(原始数据!$G$4:$G$51,原始数据!$A$4:$A$51,"2025年2月")</f>
        <v>531330.0</v>
      </c>
      <c r="G13" s="36">
        <f>SUMPRODUCT((原始数据!$A$4:$A$51="2025年2月")/COUNTIFS(原始数据!$B$4:$B$51,原始数据!$B$4:$B$51&amp;"",原始数据!$A$4:$A$51,原始数据!$A$4:$A$51&amp;""))</f>
        <v>4</v>
      </c>
      <c r="H13" s="42">
        <f>IF(D13=0,"",F13/D13)</f>
        <v>0.43207045449001</v>
      </c>
      <c r="I13" s="42">
        <f>IF(SUM(原始数据!$E$4:$E$51)=0,"",D13/SUM(原始数据!$E$4:$E$51))</f>
        <v>0.05342565575818462</v>
      </c>
    </row>
    <row r="14">
      <c r="A14" s="39">
        <f>ROW()-2</f>
        <v>12</v>
      </c>
      <c r="B14" s="40" t="inlineStr">
        <is>
          <t>2025年5月</t>
        </is>
      </c>
      <c r="C14" s="39">
        <f>SUMIFS(原始数据!$C$4:$C$51,原始数据!$A$4:$A$51,"2025年5月")</f>
        <v>509.0</v>
      </c>
      <c r="D14" s="41">
        <f>SUMIFS(原始数据!$E$4:$E$51,原始数据!$A$4:$A$51,"2025年5月")</f>
        <v>957991.0</v>
      </c>
      <c r="E14" s="41">
        <f>SUMIFS(原始数据!$F$4:$F$51,原始数据!$A$4:$A$51,"2025年5月")</f>
        <v>555350.0</v>
      </c>
      <c r="F14" s="41">
        <f>SUMIFS(原始数据!$G$4:$G$51,原始数据!$A$4:$A$51,"2025年5月")</f>
        <v>402641.0</v>
      </c>
      <c r="G14" s="39">
        <f>SUMPRODUCT((原始数据!$A$4:$A$51="2025年5月")/COUNTIFS(原始数据!$B$4:$B$51,原始数据!$B$4:$B$51&amp;"",原始数据!$A$4:$A$51,原始数据!$A$4:$A$51&amp;""))</f>
        <v>4</v>
      </c>
      <c r="H14" s="43">
        <f>IF(D14=0,"",F14/D14)</f>
        <v>0.42029726792840433</v>
      </c>
      <c r="I14" s="43">
        <f>IF(SUM(原始数据!$E$4:$E$51)=0,"",D14/SUM(原始数据!$E$4:$E$51))</f>
        <v>0.04161994696839066</v>
      </c>
    </row>
  </sheetData>
  <autoFilter ref="A2:I14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17" min="1" max="1"/>
    <col width="18" customWidth="1" style="17" min="2" max="2"/>
    <col width="13" customWidth="1" style="17" min="3" max="3"/>
    <col width="17" customWidth="1" style="17" min="4" max="4"/>
    <col width="16" customWidth="1" style="17" min="5" max="5"/>
    <col width="16" customWidth="1" style="17" min="6" max="6"/>
    <col width="9" customWidth="1" style="17" min="7" max="7"/>
    <col width="9" customWidth="1" style="17" min="8" max="8"/>
    <col width="13" customWidth="1" style="17" min="9" max="9"/>
  </cols>
  <sheetData>
    <row r="1">
      <c r="A1" s="34" t="inlineStr">
        <is>
          <t>产品型号维度统计分析</t>
        </is>
      </c>
    </row>
    <row r="2">
      <c r="A2" s="35" t="inlineStr">
        <is>
          <t>序号</t>
        </is>
      </c>
      <c r="B2" s="35" t="inlineStr">
        <is>
          <t>产品型号</t>
        </is>
      </c>
      <c r="C2" s="35" t="inlineStr">
        <is>
          <t>总销售数量</t>
        </is>
      </c>
      <c r="D2" s="35" t="inlineStr">
        <is>
          <t>总销售金额</t>
        </is>
      </c>
      <c r="E2" s="35" t="inlineStr">
        <is>
          <t>总成本</t>
        </is>
      </c>
      <c r="F2" s="35" t="inlineStr">
        <is>
          <t>总利润</t>
        </is>
      </c>
      <c r="G2" s="35" t="inlineStr">
        <is>
          <t>机型数</t>
        </is>
      </c>
      <c r="H2" s="35" t="inlineStr">
        <is>
          <t>利润率</t>
        </is>
      </c>
      <c r="I2" s="35" t="inlineStr">
        <is>
          <t>销售额占比</t>
        </is>
      </c>
    </row>
    <row r="3">
      <c r="A3" s="36">
        <f>ROW()-2</f>
        <v>1</v>
      </c>
      <c r="B3" s="37" t="inlineStr">
        <is>
          <t>StarWatch Ultra</t>
        </is>
      </c>
      <c r="C3" s="36">
        <f>SUMIFS(原始数据!$C$4:$C$51,原始数据!$B$4:$B$51,"StarWatch Ultra")</f>
        <v>3382.0</v>
      </c>
      <c r="D3" s="38">
        <f>SUMIFS(原始数据!$E$4:$E$51,原始数据!$B$4:$B$51,"StarWatch Ultra")</f>
        <v>10142618.0</v>
      </c>
      <c r="E3" s="38">
        <f>SUMIFS(原始数据!$F$4:$F$51,原始数据!$B$4:$B$51,"StarWatch Ultra")</f>
        <v>6087600.0</v>
      </c>
      <c r="F3" s="38">
        <f>SUMIFS(原始数据!$G$4:$G$51,原始数据!$B$4:$B$51,"StarWatch Ultra")</f>
        <v>4055018.0</v>
      </c>
      <c r="G3" s="36">
        <f>SUMPRODUCT((原始数据!$B$4:$B$51="StarWatch Ultra")/COUNTIFS(原始数据!$B$4:$B$51,原始数据!$B$4:$B$51&amp;"",原始数据!$B$4:$B$51,原始数据!$B$4:$B$51&amp;""))</f>
        <v>1</v>
      </c>
      <c r="H3" s="42">
        <f>IF(D3=0,"",F3/D3)</f>
        <v>0.3997999333111037</v>
      </c>
      <c r="I3" s="42">
        <f>IF(SUM(原始数据!$E$4:$E$51)=0,"",D3/SUM(原始数据!$E$4:$E$51))</f>
        <v>0.44064633517501156</v>
      </c>
    </row>
    <row r="4">
      <c r="A4" s="39">
        <f>ROW()-2</f>
        <v>2</v>
      </c>
      <c r="B4" s="40" t="inlineStr">
        <is>
          <t>StarWatch Pro</t>
        </is>
      </c>
      <c r="C4" s="39">
        <f>SUMIFS(原始数据!$C$4:$C$51,原始数据!$B$4:$B$51,"StarWatch Pro")</f>
        <v>3532.0</v>
      </c>
      <c r="D4" s="41">
        <f>SUMIFS(原始数据!$E$4:$E$51,原始数据!$B$4:$B$51,"StarWatch Pro")</f>
        <v>7060468.0</v>
      </c>
      <c r="E4" s="41">
        <f>SUMIFS(原始数据!$F$4:$F$51,原始数据!$B$4:$B$51,"StarWatch Pro")</f>
        <v>3885200.0</v>
      </c>
      <c r="F4" s="41">
        <f>SUMIFS(原始数据!$G$4:$G$51,原始数据!$B$4:$B$51,"StarWatch Pro")</f>
        <v>3175268.0</v>
      </c>
      <c r="G4" s="39">
        <f>SUMPRODUCT((原始数据!$B$4:$B$51="StarWatch Pro")/COUNTIFS(原始数据!$B$4:$B$51,原始数据!$B$4:$B$51&amp;"",原始数据!$B$4:$B$51,原始数据!$B$4:$B$51&amp;""))</f>
        <v>1</v>
      </c>
      <c r="H4" s="43">
        <f>IF(D4=0,"",F4/D4)</f>
        <v>0.4497248624312156</v>
      </c>
      <c r="I4" s="43">
        <f>IF(SUM(原始数据!$E$4:$E$51)=0,"",D4/SUM(原始数据!$E$4:$E$51))</f>
        <v>0.3067422384260596</v>
      </c>
    </row>
    <row r="5">
      <c r="A5" s="36">
        <f>ROW()-2</f>
        <v>3</v>
      </c>
      <c r="B5" s="37" t="inlineStr">
        <is>
          <t>StarWatch SE</t>
        </is>
      </c>
      <c r="C5" s="36">
        <f>SUMIFS(原始数据!$C$4:$C$51,原始数据!$B$4:$B$51,"StarWatch SE")</f>
        <v>3787.0</v>
      </c>
      <c r="D5" s="38">
        <f>SUMIFS(原始数据!$E$4:$E$51,原始数据!$B$4:$B$51,"StarWatch SE")</f>
        <v>3783213.0</v>
      </c>
      <c r="E5" s="38">
        <f>SUMIFS(原始数据!$F$4:$F$51,原始数据!$B$4:$B$51,"StarWatch SE")</f>
        <v>2082850.0</v>
      </c>
      <c r="F5" s="38">
        <f>SUMIFS(原始数据!$G$4:$G$51,原始数据!$B$4:$B$51,"StarWatch SE")</f>
        <v>1700363.0</v>
      </c>
      <c r="G5" s="36">
        <f>SUMPRODUCT((原始数据!$B$4:$B$51="StarWatch SE")/COUNTIFS(原始数据!$B$4:$B$51,原始数据!$B$4:$B$51&amp;"",原始数据!$B$4:$B$51,原始数据!$B$4:$B$51&amp;""))</f>
        <v>1</v>
      </c>
      <c r="H5" s="42">
        <f>IF(D5=0,"",F5/D5)</f>
        <v>0.4494494494494494</v>
      </c>
      <c r="I5" s="42">
        <f>IF(SUM(原始数据!$E$4:$E$51)=0,"",D5/SUM(原始数据!$E$4:$E$51))</f>
        <v>0.1643617992550307</v>
      </c>
    </row>
    <row r="6">
      <c r="A6" s="39">
        <f>ROW()-2</f>
        <v>4</v>
      </c>
      <c r="B6" s="40" t="inlineStr">
        <is>
          <t>StarWatch Lite</t>
        </is>
      </c>
      <c r="C6" s="39">
        <f>SUMIFS(原始数据!$C$4:$C$51,原始数据!$B$4:$B$51,"StarWatch Lite")</f>
        <v>2906.0</v>
      </c>
      <c r="D6" s="41">
        <f>SUMIFS(原始数据!$E$4:$E$51,原始数据!$B$4:$B$51,"StarWatch Lite")</f>
        <v>2031294.0</v>
      </c>
      <c r="E6" s="41">
        <f>SUMIFS(原始数据!$F$4:$F$51,原始数据!$B$4:$B$51,"StarWatch Lite")</f>
        <v>1104280.0</v>
      </c>
      <c r="F6" s="41">
        <f>SUMIFS(原始数据!$G$4:$G$51,原始数据!$B$4:$B$51,"StarWatch Lite")</f>
        <v>927014.0</v>
      </c>
      <c r="G6" s="39">
        <f>SUMPRODUCT((原始数据!$B$4:$B$51="StarWatch Lite")/COUNTIFS(原始数据!$B$4:$B$51,原始数据!$B$4:$B$51&amp;"",原始数据!$B$4:$B$51,原始数据!$B$4:$B$51&amp;""))</f>
        <v>1</v>
      </c>
      <c r="H6" s="43">
        <f>IF(D6=0,"",F6/D6)</f>
        <v>0.4563662374821173</v>
      </c>
      <c r="I6" s="43">
        <f>IF(SUM(原始数据!$E$4:$E$51)=0,"",D6/SUM(原始数据!$E$4:$E$51))</f>
        <v>0.08824962714389815</v>
      </c>
    </row>
  </sheetData>
  <autoFilter ref="A2:I6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17" min="1" max="1"/>
    <col width="18" customWidth="1" style="17" min="2" max="2"/>
    <col width="15" customWidth="1" style="17" min="3" max="3"/>
    <col width="17" customWidth="1" style="17" min="4" max="4"/>
    <col width="17" customWidth="1" style="17" min="5" max="5"/>
    <col width="16" customWidth="1" style="17" min="6" max="6"/>
    <col width="9" customWidth="1" style="17" min="7" max="7"/>
    <col width="13" customWidth="1" style="17" min="8" max="8"/>
    <col width="15" customWidth="1" style="17" min="9" max="9"/>
  </cols>
  <sheetData>
    <row r="1">
      <c r="A1" s="34" t="inlineStr">
        <is>
          <t>机型销售统计</t>
        </is>
      </c>
    </row>
    <row r="2">
      <c r="A2" s="35" t="inlineStr">
        <is>
          <t>序号</t>
        </is>
      </c>
      <c r="B2" s="35" t="inlineStr">
        <is>
          <t>产品型号</t>
        </is>
      </c>
      <c r="C2" s="35" t="inlineStr">
        <is>
          <t>销售数量(只)</t>
        </is>
      </c>
      <c r="D2" s="35" t="inlineStr">
        <is>
          <t>销售金额(元)</t>
        </is>
      </c>
      <c r="E2" s="35" t="inlineStr">
        <is>
          <t>成本(元)</t>
        </is>
      </c>
      <c r="F2" s="35" t="inlineStr">
        <is>
          <t>利润(元)</t>
        </is>
      </c>
      <c r="G2" s="35" t="inlineStr">
        <is>
          <t>利润率</t>
        </is>
      </c>
      <c r="H2" s="35" t="inlineStr">
        <is>
          <t>销售额占比</t>
        </is>
      </c>
      <c r="I2" s="35" t="inlineStr">
        <is>
          <t>平均单价(元)</t>
        </is>
      </c>
    </row>
    <row r="3">
      <c r="A3" s="36">
        <f>ROW()-2</f>
        <v>1</v>
      </c>
      <c r="B3" s="37" t="inlineStr">
        <is>
          <t>StarWatch Ultra</t>
        </is>
      </c>
      <c r="C3" s="36">
        <f>SUMIFS(原始数据!$C$4:$C$51,原始数据!$B$4:$B$51,$B3)</f>
        <v>3382.0</v>
      </c>
      <c r="D3" s="38">
        <f>SUMIFS(原始数据!$E$4:$E$51,原始数据!$B$4:$B$51,$B3)</f>
        <v>10142618.0</v>
      </c>
      <c r="E3" s="38">
        <f>SUMIFS(原始数据!$F$4:$F$51,原始数据!$B$4:$B$51,$B3)</f>
        <v>6087600.0</v>
      </c>
      <c r="F3" s="38">
        <f>SUMIFS(原始数据!$G$4:$G$51,原始数据!$B$4:$B$51,$B3)</f>
        <v>4055018.0</v>
      </c>
      <c r="G3" s="42">
        <f>IF(D3=0,"",F3/D3)</f>
        <v>0.3997999333111037</v>
      </c>
      <c r="H3" s="42">
        <f>IF(SUM(原始数据!$E$4:$E$51)=0,"",D3/SUM(原始数据!$E$4:$E$51))</f>
        <v>0.44064633517501156</v>
      </c>
      <c r="I3" s="38">
        <f>IF(C3=0,"",D3/C3)</f>
        <v>2999.0</v>
      </c>
    </row>
    <row r="4">
      <c r="A4" s="39">
        <f>ROW()-2</f>
        <v>2</v>
      </c>
      <c r="B4" s="40" t="inlineStr">
        <is>
          <t>StarWatch Pro</t>
        </is>
      </c>
      <c r="C4" s="39">
        <f>SUMIFS(原始数据!$C$4:$C$51,原始数据!$B$4:$B$51,$B4)</f>
        <v>3532.0</v>
      </c>
      <c r="D4" s="41">
        <f>SUMIFS(原始数据!$E$4:$E$51,原始数据!$B$4:$B$51,$B4)</f>
        <v>7060468.0</v>
      </c>
      <c r="E4" s="41">
        <f>SUMIFS(原始数据!$F$4:$F$51,原始数据!$B$4:$B$51,$B4)</f>
        <v>3885200.0</v>
      </c>
      <c r="F4" s="41">
        <f>SUMIFS(原始数据!$G$4:$G$51,原始数据!$B$4:$B$51,$B4)</f>
        <v>3175268.0</v>
      </c>
      <c r="G4" s="43">
        <f>IF(D4=0,"",F4/D4)</f>
        <v>0.4497248624312156</v>
      </c>
      <c r="H4" s="43">
        <f>IF(SUM(原始数据!$E$4:$E$51)=0,"",D4/SUM(原始数据!$E$4:$E$51))</f>
        <v>0.3067422384260596</v>
      </c>
      <c r="I4" s="41">
        <f>IF(C4=0,"",D4/C4)</f>
        <v>1999.0</v>
      </c>
    </row>
    <row r="5">
      <c r="A5" s="36">
        <f>ROW()-2</f>
        <v>3</v>
      </c>
      <c r="B5" s="37" t="inlineStr">
        <is>
          <t>StarWatch SE</t>
        </is>
      </c>
      <c r="C5" s="36">
        <f>SUMIFS(原始数据!$C$4:$C$51,原始数据!$B$4:$B$51,$B5)</f>
        <v>3787.0</v>
      </c>
      <c r="D5" s="38">
        <f>SUMIFS(原始数据!$E$4:$E$51,原始数据!$B$4:$B$51,$B5)</f>
        <v>3783213.0</v>
      </c>
      <c r="E5" s="38">
        <f>SUMIFS(原始数据!$F$4:$F$51,原始数据!$B$4:$B$51,$B5)</f>
        <v>2082850.0</v>
      </c>
      <c r="F5" s="38">
        <f>SUMIFS(原始数据!$G$4:$G$51,原始数据!$B$4:$B$51,$B5)</f>
        <v>1700363.0</v>
      </c>
      <c r="G5" s="42">
        <f>IF(D5=0,"",F5/D5)</f>
        <v>0.4494494494494494</v>
      </c>
      <c r="H5" s="42">
        <f>IF(SUM(原始数据!$E$4:$E$51)=0,"",D5/SUM(原始数据!$E$4:$E$51))</f>
        <v>0.1643617992550307</v>
      </c>
      <c r="I5" s="38">
        <f>IF(C5=0,"",D5/C5)</f>
        <v>999.0</v>
      </c>
    </row>
    <row r="6">
      <c r="A6" s="39">
        <f>ROW()-2</f>
        <v>4</v>
      </c>
      <c r="B6" s="40" t="inlineStr">
        <is>
          <t>StarWatch Lite</t>
        </is>
      </c>
      <c r="C6" s="39">
        <f>SUMIFS(原始数据!$C$4:$C$51,原始数据!$B$4:$B$51,$B6)</f>
        <v>2906.0</v>
      </c>
      <c r="D6" s="41">
        <f>SUMIFS(原始数据!$E$4:$E$51,原始数据!$B$4:$B$51,$B6)</f>
        <v>2031294.0</v>
      </c>
      <c r="E6" s="41">
        <f>SUMIFS(原始数据!$F$4:$F$51,原始数据!$B$4:$B$51,$B6)</f>
        <v>1104280.0</v>
      </c>
      <c r="F6" s="41">
        <f>SUMIFS(原始数据!$G$4:$G$51,原始数据!$B$4:$B$51,$B6)</f>
        <v>927014.0</v>
      </c>
      <c r="G6" s="43">
        <f>IF(D6=0,"",F6/D6)</f>
        <v>0.4563662374821173</v>
      </c>
      <c r="H6" s="43">
        <f>IF(SUM(原始数据!$E$4:$E$51)=0,"",D6/SUM(原始数据!$E$4:$E$51))</f>
        <v>0.08824962714389815</v>
      </c>
      <c r="I6" s="41">
        <f>IF(C6=0,"",D6/C6)</f>
        <v>699.0</v>
      </c>
    </row>
    <row r="7">
      <c r="A7" s="46" t="n"/>
      <c r="B7" s="47" t="inlineStr">
        <is>
          <t>合计</t>
        </is>
      </c>
      <c r="C7" s="46">
        <f>SUM(原始数据!$C$4:$C$51)</f>
        <v>13607.0</v>
      </c>
      <c r="D7" s="48">
        <f>SUM(原始数据!$E$4:$E$51)</f>
        <v>23017593.0</v>
      </c>
      <c r="E7" s="48">
        <f>SUM(原始数据!$F$4:$F$51)</f>
        <v>13159930.0</v>
      </c>
      <c r="F7" s="48">
        <f>SUM(原始数据!$G$4:$G$51)</f>
        <v>9857663.0</v>
      </c>
      <c r="G7" s="49">
        <f>IF(D7=0,"",F7/D7)</f>
        <v>0.42826645687930964</v>
      </c>
      <c r="H7" s="49">
        <f>IF(SUM(原始数据!$E$4:$E$51)=0,"",D7/SUM(原始数据!$E$4:$E$51))</f>
        <v>1.0</v>
      </c>
      <c r="I7" s="48">
        <f>IF(C7=0,"",D7/C7)</f>
        <v>1691.5993973690013</v>
      </c>
    </row>
  </sheetData>
  <autoFilter ref="A2:I7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style="17" min="1" max="1"/>
    <col width="18" customWidth="1" style="17" min="2" max="2"/>
    <col width="16" customWidth="1" style="17" min="3" max="3"/>
    <col width="16" customWidth="1" style="17" min="4" max="4"/>
    <col width="17" customWidth="1" style="17" min="5" max="5"/>
    <col width="17" customWidth="1" style="17" min="6" max="6"/>
  </cols>
  <sheetData>
    <row r="1">
      <c r="A1" s="34" t="inlineStr">
        <is>
          <t>月份 × 机型 销售金额交叉表（元）</t>
        </is>
      </c>
    </row>
    <row r="2">
      <c r="A2" s="35" t="inlineStr">
        <is>
          <t>月份</t>
        </is>
      </c>
      <c r="B2" s="35" t="inlineStr">
        <is>
          <t>StarWatch Ultra</t>
        </is>
      </c>
      <c r="C2" s="35" t="inlineStr">
        <is>
          <t>StarWatch Pro</t>
        </is>
      </c>
      <c r="D2" s="35" t="inlineStr">
        <is>
          <t>StarWatch SE</t>
        </is>
      </c>
      <c r="E2" s="35" t="inlineStr">
        <is>
          <t>StarWatch Lite</t>
        </is>
      </c>
      <c r="F2" s="35" t="inlineStr">
        <is>
          <t>合计</t>
        </is>
      </c>
    </row>
    <row r="3">
      <c r="A3" s="37" t="inlineStr">
        <is>
          <t>2025年1月</t>
        </is>
      </c>
      <c r="B3" s="38">
        <f>SUMIFS(原始数据!$E$4:$E$51,原始数据!$A$4:$A$51,$A3,原始数据!$B$4:$B$51,B$2)</f>
        <v>1376541.0</v>
      </c>
      <c r="C3" s="38">
        <f>SUMIFS(原始数据!$E$4:$E$51,原始数据!$A$4:$A$51,$A3,原始数据!$B$4:$B$51,C$2)</f>
        <v>813593.0</v>
      </c>
      <c r="D3" s="38">
        <f>SUMIFS(原始数据!$E$4:$E$51,原始数据!$A$4:$A$51,$A3,原始数据!$B$4:$B$51,D$2)</f>
        <v>91908.0</v>
      </c>
      <c r="E3" s="38">
        <f>SUMIFS(原始数据!$E$4:$E$51,原始数据!$A$4:$A$51,$A3,原始数据!$B$4:$B$51,E$2)</f>
        <v>95763.0</v>
      </c>
      <c r="F3" s="38">
        <f>SUMIFS(原始数据!$E$4:$E$51,原始数据!$A$4:$A$51,$A3)</f>
        <v>2377805.0</v>
      </c>
    </row>
    <row r="4">
      <c r="A4" s="40" t="inlineStr">
        <is>
          <t>2025年2月</t>
        </is>
      </c>
      <c r="B4" s="41">
        <f>SUMIFS(原始数据!$E$4:$E$51,原始数据!$A$4:$A$51,$A4,原始数据!$B$4:$B$51,B$2)</f>
        <v>452849.0</v>
      </c>
      <c r="C4" s="41">
        <f>SUMIFS(原始数据!$E$4:$E$51,原始数据!$A$4:$A$51,$A4,原始数据!$B$4:$B$51,C$2)</f>
        <v>439780.0</v>
      </c>
      <c r="D4" s="41">
        <f>SUMIFS(原始数据!$E$4:$E$51,原始数据!$A$4:$A$51,$A4,原始数据!$B$4:$B$51,D$2)</f>
        <v>193806.0</v>
      </c>
      <c r="E4" s="41">
        <f>SUMIFS(原始数据!$E$4:$E$51,原始数据!$A$4:$A$51,$A4,原始数据!$B$4:$B$51,E$2)</f>
        <v>143295.0</v>
      </c>
      <c r="F4" s="41">
        <f>SUMIFS(原始数据!$E$4:$E$51,原始数据!$A$4:$A$51,$A4)</f>
        <v>1229730.0</v>
      </c>
    </row>
    <row r="5">
      <c r="A5" s="37" t="inlineStr">
        <is>
          <t>2025年3月</t>
        </is>
      </c>
      <c r="B5" s="38">
        <f>SUMIFS(原始数据!$E$4:$E$51,原始数据!$A$4:$A$51,$A5,原始数据!$B$4:$B$51,B$2)</f>
        <v>1376541.0</v>
      </c>
      <c r="C5" s="38">
        <f>SUMIFS(原始数据!$E$4:$E$51,原始数据!$A$4:$A$51,$A5,原始数据!$B$4:$B$51,C$2)</f>
        <v>913543.0</v>
      </c>
      <c r="D5" s="38">
        <f>SUMIFS(原始数据!$E$4:$E$51,原始数据!$A$4:$A$51,$A5,原始数据!$B$4:$B$51,D$2)</f>
        <v>425574.0</v>
      </c>
      <c r="E5" s="38">
        <f>SUMIFS(原始数据!$E$4:$E$51,原始数据!$A$4:$A$51,$A5,原始数据!$B$4:$B$51,E$2)</f>
        <v>92268.0</v>
      </c>
      <c r="F5" s="38">
        <f>SUMIFS(原始数据!$E$4:$E$51,原始数据!$A$4:$A$51,$A5)</f>
        <v>2807926.0</v>
      </c>
    </row>
    <row r="6">
      <c r="A6" s="40" t="inlineStr">
        <is>
          <t>2025年4月</t>
        </is>
      </c>
      <c r="B6" s="41">
        <f>SUMIFS(原始数据!$E$4:$E$51,原始数据!$A$4:$A$51,$A6,原始数据!$B$4:$B$51,B$2)</f>
        <v>887704.0</v>
      </c>
      <c r="C6" s="41">
        <f>SUMIFS(原始数据!$E$4:$E$51,原始数据!$A$4:$A$51,$A6,原始数据!$B$4:$B$51,C$2)</f>
        <v>717641.0</v>
      </c>
      <c r="D6" s="41">
        <f>SUMIFS(原始数据!$E$4:$E$51,原始数据!$A$4:$A$51,$A6,原始数据!$B$4:$B$51,D$2)</f>
        <v>381618.0</v>
      </c>
      <c r="E6" s="41">
        <f>SUMIFS(原始数据!$E$4:$E$51,原始数据!$A$4:$A$51,$A6,原始数据!$B$4:$B$51,E$2)</f>
        <v>86676.0</v>
      </c>
      <c r="F6" s="41">
        <f>SUMIFS(原始数据!$E$4:$E$51,原始数据!$A$4:$A$51,$A6)</f>
        <v>2073639.0</v>
      </c>
    </row>
    <row r="7">
      <c r="A7" s="37" t="inlineStr">
        <is>
          <t>2025年5月</t>
        </is>
      </c>
      <c r="B7" s="38">
        <f>SUMIFS(原始数据!$E$4:$E$51,原始数据!$A$4:$A$51,$A7,原始数据!$B$4:$B$51,B$2)</f>
        <v>572809.0</v>
      </c>
      <c r="C7" s="38">
        <f>SUMIFS(原始数据!$E$4:$E$51,原始数据!$A$4:$A$51,$A7,原始数据!$B$4:$B$51,C$2)</f>
        <v>191904.0</v>
      </c>
      <c r="D7" s="38">
        <f>SUMIFS(原始数据!$E$4:$E$51,原始数据!$A$4:$A$51,$A7,原始数据!$B$4:$B$51,D$2)</f>
        <v>126873.0</v>
      </c>
      <c r="E7" s="38">
        <f>SUMIFS(原始数据!$E$4:$E$51,原始数据!$A$4:$A$51,$A7,原始数据!$B$4:$B$51,E$2)</f>
        <v>66405.0</v>
      </c>
      <c r="F7" s="38">
        <f>SUMIFS(原始数据!$E$4:$E$51,原始数据!$A$4:$A$51,$A7)</f>
        <v>957991.0</v>
      </c>
    </row>
    <row r="8">
      <c r="A8" s="40" t="inlineStr">
        <is>
          <t>2025年6月</t>
        </is>
      </c>
      <c r="B8" s="41">
        <f>SUMIFS(原始数据!$E$4:$E$51,原始数据!$A$4:$A$51,$A8,原始数据!$B$4:$B$51,B$2)</f>
        <v>278907.0</v>
      </c>
      <c r="C8" s="41">
        <f>SUMIFS(原始数据!$E$4:$E$51,原始数据!$A$4:$A$51,$A8,原始数据!$B$4:$B$51,C$2)</f>
        <v>397801.0</v>
      </c>
      <c r="D8" s="41">
        <f>SUMIFS(原始数据!$E$4:$E$51,原始数据!$A$4:$A$51,$A8,原始数据!$B$4:$B$51,D$2)</f>
        <v>387612.0</v>
      </c>
      <c r="E8" s="41">
        <f>SUMIFS(原始数据!$E$4:$E$51,原始数据!$A$4:$A$51,$A8,原始数据!$B$4:$B$51,E$2)</f>
        <v>236262.0</v>
      </c>
      <c r="F8" s="41">
        <f>SUMIFS(原始数据!$E$4:$E$51,原始数据!$A$4:$A$51,$A8)</f>
        <v>1300582.0</v>
      </c>
    </row>
    <row r="9">
      <c r="A9" s="37" t="inlineStr">
        <is>
          <t>2025年7月</t>
        </is>
      </c>
      <c r="B9" s="38">
        <f>SUMIFS(原始数据!$E$4:$E$51,原始数据!$A$4:$A$51,$A9,原始数据!$B$4:$B$51,B$2)</f>
        <v>1235588.0</v>
      </c>
      <c r="C9" s="38">
        <f>SUMIFS(原始数据!$E$4:$E$51,原始数据!$A$4:$A$51,$A9,原始数据!$B$4:$B$51,C$2)</f>
        <v>733633.0</v>
      </c>
      <c r="D9" s="38">
        <f>SUMIFS(原始数据!$E$4:$E$51,原始数据!$A$4:$A$51,$A9,原始数据!$B$4:$B$51,D$2)</f>
        <v>445554.0</v>
      </c>
      <c r="E9" s="38">
        <f>SUMIFS(原始数据!$E$4:$E$51,原始数据!$A$4:$A$51,$A9,原始数据!$B$4:$B$51,E$2)</f>
        <v>126519.0</v>
      </c>
      <c r="F9" s="38">
        <f>SUMIFS(原始数据!$E$4:$E$51,原始数据!$A$4:$A$51,$A9)</f>
        <v>2541294.0</v>
      </c>
    </row>
    <row r="10">
      <c r="A10" s="40" t="inlineStr">
        <is>
          <t>2025年8月</t>
        </is>
      </c>
      <c r="B10" s="41">
        <f>SUMIFS(原始数据!$E$4:$E$51,原始数据!$A$4:$A$51,$A10,原始数据!$B$4:$B$51,B$2)</f>
        <v>575808.0</v>
      </c>
      <c r="C10" s="41">
        <f>SUMIFS(原始数据!$E$4:$E$51,原始数据!$A$4:$A$51,$A10,原始数据!$B$4:$B$51,C$2)</f>
        <v>877561.0</v>
      </c>
      <c r="D10" s="41">
        <f>SUMIFS(原始数据!$E$4:$E$51,原始数据!$A$4:$A$51,$A10,原始数据!$B$4:$B$51,D$2)</f>
        <v>293706.0</v>
      </c>
      <c r="E10" s="41">
        <f>SUMIFS(原始数据!$E$4:$E$51,原始数据!$A$4:$A$51,$A10,原始数据!$B$4:$B$51,E$2)</f>
        <v>250941.0</v>
      </c>
      <c r="F10" s="41">
        <f>SUMIFS(原始数据!$E$4:$E$51,原始数据!$A$4:$A$51,$A10)</f>
        <v>1998016.0</v>
      </c>
    </row>
    <row r="11">
      <c r="A11" s="37" t="inlineStr">
        <is>
          <t>2025年9月</t>
        </is>
      </c>
      <c r="B11" s="38">
        <f>SUMIFS(原始数据!$E$4:$E$51,原始数据!$A$4:$A$51,$A11,原始数据!$B$4:$B$51,B$2)</f>
        <v>1481506.0</v>
      </c>
      <c r="C11" s="38">
        <f>SUMIFS(原始数据!$E$4:$E$51,原始数据!$A$4:$A$51,$A11,原始数据!$B$4:$B$51,C$2)</f>
        <v>617691.0</v>
      </c>
      <c r="D11" s="38">
        <f>SUMIFS(原始数据!$E$4:$E$51,原始数据!$A$4:$A$51,$A11,原始数据!$B$4:$B$51,D$2)</f>
        <v>221778.0</v>
      </c>
      <c r="E11" s="38">
        <f>SUMIFS(原始数据!$E$4:$E$51,原始数据!$A$4:$A$51,$A11,原始数据!$B$4:$B$51,E$2)</f>
        <v>266319.0</v>
      </c>
      <c r="F11" s="38">
        <f>SUMIFS(原始数据!$E$4:$E$51,原始数据!$A$4:$A$51,$A11)</f>
        <v>2587294.0</v>
      </c>
    </row>
    <row r="12">
      <c r="A12" s="40" t="inlineStr">
        <is>
          <t>2025年10月</t>
        </is>
      </c>
      <c r="B12" s="41">
        <f>SUMIFS(原始数据!$E$4:$E$51,原始数据!$A$4:$A$51,$A12,原始数据!$B$4:$B$51,B$2)</f>
        <v>482839.0</v>
      </c>
      <c r="C12" s="41">
        <f>SUMIFS(原始数据!$E$4:$E$51,原始数据!$A$4:$A$51,$A12,原始数据!$B$4:$B$51,C$2)</f>
        <v>165917.0</v>
      </c>
      <c r="D12" s="41">
        <f>SUMIFS(原始数据!$E$4:$E$51,原始数据!$A$4:$A$51,$A12,原始数据!$B$4:$B$51,D$2)</f>
        <v>491508.0</v>
      </c>
      <c r="E12" s="41">
        <f>SUMIFS(原始数据!$E$4:$E$51,原始数据!$A$4:$A$51,$A12,原始数据!$B$4:$B$51,E$2)</f>
        <v>327132.0</v>
      </c>
      <c r="F12" s="41">
        <f>SUMIFS(原始数据!$E$4:$E$51,原始数据!$A$4:$A$51,$A12)</f>
        <v>1467396.0</v>
      </c>
    </row>
    <row r="13">
      <c r="A13" s="37" t="inlineStr">
        <is>
          <t>2025年11月</t>
        </is>
      </c>
      <c r="B13" s="38">
        <f>SUMIFS(原始数据!$E$4:$E$51,原始数据!$A$4:$A$51,$A13,原始数据!$B$4:$B$51,B$2)</f>
        <v>665778.0</v>
      </c>
      <c r="C13" s="38">
        <f>SUMIFS(原始数据!$E$4:$E$51,原始数据!$A$4:$A$51,$A13,原始数据!$B$4:$B$51,C$2)</f>
        <v>873563.0</v>
      </c>
      <c r="D13" s="38">
        <f>SUMIFS(原始数据!$E$4:$E$51,原始数据!$A$4:$A$51,$A13,原始数据!$B$4:$B$51,D$2)</f>
        <v>253746.0</v>
      </c>
      <c r="E13" s="38">
        <f>SUMIFS(原始数据!$E$4:$E$51,原始数据!$A$4:$A$51,$A13,原始数据!$B$4:$B$51,E$2)</f>
        <v>206904.0</v>
      </c>
      <c r="F13" s="38">
        <f>SUMIFS(原始数据!$E$4:$E$51,原始数据!$A$4:$A$51,$A13)</f>
        <v>1999991.0</v>
      </c>
    </row>
    <row r="14">
      <c r="A14" s="40" t="inlineStr">
        <is>
          <t>2025年12月</t>
        </is>
      </c>
      <c r="B14" s="41">
        <f>SUMIFS(原始数据!$E$4:$E$51,原始数据!$A$4:$A$51,$A14,原始数据!$B$4:$B$51,B$2)</f>
        <v>755748.0</v>
      </c>
      <c r="C14" s="41">
        <f>SUMIFS(原始数据!$E$4:$E$51,原始数据!$A$4:$A$51,$A14,原始数据!$B$4:$B$51,C$2)</f>
        <v>317841.0</v>
      </c>
      <c r="D14" s="41">
        <f>SUMIFS(原始数据!$E$4:$E$51,原始数据!$A$4:$A$51,$A14,原始数据!$B$4:$B$51,D$2)</f>
        <v>469530.0</v>
      </c>
      <c r="E14" s="41">
        <f>SUMIFS(原始数据!$E$4:$E$51,原始数据!$A$4:$A$51,$A14,原始数据!$B$4:$B$51,E$2)</f>
        <v>132810.0</v>
      </c>
      <c r="F14" s="41">
        <f>SUMIFS(原始数据!$E$4:$E$51,原始数据!$A$4:$A$51,$A14)</f>
        <v>1675929.0</v>
      </c>
    </row>
    <row r="15">
      <c r="A15" s="47" t="inlineStr">
        <is>
          <t>合计</t>
        </is>
      </c>
      <c r="B15" s="48">
        <f>SUMIFS(原始数据!$E$4:$E$51,原始数据!$B$4:$B$51,B$2)</f>
        <v>10142618.0</v>
      </c>
      <c r="C15" s="48">
        <f>SUMIFS(原始数据!$E$4:$E$51,原始数据!$B$4:$B$51,C$2)</f>
        <v>7060468.0</v>
      </c>
      <c r="D15" s="48">
        <f>SUMIFS(原始数据!$E$4:$E$51,原始数据!$B$4:$B$51,D$2)</f>
        <v>3783213.0</v>
      </c>
      <c r="E15" s="48">
        <f>SUMIFS(原始数据!$E$4:$E$51,原始数据!$B$4:$B$51,E$2)</f>
        <v>2031294.0</v>
      </c>
      <c r="F15" s="48">
        <f>SUM(原始数据!$E$4:$E$51)</f>
        <v>23017593.0</v>
      </c>
    </row>
  </sheetData>
  <autoFilter ref="A2:F1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2026-10-10T07:47:16Z</dcterms:created>
  <dcterms:modified xsi:type="dcterms:W3CDTF">2026-10-10T15:02:07Z</dcterms:modified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IGC" fmtid="{D5CDD505-2E9C-101B-9397-08002B2CF9AE}" pid="2">
    <vt:lpwstr>{"Label":"1","ContentProducer":"001191440101MA9Y9T4H7A00000","ProduceID":"541a72533c0a4b299866be6b37b13380","ReservedCode1":"043f762171d44ab2911fed5b1f9e9fa3af39ca98b5fd6ec080c95876ceb6bf9c","ContentPropagator":"001191440101MA9Y9T4H7A00000","PropagateID":"541a72533c0a4b299866be6b37b13380","ReservedCode2":"043f762171d44ab2911fed5b1f9e9fa3af39ca98b5fd6ec080c95876ceb6bf9c"}</vt:lpwstr>
  </property>
</Properties>
</file>