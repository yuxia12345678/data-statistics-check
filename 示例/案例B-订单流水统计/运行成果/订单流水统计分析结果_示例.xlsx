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同订单号合并汇总" sheetId="2" state="visible" r:id="rId2"/>
    <sheet name="异常原因分类汇总" sheetId="3" state="visible" r:id="rId3"/>
    <sheet name="统计总览" sheetId="4" state="visible" r:id="rId4"/>
    <sheet name="区域统计" sheetId="5" state="visible" r:id="rId5"/>
    <sheet name="部门统计" sheetId="6" state="visible" r:id="rId6"/>
    <sheet name="库龄统计" sheetId="7" state="visible" r:id="rId7"/>
    <sheet name="渠道分类统计" sheetId="8" state="visible" r:id="rId8"/>
  </sheets>
  <definedNames>
    <definedName name="_xlnm._FilterDatabase" localSheetId="1" hidden="1">'同订单号合并汇总'!$A$2:$N$14</definedName>
    <definedName name="_xlnm._FilterDatabase" localSheetId="2" hidden="1">'异常原因分类汇总'!$A$2:$F$6</definedName>
    <definedName name="_xlnm._FilterDatabase" localSheetId="3" hidden="1">'统计总览'!$A$2:$B$10</definedName>
    <definedName name="_xlnm._FilterDatabase" localSheetId="4" hidden="1">'区域统计'!$A$2:$I$5</definedName>
    <definedName name="_xlnm._FilterDatabase" localSheetId="5" hidden="1">'部门统计'!$A$2:$I$5</definedName>
    <definedName name="_xlnm._FilterDatabase" localSheetId="6" hidden="1">'库龄统计'!$A$2:$I$5</definedName>
    <definedName name="_xlnm._FilterDatabase" localSheetId="7" hidden="1">'渠道分类统计'!$A$2:$I$5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color rgb="FFFFFFFF"/>
      <sz val="14"/>
    </font>
  </fonts>
  <fills count="6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EBF1F8"/>
        <bgColor rgb="FFEBF1F8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49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5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ill>
        <patternFill patternType="solid">
          <fgColor rgb="FFFDE9D9"/>
          <bgColor rgb="FFFDE9D9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BF1DE"/>
          <bgColor rgb="FFEBF1DE"/>
        </patternFill>
      </fill>
    </dxf>
    <dxf>
      <fill>
        <patternFill patternType="solid">
          <fgColor rgb="FFE4DFEC"/>
          <bgColor rgb="FF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单位：万元</t>
        </is>
      </c>
    </row>
    <row r="2">
      <c r="A2" s="1" t="inlineStr">
        <is>
          <t>序号</t>
        </is>
      </c>
      <c r="B2" s="1" t="inlineStr">
        <is>
          <t>区域</t>
        </is>
      </c>
      <c r="C2" s="1" t="inlineStr">
        <is>
          <t>渠道分类</t>
        </is>
      </c>
      <c r="D2" s="1" t="inlineStr">
        <is>
          <t>订单号</t>
        </is>
      </c>
      <c r="E2" s="1" t="inlineStr">
        <is>
          <t>下单日期</t>
        </is>
      </c>
      <c r="F2" s="1" t="inlineStr">
        <is>
          <t>订单金额</t>
        </is>
      </c>
      <c r="G2" s="1" t="inlineStr">
        <is>
          <t>合并发货金额</t>
        </is>
      </c>
      <c r="H2" s="1" t="inlineStr">
        <is>
          <t>未发货金额</t>
        </is>
      </c>
      <c r="I2" s="1" t="inlineStr">
        <is>
          <t>发货金额</t>
        </is>
      </c>
      <c r="J2" s="1" t="inlineStr">
        <is>
          <t>已结算金额</t>
        </is>
      </c>
      <c r="K2" s="1" t="inlineStr">
        <is>
          <t>未结算金额</t>
        </is>
      </c>
      <c r="L2" s="1" t="inlineStr">
        <is>
          <t>部门</t>
        </is>
      </c>
      <c r="M2" s="1" t="inlineStr">
        <is>
          <t>经办人</t>
        </is>
      </c>
      <c r="N2" s="1" t="inlineStr">
        <is>
          <t>库龄</t>
        </is>
      </c>
      <c r="O2" s="1" t="inlineStr">
        <is>
          <t>异常原因分类</t>
        </is>
      </c>
    </row>
    <row r="3">
      <c r="A3" t="n">
        <v>1</v>
      </c>
      <c r="B3" t="inlineStr">
        <is>
          <t>华东</t>
        </is>
      </c>
      <c r="C3" t="inlineStr">
        <is>
          <t>直营</t>
        </is>
      </c>
      <c r="D3" t="inlineStr">
        <is>
          <t>DD2026001</t>
        </is>
      </c>
      <c r="E3" t="inlineStr">
        <is>
          <t>202600305</t>
        </is>
      </c>
      <c r="F3" t="n">
        <v>12</v>
      </c>
      <c r="H3" t="n">
        <v>0.8</v>
      </c>
      <c r="I3" t="n">
        <v>11.2</v>
      </c>
      <c r="J3" t="n">
        <v>7.28</v>
      </c>
      <c r="K3" t="n">
        <v>3.92</v>
      </c>
      <c r="L3" t="inlineStr">
        <is>
          <t>销售一部</t>
        </is>
      </c>
      <c r="M3" t="inlineStr">
        <is>
          <t>张涛</t>
        </is>
      </c>
      <c r="N3" t="inlineStr">
        <is>
          <t>30天内</t>
        </is>
      </c>
      <c r="O3" t="inlineStr">
        <is>
          <t>未结算</t>
        </is>
      </c>
    </row>
    <row r="4">
      <c r="A4" t="n">
        <v>2</v>
      </c>
      <c r="B4" t="inlineStr">
        <is>
          <t>华东</t>
        </is>
      </c>
      <c r="C4" t="inlineStr">
        <is>
          <t>直营</t>
        </is>
      </c>
      <c r="D4" t="inlineStr">
        <is>
          <t>DD2026001</t>
        </is>
      </c>
      <c r="E4" t="inlineStr">
        <is>
          <t>202600306</t>
        </is>
      </c>
      <c r="F4" t="n">
        <v>13.25</v>
      </c>
      <c r="H4" t="n">
        <v>0.95</v>
      </c>
      <c r="I4" t="n">
        <v>12.3</v>
      </c>
      <c r="J4" t="n">
        <v>0</v>
      </c>
      <c r="K4" t="n">
        <v>12.3</v>
      </c>
      <c r="L4" t="inlineStr">
        <is>
          <t>销售一部</t>
        </is>
      </c>
      <c r="M4" t="inlineStr">
        <is>
          <t>张涛</t>
        </is>
      </c>
      <c r="N4" t="inlineStr">
        <is>
          <t>30天内</t>
        </is>
      </c>
      <c r="O4" t="inlineStr">
        <is>
          <t>未结算</t>
        </is>
      </c>
    </row>
    <row r="5">
      <c r="A5" t="n">
        <v>3</v>
      </c>
      <c r="B5" t="inlineStr">
        <is>
          <t>华东</t>
        </is>
      </c>
      <c r="C5" t="inlineStr">
        <is>
          <t>直营</t>
        </is>
      </c>
      <c r="D5" t="inlineStr">
        <is>
          <t>DD2026001</t>
        </is>
      </c>
      <c r="E5" t="inlineStr">
        <is>
          <t>202600307</t>
        </is>
      </c>
      <c r="F5" t="n">
        <v>14.5</v>
      </c>
      <c r="H5" t="n">
        <v>1.1</v>
      </c>
      <c r="I5" t="n">
        <v>13.4</v>
      </c>
      <c r="J5" t="n">
        <v>0</v>
      </c>
      <c r="K5" t="n">
        <v>13.4</v>
      </c>
      <c r="L5" t="inlineStr">
        <is>
          <t>销售一部</t>
        </is>
      </c>
      <c r="M5" t="inlineStr">
        <is>
          <t>张涛</t>
        </is>
      </c>
      <c r="N5" t="inlineStr">
        <is>
          <t>30天内</t>
        </is>
      </c>
      <c r="O5" t="inlineStr">
        <is>
          <t>未结算</t>
        </is>
      </c>
    </row>
    <row r="6">
      <c r="A6" t="n">
        <v>4</v>
      </c>
      <c r="B6" t="inlineStr">
        <is>
          <t>华东</t>
        </is>
      </c>
      <c r="C6" t="inlineStr">
        <is>
          <t>分销</t>
        </is>
      </c>
      <c r="D6" t="inlineStr">
        <is>
          <t>DD2026002</t>
        </is>
      </c>
      <c r="E6" t="inlineStr">
        <is>
          <t>202600405</t>
        </is>
      </c>
      <c r="F6" t="n">
        <v>15.5</v>
      </c>
      <c r="H6" t="n">
        <v>0.8</v>
      </c>
      <c r="I6" t="n">
        <v>14.7</v>
      </c>
      <c r="J6" t="n">
        <v>9.555</v>
      </c>
      <c r="K6" t="n">
        <v>5.145</v>
      </c>
      <c r="L6" t="inlineStr">
        <is>
          <t>销售一部</t>
        </is>
      </c>
      <c r="M6" t="inlineStr">
        <is>
          <t>张涛</t>
        </is>
      </c>
      <c r="N6" t="inlineStr">
        <is>
          <t>60天内</t>
        </is>
      </c>
      <c r="O6" t="inlineStr">
        <is>
          <t>部分未结算</t>
        </is>
      </c>
    </row>
    <row r="7">
      <c r="A7" t="n">
        <v>5</v>
      </c>
      <c r="B7" t="inlineStr">
        <is>
          <t>华东</t>
        </is>
      </c>
      <c r="C7" t="inlineStr">
        <is>
          <t>分销</t>
        </is>
      </c>
      <c r="D7" t="inlineStr">
        <is>
          <t>DD2026002</t>
        </is>
      </c>
      <c r="E7" t="inlineStr">
        <is>
          <t>202600406</t>
        </is>
      </c>
      <c r="F7" t="n">
        <v>16.75</v>
      </c>
      <c r="H7" t="n">
        <v>0.95</v>
      </c>
      <c r="I7" t="n">
        <v>15.8</v>
      </c>
      <c r="J7" t="n">
        <v>0</v>
      </c>
      <c r="K7" t="n">
        <v>15.8</v>
      </c>
      <c r="L7" t="inlineStr">
        <is>
          <t>销售一部</t>
        </is>
      </c>
      <c r="M7" t="inlineStr">
        <is>
          <t>张涛</t>
        </is>
      </c>
      <c r="N7" t="inlineStr">
        <is>
          <t>60天内</t>
        </is>
      </c>
      <c r="O7" t="inlineStr">
        <is>
          <t>部分未结算</t>
        </is>
      </c>
    </row>
    <row r="8">
      <c r="A8" t="n">
        <v>6</v>
      </c>
      <c r="B8" t="inlineStr">
        <is>
          <t>华北</t>
        </is>
      </c>
      <c r="C8" t="inlineStr">
        <is>
          <t>直营</t>
        </is>
      </c>
      <c r="D8" t="inlineStr">
        <is>
          <t>DD2026003</t>
        </is>
      </c>
      <c r="E8" t="inlineStr">
        <is>
          <t>202600505</t>
        </is>
      </c>
      <c r="F8" t="n">
        <v>19</v>
      </c>
      <c r="H8" t="n">
        <v>0.8</v>
      </c>
      <c r="I8" t="n">
        <v>18.2</v>
      </c>
      <c r="J8" t="n">
        <v>11.83</v>
      </c>
      <c r="K8" t="n">
        <v>6.37</v>
      </c>
      <c r="L8" t="inlineStr">
        <is>
          <t>销售二部</t>
        </is>
      </c>
      <c r="M8" t="inlineStr">
        <is>
          <t>李敏</t>
        </is>
      </c>
      <c r="N8" t="inlineStr">
        <is>
          <t>90天以上</t>
        </is>
      </c>
      <c r="O8" t="inlineStr">
        <is>
          <t>存在争议</t>
        </is>
      </c>
    </row>
    <row r="9">
      <c r="A9" t="n">
        <v>7</v>
      </c>
      <c r="B9" t="inlineStr">
        <is>
          <t>华北</t>
        </is>
      </c>
      <c r="C9" t="inlineStr">
        <is>
          <t>直营</t>
        </is>
      </c>
      <c r="D9" t="inlineStr">
        <is>
          <t>DD2026003</t>
        </is>
      </c>
      <c r="E9" t="inlineStr">
        <is>
          <t>202600506</t>
        </is>
      </c>
      <c r="F9" t="n">
        <v>20.25</v>
      </c>
      <c r="H9" t="n">
        <v>0.95</v>
      </c>
      <c r="I9" t="n">
        <v>19.3</v>
      </c>
      <c r="J9" t="n">
        <v>0</v>
      </c>
      <c r="K9" t="n">
        <v>19.3</v>
      </c>
      <c r="L9" t="inlineStr">
        <is>
          <t>销售二部</t>
        </is>
      </c>
      <c r="M9" t="inlineStr">
        <is>
          <t>李敏</t>
        </is>
      </c>
      <c r="N9" t="inlineStr">
        <is>
          <t>90天以上</t>
        </is>
      </c>
      <c r="O9" t="inlineStr">
        <is>
          <t>存在争议</t>
        </is>
      </c>
    </row>
    <row r="10">
      <c r="A10" t="n">
        <v>8</v>
      </c>
      <c r="B10" t="inlineStr">
        <is>
          <t>华北</t>
        </is>
      </c>
      <c r="C10" t="inlineStr">
        <is>
          <t>直营</t>
        </is>
      </c>
      <c r="D10" t="inlineStr">
        <is>
          <t>DD2026003</t>
        </is>
      </c>
      <c r="E10" t="inlineStr">
        <is>
          <t>202600507</t>
        </is>
      </c>
      <c r="F10" t="n">
        <v>21.5</v>
      </c>
      <c r="H10" t="n">
        <v>1.1</v>
      </c>
      <c r="I10" t="n">
        <v>20.4</v>
      </c>
      <c r="J10" t="n">
        <v>0</v>
      </c>
      <c r="K10" t="n">
        <v>20.4</v>
      </c>
      <c r="L10" t="inlineStr">
        <is>
          <t>销售二部</t>
        </is>
      </c>
      <c r="M10" t="inlineStr">
        <is>
          <t>李敏</t>
        </is>
      </c>
      <c r="N10" t="inlineStr">
        <is>
          <t>90天以上</t>
        </is>
      </c>
      <c r="O10" t="inlineStr">
        <is>
          <t>存在争议</t>
        </is>
      </c>
    </row>
    <row r="11">
      <c r="A11" t="n">
        <v>9</v>
      </c>
      <c r="B11" t="inlineStr">
        <is>
          <t>华北</t>
        </is>
      </c>
      <c r="C11" t="inlineStr">
        <is>
          <t>直营</t>
        </is>
      </c>
      <c r="D11" t="inlineStr">
        <is>
          <t>DD2026003</t>
        </is>
      </c>
      <c r="E11" t="inlineStr">
        <is>
          <t>202600508</t>
        </is>
      </c>
      <c r="F11" t="n">
        <v>22.75</v>
      </c>
      <c r="H11" t="n">
        <v>1.25</v>
      </c>
      <c r="I11" t="n">
        <v>21.5</v>
      </c>
      <c r="J11" t="n">
        <v>0</v>
      </c>
      <c r="K11" t="n">
        <v>21.5</v>
      </c>
      <c r="L11" t="inlineStr">
        <is>
          <t>销售二部</t>
        </is>
      </c>
      <c r="M11" t="inlineStr">
        <is>
          <t>李敏</t>
        </is>
      </c>
      <c r="N11" t="inlineStr">
        <is>
          <t>90天以上</t>
        </is>
      </c>
      <c r="O11" t="inlineStr">
        <is>
          <t>存在争议</t>
        </is>
      </c>
    </row>
    <row r="12">
      <c r="A12" t="n">
        <v>10</v>
      </c>
      <c r="B12" t="inlineStr">
        <is>
          <t>华北</t>
        </is>
      </c>
      <c r="C12" t="inlineStr">
        <is>
          <t>电商</t>
        </is>
      </c>
      <c r="D12" t="inlineStr">
        <is>
          <t>DD2026004</t>
        </is>
      </c>
      <c r="E12" t="inlineStr">
        <is>
          <t>202600605</t>
        </is>
      </c>
      <c r="F12" t="n">
        <v>22.5</v>
      </c>
      <c r="H12" t="n">
        <v>0.8</v>
      </c>
      <c r="I12" t="n">
        <v>21.7</v>
      </c>
      <c r="J12" t="n">
        <v>14.105</v>
      </c>
      <c r="K12" t="n">
        <v>7.595</v>
      </c>
      <c r="L12" t="inlineStr">
        <is>
          <t>销售二部</t>
        </is>
      </c>
      <c r="M12" t="inlineStr">
        <is>
          <t>李敏</t>
        </is>
      </c>
      <c r="N12" t="inlineStr">
        <is>
          <t>30天内</t>
        </is>
      </c>
      <c r="O12" t="inlineStr">
        <is>
          <t>开票延迟</t>
        </is>
      </c>
    </row>
    <row r="13">
      <c r="A13" t="n">
        <v>11</v>
      </c>
      <c r="B13" t="inlineStr">
        <is>
          <t>华北</t>
        </is>
      </c>
      <c r="C13" t="inlineStr">
        <is>
          <t>电商</t>
        </is>
      </c>
      <c r="D13" t="inlineStr">
        <is>
          <t>DD2026004</t>
        </is>
      </c>
      <c r="E13" t="inlineStr">
        <is>
          <t>202600606</t>
        </is>
      </c>
      <c r="F13" t="n">
        <v>23.75</v>
      </c>
      <c r="H13" t="n">
        <v>0.95</v>
      </c>
      <c r="I13" t="n">
        <v>22.8</v>
      </c>
      <c r="J13" t="n">
        <v>0</v>
      </c>
      <c r="K13" t="n">
        <v>22.8</v>
      </c>
      <c r="L13" t="inlineStr">
        <is>
          <t>销售二部</t>
        </is>
      </c>
      <c r="M13" t="inlineStr">
        <is>
          <t>李敏</t>
        </is>
      </c>
      <c r="N13" t="inlineStr">
        <is>
          <t>30天内</t>
        </is>
      </c>
      <c r="O13" t="inlineStr">
        <is>
          <t>开票延迟</t>
        </is>
      </c>
    </row>
    <row r="14">
      <c r="A14" t="n">
        <v>12</v>
      </c>
      <c r="B14" t="inlineStr">
        <is>
          <t>华南</t>
        </is>
      </c>
      <c r="C14" t="inlineStr">
        <is>
          <t>分销</t>
        </is>
      </c>
      <c r="D14" t="inlineStr">
        <is>
          <t>DD2026005</t>
        </is>
      </c>
      <c r="E14" t="inlineStr">
        <is>
          <t>202600705</t>
        </is>
      </c>
      <c r="F14" t="n">
        <v>26</v>
      </c>
      <c r="H14" t="n">
        <v>0.8</v>
      </c>
      <c r="I14" t="n">
        <v>25.2</v>
      </c>
      <c r="J14" t="n">
        <v>16.38</v>
      </c>
      <c r="K14" t="n">
        <v>8.82</v>
      </c>
      <c r="L14" t="inlineStr">
        <is>
          <t>销售三部</t>
        </is>
      </c>
      <c r="M14" t="inlineStr">
        <is>
          <t>王强</t>
        </is>
      </c>
      <c r="N14" t="inlineStr">
        <is>
          <t>60天内</t>
        </is>
      </c>
      <c r="O14" t="inlineStr">
        <is>
          <t>未结算</t>
        </is>
      </c>
    </row>
    <row r="15">
      <c r="A15" t="n">
        <v>13</v>
      </c>
      <c r="B15" t="inlineStr">
        <is>
          <t>华南</t>
        </is>
      </c>
      <c r="C15" t="inlineStr">
        <is>
          <t>分销</t>
        </is>
      </c>
      <c r="D15" t="inlineStr">
        <is>
          <t>DD2026005</t>
        </is>
      </c>
      <c r="E15" t="inlineStr">
        <is>
          <t>202600706</t>
        </is>
      </c>
      <c r="F15" t="n">
        <v>27.25</v>
      </c>
      <c r="H15" t="n">
        <v>0.95</v>
      </c>
      <c r="I15" t="n">
        <v>26.3</v>
      </c>
      <c r="J15" t="n">
        <v>0</v>
      </c>
      <c r="K15" t="n">
        <v>26.3</v>
      </c>
      <c r="L15" t="inlineStr">
        <is>
          <t>销售三部</t>
        </is>
      </c>
      <c r="M15" t="inlineStr">
        <is>
          <t>王强</t>
        </is>
      </c>
      <c r="N15" t="inlineStr">
        <is>
          <t>60天内</t>
        </is>
      </c>
      <c r="O15" t="inlineStr">
        <is>
          <t>未结算</t>
        </is>
      </c>
    </row>
    <row r="16">
      <c r="A16" t="n">
        <v>14</v>
      </c>
      <c r="B16" t="inlineStr">
        <is>
          <t>华南</t>
        </is>
      </c>
      <c r="C16" t="inlineStr">
        <is>
          <t>分销</t>
        </is>
      </c>
      <c r="D16" t="inlineStr">
        <is>
          <t>DD2026005</t>
        </is>
      </c>
      <c r="E16" t="inlineStr">
        <is>
          <t>202600707</t>
        </is>
      </c>
      <c r="F16" t="n">
        <v>28.5</v>
      </c>
      <c r="H16" t="n">
        <v>1.1</v>
      </c>
      <c r="I16" t="n">
        <v>27.4</v>
      </c>
      <c r="J16" t="n">
        <v>0</v>
      </c>
      <c r="K16" t="n">
        <v>27.4</v>
      </c>
      <c r="L16" t="inlineStr">
        <is>
          <t>销售三部</t>
        </is>
      </c>
      <c r="M16" t="inlineStr">
        <is>
          <t>王强</t>
        </is>
      </c>
      <c r="N16" t="inlineStr">
        <is>
          <t>60天内</t>
        </is>
      </c>
      <c r="O16" t="inlineStr">
        <is>
          <t>未结算</t>
        </is>
      </c>
    </row>
    <row r="17">
      <c r="A17" t="n">
        <v>15</v>
      </c>
      <c r="B17" t="inlineStr">
        <is>
          <t>华南</t>
        </is>
      </c>
      <c r="C17" t="inlineStr">
        <is>
          <t>直营</t>
        </is>
      </c>
      <c r="D17" t="inlineStr">
        <is>
          <t>DD2026006</t>
        </is>
      </c>
      <c r="E17" t="inlineStr">
        <is>
          <t>202600805</t>
        </is>
      </c>
      <c r="F17" t="n">
        <v>29.5</v>
      </c>
      <c r="H17" t="n">
        <v>0.8</v>
      </c>
      <c r="I17" t="n">
        <v>28.7</v>
      </c>
      <c r="J17" t="n">
        <v>18.655</v>
      </c>
      <c r="K17" t="n">
        <v>10.045</v>
      </c>
      <c r="L17" t="inlineStr">
        <is>
          <t>销售三部</t>
        </is>
      </c>
      <c r="M17" t="inlineStr">
        <is>
          <t>王强</t>
        </is>
      </c>
      <c r="N17" t="inlineStr">
        <is>
          <t>90天以上</t>
        </is>
      </c>
      <c r="O17" t="inlineStr">
        <is>
          <t>部分未结算</t>
        </is>
      </c>
    </row>
    <row r="18">
      <c r="A18" t="n">
        <v>16</v>
      </c>
      <c r="B18" t="inlineStr">
        <is>
          <t>华南</t>
        </is>
      </c>
      <c r="C18" t="inlineStr">
        <is>
          <t>直营</t>
        </is>
      </c>
      <c r="D18" t="inlineStr">
        <is>
          <t>DD2026006</t>
        </is>
      </c>
      <c r="E18" t="inlineStr">
        <is>
          <t>202600806</t>
        </is>
      </c>
      <c r="F18" t="n">
        <v>30.75</v>
      </c>
      <c r="H18" t="n">
        <v>0.95</v>
      </c>
      <c r="I18" t="n">
        <v>29.8</v>
      </c>
      <c r="J18" t="n">
        <v>0</v>
      </c>
      <c r="K18" t="n">
        <v>29.8</v>
      </c>
      <c r="L18" t="inlineStr">
        <is>
          <t>销售三部</t>
        </is>
      </c>
      <c r="M18" t="inlineStr">
        <is>
          <t>王强</t>
        </is>
      </c>
      <c r="N18" t="inlineStr">
        <is>
          <t>90天以上</t>
        </is>
      </c>
      <c r="O18" t="inlineStr">
        <is>
          <t>部分未结算</t>
        </is>
      </c>
    </row>
    <row r="19">
      <c r="A19" t="n">
        <v>17</v>
      </c>
      <c r="B19" t="inlineStr">
        <is>
          <t>华东</t>
        </is>
      </c>
      <c r="C19" t="inlineStr">
        <is>
          <t>电商</t>
        </is>
      </c>
      <c r="D19" t="inlineStr">
        <is>
          <t>DD2026007</t>
        </is>
      </c>
      <c r="E19" t="inlineStr">
        <is>
          <t>202600305</t>
        </is>
      </c>
      <c r="F19" t="n">
        <v>33</v>
      </c>
      <c r="H19" t="n">
        <v>0.8</v>
      </c>
      <c r="I19" t="n">
        <v>32.2</v>
      </c>
      <c r="J19" t="n">
        <v>20.93</v>
      </c>
      <c r="K19" t="n">
        <v>11.27</v>
      </c>
      <c r="L19" t="inlineStr">
        <is>
          <t>销售一部</t>
        </is>
      </c>
      <c r="M19" t="inlineStr">
        <is>
          <t>张涛</t>
        </is>
      </c>
      <c r="N19" t="inlineStr">
        <is>
          <t>30天内</t>
        </is>
      </c>
      <c r="O19" t="inlineStr">
        <is>
          <t>存在争议</t>
        </is>
      </c>
    </row>
    <row r="20">
      <c r="A20" t="n">
        <v>18</v>
      </c>
      <c r="B20" t="inlineStr">
        <is>
          <t>华东</t>
        </is>
      </c>
      <c r="C20" t="inlineStr">
        <is>
          <t>电商</t>
        </is>
      </c>
      <c r="D20" t="inlineStr">
        <is>
          <t>DD2026007</t>
        </is>
      </c>
      <c r="E20" t="inlineStr">
        <is>
          <t>202600306</t>
        </is>
      </c>
      <c r="F20" t="n">
        <v>34.25</v>
      </c>
      <c r="H20" t="n">
        <v>0.95</v>
      </c>
      <c r="I20" t="n">
        <v>33.3</v>
      </c>
      <c r="J20" t="n">
        <v>0</v>
      </c>
      <c r="K20" t="n">
        <v>33.3</v>
      </c>
      <c r="L20" t="inlineStr">
        <is>
          <t>销售一部</t>
        </is>
      </c>
      <c r="M20" t="inlineStr">
        <is>
          <t>张涛</t>
        </is>
      </c>
      <c r="N20" t="inlineStr">
        <is>
          <t>30天内</t>
        </is>
      </c>
      <c r="O20" t="inlineStr">
        <is>
          <t>存在争议</t>
        </is>
      </c>
    </row>
    <row r="21">
      <c r="A21" t="n">
        <v>19</v>
      </c>
      <c r="B21" t="inlineStr">
        <is>
          <t>华东</t>
        </is>
      </c>
      <c r="C21" t="inlineStr">
        <is>
          <t>电商</t>
        </is>
      </c>
      <c r="D21" t="inlineStr">
        <is>
          <t>DD2026007</t>
        </is>
      </c>
      <c r="E21" t="inlineStr">
        <is>
          <t>202600307</t>
        </is>
      </c>
      <c r="F21" t="n">
        <v>35.5</v>
      </c>
      <c r="H21" t="n">
        <v>1.1</v>
      </c>
      <c r="I21" t="n">
        <v>34.4</v>
      </c>
      <c r="J21" t="n">
        <v>0</v>
      </c>
      <c r="K21" t="n">
        <v>34.4</v>
      </c>
      <c r="L21" t="inlineStr">
        <is>
          <t>销售一部</t>
        </is>
      </c>
      <c r="M21" t="inlineStr">
        <is>
          <t>张涛</t>
        </is>
      </c>
      <c r="N21" t="inlineStr">
        <is>
          <t>30天内</t>
        </is>
      </c>
      <c r="O21" t="inlineStr">
        <is>
          <t>存在争议</t>
        </is>
      </c>
    </row>
    <row r="22">
      <c r="A22" t="n">
        <v>20</v>
      </c>
      <c r="B22" t="inlineStr">
        <is>
          <t>华北</t>
        </is>
      </c>
      <c r="C22" t="inlineStr">
        <is>
          <t>分销</t>
        </is>
      </c>
      <c r="D22" t="inlineStr">
        <is>
          <t>DD2026008</t>
        </is>
      </c>
      <c r="E22" t="inlineStr">
        <is>
          <t>202600405</t>
        </is>
      </c>
      <c r="F22" t="n">
        <v>36.5</v>
      </c>
      <c r="H22" t="n">
        <v>0.8</v>
      </c>
      <c r="I22" t="n">
        <v>35.7</v>
      </c>
      <c r="J22" t="n">
        <v>23.205</v>
      </c>
      <c r="K22" t="n">
        <v>12.495</v>
      </c>
      <c r="L22" t="inlineStr">
        <is>
          <t>销售二部</t>
        </is>
      </c>
      <c r="M22" t="inlineStr">
        <is>
          <t>赵雷</t>
        </is>
      </c>
      <c r="N22" t="inlineStr">
        <is>
          <t>60天内</t>
        </is>
      </c>
      <c r="O22" t="inlineStr">
        <is>
          <t>开票延迟</t>
        </is>
      </c>
    </row>
    <row r="23">
      <c r="A23" t="n">
        <v>21</v>
      </c>
      <c r="B23" t="inlineStr">
        <is>
          <t>华北</t>
        </is>
      </c>
      <c r="C23" t="inlineStr">
        <is>
          <t>分销</t>
        </is>
      </c>
      <c r="D23" t="inlineStr">
        <is>
          <t>DD2026008</t>
        </is>
      </c>
      <c r="E23" t="inlineStr">
        <is>
          <t>202600406</t>
        </is>
      </c>
      <c r="F23" t="n">
        <v>37.75</v>
      </c>
      <c r="H23" t="n">
        <v>0.95</v>
      </c>
      <c r="I23" t="n">
        <v>36.8</v>
      </c>
      <c r="J23" t="n">
        <v>0</v>
      </c>
      <c r="K23" t="n">
        <v>36.8</v>
      </c>
      <c r="L23" t="inlineStr">
        <is>
          <t>销售二部</t>
        </is>
      </c>
      <c r="M23" t="inlineStr">
        <is>
          <t>赵雷</t>
        </is>
      </c>
      <c r="N23" t="inlineStr">
        <is>
          <t>60天内</t>
        </is>
      </c>
      <c r="O23" t="inlineStr">
        <is>
          <t>开票延迟</t>
        </is>
      </c>
    </row>
    <row r="24">
      <c r="A24" t="n">
        <v>22</v>
      </c>
      <c r="B24" t="inlineStr">
        <is>
          <t>华南</t>
        </is>
      </c>
      <c r="C24" t="inlineStr">
        <is>
          <t>电商</t>
        </is>
      </c>
      <c r="D24" t="inlineStr">
        <is>
          <t>DD2026009</t>
        </is>
      </c>
      <c r="E24" t="inlineStr">
        <is>
          <t>202600505</t>
        </is>
      </c>
      <c r="F24" t="n">
        <v>40</v>
      </c>
      <c r="H24" t="n">
        <v>0.8</v>
      </c>
      <c r="I24" t="n">
        <v>39.2</v>
      </c>
      <c r="J24" t="n">
        <v>25.48</v>
      </c>
      <c r="K24" t="n">
        <v>13.72</v>
      </c>
      <c r="L24" t="inlineStr">
        <is>
          <t>销售三部</t>
        </is>
      </c>
      <c r="M24" t="inlineStr">
        <is>
          <t>王强</t>
        </is>
      </c>
      <c r="N24" t="inlineStr">
        <is>
          <t>30天内</t>
        </is>
      </c>
      <c r="O24" t="inlineStr">
        <is>
          <t>未结算</t>
        </is>
      </c>
    </row>
    <row r="25">
      <c r="A25" t="n">
        <v>23</v>
      </c>
      <c r="B25" t="inlineStr">
        <is>
          <t>华南</t>
        </is>
      </c>
      <c r="C25" t="inlineStr">
        <is>
          <t>电商</t>
        </is>
      </c>
      <c r="D25" t="inlineStr">
        <is>
          <t>DD2026009</t>
        </is>
      </c>
      <c r="E25" t="inlineStr">
        <is>
          <t>202600506</t>
        </is>
      </c>
      <c r="F25" t="n">
        <v>41.25</v>
      </c>
      <c r="H25" t="n">
        <v>0.95</v>
      </c>
      <c r="I25" t="n">
        <v>40.3</v>
      </c>
      <c r="J25" t="n">
        <v>0</v>
      </c>
      <c r="K25" t="n">
        <v>40.3</v>
      </c>
      <c r="L25" t="inlineStr">
        <is>
          <t>销售三部</t>
        </is>
      </c>
      <c r="M25" t="inlineStr">
        <is>
          <t>王强</t>
        </is>
      </c>
      <c r="N25" t="inlineStr">
        <is>
          <t>30天内</t>
        </is>
      </c>
      <c r="O25" t="inlineStr">
        <is>
          <t>未结算</t>
        </is>
      </c>
    </row>
    <row r="26">
      <c r="A26" t="n">
        <v>24</v>
      </c>
      <c r="B26" t="inlineStr">
        <is>
          <t>华南</t>
        </is>
      </c>
      <c r="C26" t="inlineStr">
        <is>
          <t>电商</t>
        </is>
      </c>
      <c r="D26" t="inlineStr">
        <is>
          <t>DD2026009</t>
        </is>
      </c>
      <c r="E26" t="inlineStr">
        <is>
          <t>202600507</t>
        </is>
      </c>
      <c r="F26" t="n">
        <v>42.5</v>
      </c>
      <c r="H26" t="n">
        <v>1.1</v>
      </c>
      <c r="I26" t="n">
        <v>41.4</v>
      </c>
      <c r="J26" t="n">
        <v>0</v>
      </c>
      <c r="K26" t="n">
        <v>41.4</v>
      </c>
      <c r="L26" t="inlineStr">
        <is>
          <t>销售三部</t>
        </is>
      </c>
      <c r="M26" t="inlineStr">
        <is>
          <t>王强</t>
        </is>
      </c>
      <c r="N26" t="inlineStr">
        <is>
          <t>30天内</t>
        </is>
      </c>
      <c r="O26" t="inlineStr">
        <is>
          <t>未结算</t>
        </is>
      </c>
    </row>
    <row r="27">
      <c r="A27" t="n">
        <v>25</v>
      </c>
      <c r="B27" t="inlineStr">
        <is>
          <t>华东</t>
        </is>
      </c>
      <c r="C27" t="inlineStr">
        <is>
          <t>直营</t>
        </is>
      </c>
      <c r="D27" t="inlineStr">
        <is>
          <t>DD2026010</t>
        </is>
      </c>
      <c r="E27" t="inlineStr">
        <is>
          <t>202600605</t>
        </is>
      </c>
      <c r="F27" t="n">
        <v>43.5</v>
      </c>
      <c r="H27" t="n">
        <v>0.8</v>
      </c>
      <c r="I27" t="n">
        <v>42.7</v>
      </c>
      <c r="J27" t="n">
        <v>27.755</v>
      </c>
      <c r="K27" t="n">
        <v>14.945</v>
      </c>
      <c r="L27" t="inlineStr">
        <is>
          <t>销售一部</t>
        </is>
      </c>
      <c r="M27" t="inlineStr">
        <is>
          <t>赵雷</t>
        </is>
      </c>
      <c r="N27" t="inlineStr">
        <is>
          <t>90天以上</t>
        </is>
      </c>
      <c r="O27" t="inlineStr">
        <is>
          <t>部分未结算</t>
        </is>
      </c>
    </row>
    <row r="28">
      <c r="A28" t="n">
        <v>26</v>
      </c>
      <c r="B28" t="inlineStr">
        <is>
          <t>华东</t>
        </is>
      </c>
      <c r="C28" t="inlineStr">
        <is>
          <t>直营</t>
        </is>
      </c>
      <c r="D28" t="inlineStr">
        <is>
          <t>DD2026010</t>
        </is>
      </c>
      <c r="E28" t="inlineStr">
        <is>
          <t>202600606</t>
        </is>
      </c>
      <c r="F28" t="n">
        <v>44.75</v>
      </c>
      <c r="H28" t="n">
        <v>0.95</v>
      </c>
      <c r="I28" t="n">
        <v>43.8</v>
      </c>
      <c r="J28" t="n">
        <v>0</v>
      </c>
      <c r="K28" t="n">
        <v>43.8</v>
      </c>
      <c r="L28" t="inlineStr">
        <is>
          <t>销售一部</t>
        </is>
      </c>
      <c r="M28" t="inlineStr">
        <is>
          <t>赵雷</t>
        </is>
      </c>
      <c r="N28" t="inlineStr">
        <is>
          <t>90天以上</t>
        </is>
      </c>
      <c r="O28" t="inlineStr">
        <is>
          <t>部分未结算</t>
        </is>
      </c>
    </row>
    <row r="29">
      <c r="A29" t="n">
        <v>27</v>
      </c>
      <c r="B29" t="inlineStr">
        <is>
          <t>华北</t>
        </is>
      </c>
      <c r="C29" t="inlineStr">
        <is>
          <t>直营</t>
        </is>
      </c>
      <c r="D29" t="inlineStr">
        <is>
          <t>DD2026011</t>
        </is>
      </c>
      <c r="E29" t="inlineStr">
        <is>
          <t>202600705</t>
        </is>
      </c>
      <c r="F29" t="n">
        <v>47</v>
      </c>
      <c r="H29" t="n">
        <v>0.8</v>
      </c>
      <c r="I29" t="n">
        <v>46.2</v>
      </c>
      <c r="J29" t="n">
        <v>30.03</v>
      </c>
      <c r="K29" t="n">
        <v>16.17</v>
      </c>
      <c r="L29" t="inlineStr">
        <is>
          <t>销售二部</t>
        </is>
      </c>
      <c r="M29" t="inlineStr">
        <is>
          <t>李敏</t>
        </is>
      </c>
      <c r="N29" t="inlineStr">
        <is>
          <t>30天内</t>
        </is>
      </c>
      <c r="O29" t="inlineStr">
        <is>
          <t>存在争议</t>
        </is>
      </c>
    </row>
    <row r="30">
      <c r="A30" t="n">
        <v>28</v>
      </c>
      <c r="B30" t="inlineStr">
        <is>
          <t>华北</t>
        </is>
      </c>
      <c r="C30" t="inlineStr">
        <is>
          <t>直营</t>
        </is>
      </c>
      <c r="D30" t="inlineStr">
        <is>
          <t>DD2026011</t>
        </is>
      </c>
      <c r="E30" t="inlineStr">
        <is>
          <t>202600706</t>
        </is>
      </c>
      <c r="F30" t="n">
        <v>48.25</v>
      </c>
      <c r="H30" t="n">
        <v>0.95</v>
      </c>
      <c r="I30" t="n">
        <v>47.3</v>
      </c>
      <c r="J30" t="n">
        <v>0</v>
      </c>
      <c r="K30" t="n">
        <v>47.3</v>
      </c>
      <c r="L30" t="inlineStr">
        <is>
          <t>销售二部</t>
        </is>
      </c>
      <c r="M30" t="inlineStr">
        <is>
          <t>李敏</t>
        </is>
      </c>
      <c r="N30" t="inlineStr">
        <is>
          <t>30天内</t>
        </is>
      </c>
      <c r="O30" t="inlineStr">
        <is>
          <t>存在争议</t>
        </is>
      </c>
    </row>
    <row r="31">
      <c r="A31" t="n">
        <v>29</v>
      </c>
      <c r="B31" t="inlineStr">
        <is>
          <t>华南</t>
        </is>
      </c>
      <c r="C31" t="inlineStr">
        <is>
          <t>分销</t>
        </is>
      </c>
      <c r="D31" t="inlineStr">
        <is>
          <t>DD2026012</t>
        </is>
      </c>
      <c r="E31" t="inlineStr">
        <is>
          <t>202600805</t>
        </is>
      </c>
      <c r="F31" t="n">
        <v>50.5</v>
      </c>
      <c r="H31" t="n">
        <v>0.8</v>
      </c>
      <c r="I31" t="n">
        <v>49.7</v>
      </c>
      <c r="J31" t="n">
        <v>32.305</v>
      </c>
      <c r="K31" t="n">
        <v>17.395</v>
      </c>
      <c r="L31" t="inlineStr">
        <is>
          <t>销售三部</t>
        </is>
      </c>
      <c r="M31" t="inlineStr">
        <is>
          <t>孙倩</t>
        </is>
      </c>
      <c r="N31" t="inlineStr">
        <is>
          <t>60天内</t>
        </is>
      </c>
      <c r="O31" t="inlineStr">
        <is>
          <t>开票延迟</t>
        </is>
      </c>
    </row>
    <row r="32">
      <c r="A32" t="n">
        <v>30</v>
      </c>
      <c r="B32" t="inlineStr">
        <is>
          <t>华南</t>
        </is>
      </c>
      <c r="C32" t="inlineStr">
        <is>
          <t>分销</t>
        </is>
      </c>
      <c r="D32" t="inlineStr">
        <is>
          <t>DD2026012</t>
        </is>
      </c>
      <c r="E32" t="inlineStr">
        <is>
          <t>202600806</t>
        </is>
      </c>
      <c r="F32" t="n">
        <v>51.75</v>
      </c>
      <c r="H32" t="n">
        <v>0.95</v>
      </c>
      <c r="I32" t="n">
        <v>50.8</v>
      </c>
      <c r="J32" t="n">
        <v>0</v>
      </c>
      <c r="K32" t="n">
        <v>50.8</v>
      </c>
      <c r="L32" t="inlineStr">
        <is>
          <t>销售三部</t>
        </is>
      </c>
      <c r="M32" t="inlineStr">
        <is>
          <t>孙倩</t>
        </is>
      </c>
      <c r="N32" t="inlineStr">
        <is>
          <t>60天内</t>
        </is>
      </c>
      <c r="O32" t="inlineStr">
        <is>
          <t>开票延迟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2" customWidth="1" min="5" max="5"/>
    <col width="11" customWidth="1" min="6" max="6"/>
    <col width="13" customWidth="1" min="7" max="7"/>
    <col width="11" customWidth="1" min="8" max="8"/>
    <col width="13" customWidth="1" min="9" max="9"/>
    <col width="13" customWidth="1" min="10" max="10"/>
    <col width="11" customWidth="1" min="11" max="11"/>
    <col width="9" customWidth="1" min="12" max="12"/>
    <col width="11" customWidth="1" min="13" max="13"/>
    <col width="15" customWidth="1" min="14" max="14"/>
  </cols>
  <sheetData>
    <row r="1">
      <c r="A1" s="2" t="inlineStr">
        <is>
          <t>同一订单号数据合并汇总</t>
        </is>
      </c>
    </row>
    <row r="2">
      <c r="A2" s="3" t="inlineStr">
        <is>
          <t>序号</t>
        </is>
      </c>
      <c r="B2" s="3" t="inlineStr">
        <is>
          <t>区域</t>
        </is>
      </c>
      <c r="C2" s="3" t="inlineStr">
        <is>
          <t>渠道分类</t>
        </is>
      </c>
      <c r="D2" s="3" t="inlineStr">
        <is>
          <t>订单号</t>
        </is>
      </c>
      <c r="E2" s="3" t="inlineStr">
        <is>
          <t>下单日期</t>
        </is>
      </c>
      <c r="F2" s="3" t="inlineStr">
        <is>
          <t>订单金额</t>
        </is>
      </c>
      <c r="G2" s="3" t="inlineStr">
        <is>
          <t>未发货金额</t>
        </is>
      </c>
      <c r="H2" s="3" t="inlineStr">
        <is>
          <t>发货金额</t>
        </is>
      </c>
      <c r="I2" s="3" t="inlineStr">
        <is>
          <t>已结算金额</t>
        </is>
      </c>
      <c r="J2" s="3" t="inlineStr">
        <is>
          <t>未结算金额</t>
        </is>
      </c>
      <c r="K2" s="3" t="inlineStr">
        <is>
          <t>部门</t>
        </is>
      </c>
      <c r="L2" s="3" t="inlineStr">
        <is>
          <t>经办人</t>
        </is>
      </c>
      <c r="M2" s="3" t="inlineStr">
        <is>
          <t>库龄</t>
        </is>
      </c>
      <c r="N2" s="3" t="inlineStr">
        <is>
          <t>异常原因分类</t>
        </is>
      </c>
    </row>
    <row r="3">
      <c r="A3" s="4">
        <f>ROW()-2</f>
        <v>1</v>
      </c>
      <c r="B3" s="5" t="str">
        <f>IFERROR(INDEX(原始数据!$B$3:$B$32,MATCH(1,INDEX((原始数据!$D$3:$D$32="DD2026001")*(原始数据!$B$3:$B$32&lt;&gt;""),0),0)),"")</f>
        <v>华东</v>
      </c>
      <c r="C3" s="5" t="str">
        <f>IFERROR(INDEX(原始数据!$C$3:$C$32,MATCH(1,INDEX((原始数据!$D$3:$D$32="DD2026001")*(原始数据!$C$3:$C$32&lt;&gt;""),0),0)),"")</f>
        <v>直营</v>
      </c>
      <c r="D3" s="6" t="inlineStr">
        <is>
          <t>DD2026001</t>
        </is>
      </c>
      <c r="E3" s="7">
        <f>IFERROR(INDEX(原始数据!$E$3:$E$32,MATCH(1,INDEX((原始数据!$D$3:$D$32="DD2026001")*(原始数据!$E$3:$E$32&lt;&gt;""),0),0)),"")</f>
        <v>202600305</v>
      </c>
      <c r="F3" s="8">
        <f>SUMIFS(原始数据!$F$3:$F$32,原始数据!$D$3:$D$32,"DD2026001")</f>
        <v>39.75</v>
      </c>
      <c r="G3" s="8">
        <f>SUMIFS(原始数据!$H$3:$H$32,原始数据!$D$3:$D$32,"DD2026001")</f>
        <v>2.85</v>
      </c>
      <c r="H3" s="8">
        <f>SUMIFS(原始数据!$I$3:$I$32,原始数据!$D$3:$D$32,"DD2026001")</f>
        <v>36.9</v>
      </c>
      <c r="I3" s="8">
        <f>SUMIFS(原始数据!$J$3:$J$32,原始数据!$D$3:$D$32,"DD2026001")</f>
        <v>7.28</v>
      </c>
      <c r="J3" s="8">
        <f>SUMIFS(原始数据!$K$3:$K$32,原始数据!$D$3:$D$32,"DD2026001")</f>
        <v>29.619999999999997</v>
      </c>
      <c r="K3" s="5" t="str">
        <f>IFERROR(INDEX(原始数据!$L$3:$L$32,MATCH(1,INDEX((原始数据!$D$3:$D$32="DD2026001")*(原始数据!$L$3:$L$32&lt;&gt;""),0),0)),"")</f>
        <v>销售一部</v>
      </c>
      <c r="L3" s="6" t="str">
        <f>IFERROR(INDEX(原始数据!$M$3:$M$32,MATCH(1,INDEX((原始数据!$D$3:$D$32="DD2026001")*(原始数据!$M$3:$M$32&lt;&gt;""),0),0)),"")</f>
        <v>张涛</v>
      </c>
      <c r="M3" s="5" t="str">
        <f>IFERROR(INDEX(原始数据!$N$3:$N$32,MATCH(1,INDEX((原始数据!$D$3:$D$32="DD2026001")*(原始数据!$N$3:$N$32&lt;&gt;""),0),0)),"")</f>
        <v>30天内</v>
      </c>
      <c r="N3" s="5" t="inlineStr">
        <is>
          <t>未结算</t>
        </is>
      </c>
    </row>
    <row r="4">
      <c r="A4" s="9">
        <f>ROW()-2</f>
        <v>2</v>
      </c>
      <c r="B4" s="10" t="str">
        <f>IFERROR(INDEX(原始数据!$B$3:$B$32,MATCH(1,INDEX((原始数据!$D$3:$D$32="DD2026002")*(原始数据!$B$3:$B$32&lt;&gt;""),0),0)),"")</f>
        <v>华东</v>
      </c>
      <c r="C4" s="10" t="str">
        <f>IFERROR(INDEX(原始数据!$C$3:$C$32,MATCH(1,INDEX((原始数据!$D$3:$D$32="DD2026002")*(原始数据!$C$3:$C$32&lt;&gt;""),0),0)),"")</f>
        <v>分销</v>
      </c>
      <c r="D4" s="11" t="inlineStr">
        <is>
          <t>DD2026002</t>
        </is>
      </c>
      <c r="E4" s="12">
        <f>IFERROR(INDEX(原始数据!$E$3:$E$32,MATCH(1,INDEX((原始数据!$D$3:$D$32="DD2026002")*(原始数据!$E$3:$E$32&lt;&gt;""),0),0)),"")</f>
        <v>202600405</v>
      </c>
      <c r="F4" s="13">
        <f>SUMIFS(原始数据!$F$3:$F$32,原始数据!$D$3:$D$32,"DD2026002")</f>
        <v>32.25</v>
      </c>
      <c r="G4" s="13">
        <f>SUMIFS(原始数据!$H$3:$H$32,原始数据!$D$3:$D$32,"DD2026002")</f>
        <v>1.75</v>
      </c>
      <c r="H4" s="13">
        <f>SUMIFS(原始数据!$I$3:$I$32,原始数据!$D$3:$D$32,"DD2026002")</f>
        <v>30.5</v>
      </c>
      <c r="I4" s="13">
        <f>SUMIFS(原始数据!$J$3:$J$32,原始数据!$D$3:$D$32,"DD2026002")</f>
        <v>9.555</v>
      </c>
      <c r="J4" s="13">
        <f>SUMIFS(原始数据!$K$3:$K$32,原始数据!$D$3:$D$32,"DD2026002")</f>
        <v>20.945</v>
      </c>
      <c r="K4" s="10" t="str">
        <f>IFERROR(INDEX(原始数据!$L$3:$L$32,MATCH(1,INDEX((原始数据!$D$3:$D$32="DD2026002")*(原始数据!$L$3:$L$32&lt;&gt;""),0),0)),"")</f>
        <v>销售一部</v>
      </c>
      <c r="L4" s="11" t="str">
        <f>IFERROR(INDEX(原始数据!$M$3:$M$32,MATCH(1,INDEX((原始数据!$D$3:$D$32="DD2026002")*(原始数据!$M$3:$M$32&lt;&gt;""),0),0)),"")</f>
        <v>张涛</v>
      </c>
      <c r="M4" s="10" t="str">
        <f>IFERROR(INDEX(原始数据!$N$3:$N$32,MATCH(1,INDEX((原始数据!$D$3:$D$32="DD2026002")*(原始数据!$N$3:$N$32&lt;&gt;""),0),0)),"")</f>
        <v>60天内</v>
      </c>
      <c r="N4" s="10" t="inlineStr">
        <is>
          <t>部分未结算</t>
        </is>
      </c>
    </row>
    <row r="5">
      <c r="A5" s="4">
        <f>ROW()-2</f>
        <v>3</v>
      </c>
      <c r="B5" s="5" t="str">
        <f>IFERROR(INDEX(原始数据!$B$3:$B$32,MATCH(1,INDEX((原始数据!$D$3:$D$32="DD2026003")*(原始数据!$B$3:$B$32&lt;&gt;""),0),0)),"")</f>
        <v>华北</v>
      </c>
      <c r="C5" s="5" t="str">
        <f>IFERROR(INDEX(原始数据!$C$3:$C$32,MATCH(1,INDEX((原始数据!$D$3:$D$32="DD2026003")*(原始数据!$C$3:$C$32&lt;&gt;""),0),0)),"")</f>
        <v>直营</v>
      </c>
      <c r="D5" s="6" t="inlineStr">
        <is>
          <t>DD2026003</t>
        </is>
      </c>
      <c r="E5" s="7">
        <f>IFERROR(INDEX(原始数据!$E$3:$E$32,MATCH(1,INDEX((原始数据!$D$3:$D$32="DD2026003")*(原始数据!$E$3:$E$32&lt;&gt;""),0),0)),"")</f>
        <v>202600505</v>
      </c>
      <c r="F5" s="8">
        <f>SUMIFS(原始数据!$F$3:$F$32,原始数据!$D$3:$D$32,"DD2026003")</f>
        <v>83.5</v>
      </c>
      <c r="G5" s="8">
        <f>SUMIFS(原始数据!$H$3:$H$32,原始数据!$D$3:$D$32,"DD2026003")</f>
        <v>4.1</v>
      </c>
      <c r="H5" s="8">
        <f>SUMIFS(原始数据!$I$3:$I$32,原始数据!$D$3:$D$32,"DD2026003")</f>
        <v>79.4</v>
      </c>
      <c r="I5" s="8">
        <f>SUMIFS(原始数据!$J$3:$J$32,原始数据!$D$3:$D$32,"DD2026003")</f>
        <v>11.83</v>
      </c>
      <c r="J5" s="8">
        <f>SUMIFS(原始数据!$K$3:$K$32,原始数据!$D$3:$D$32,"DD2026003")</f>
        <v>67.57</v>
      </c>
      <c r="K5" s="5" t="str">
        <f>IFERROR(INDEX(原始数据!$L$3:$L$32,MATCH(1,INDEX((原始数据!$D$3:$D$32="DD2026003")*(原始数据!$L$3:$L$32&lt;&gt;""),0),0)),"")</f>
        <v>销售二部</v>
      </c>
      <c r="L5" s="6" t="str">
        <f>IFERROR(INDEX(原始数据!$M$3:$M$32,MATCH(1,INDEX((原始数据!$D$3:$D$32="DD2026003")*(原始数据!$M$3:$M$32&lt;&gt;""),0),0)),"")</f>
        <v>李敏</v>
      </c>
      <c r="M5" s="5" t="str">
        <f>IFERROR(INDEX(原始数据!$N$3:$N$32,MATCH(1,INDEX((原始数据!$D$3:$D$32="DD2026003")*(原始数据!$N$3:$N$32&lt;&gt;""),0),0)),"")</f>
        <v>90天以上</v>
      </c>
      <c r="N5" s="5" t="inlineStr">
        <is>
          <t>存在争议</t>
        </is>
      </c>
    </row>
    <row r="6">
      <c r="A6" s="9">
        <f>ROW()-2</f>
        <v>4</v>
      </c>
      <c r="B6" s="10" t="str">
        <f>IFERROR(INDEX(原始数据!$B$3:$B$32,MATCH(1,INDEX((原始数据!$D$3:$D$32="DD2026004")*(原始数据!$B$3:$B$32&lt;&gt;""),0),0)),"")</f>
        <v>华北</v>
      </c>
      <c r="C6" s="10" t="str">
        <f>IFERROR(INDEX(原始数据!$C$3:$C$32,MATCH(1,INDEX((原始数据!$D$3:$D$32="DD2026004")*(原始数据!$C$3:$C$32&lt;&gt;""),0),0)),"")</f>
        <v>电商</v>
      </c>
      <c r="D6" s="11" t="inlineStr">
        <is>
          <t>DD2026004</t>
        </is>
      </c>
      <c r="E6" s="12">
        <f>IFERROR(INDEX(原始数据!$E$3:$E$32,MATCH(1,INDEX((原始数据!$D$3:$D$32="DD2026004")*(原始数据!$E$3:$E$32&lt;&gt;""),0),0)),"")</f>
        <v>202600605</v>
      </c>
      <c r="F6" s="13">
        <f>SUMIFS(原始数据!$F$3:$F$32,原始数据!$D$3:$D$32,"DD2026004")</f>
        <v>46.25</v>
      </c>
      <c r="G6" s="13">
        <f>SUMIFS(原始数据!$H$3:$H$32,原始数据!$D$3:$D$32,"DD2026004")</f>
        <v>1.75</v>
      </c>
      <c r="H6" s="13">
        <f>SUMIFS(原始数据!$I$3:$I$32,原始数据!$D$3:$D$32,"DD2026004")</f>
        <v>44.5</v>
      </c>
      <c r="I6" s="13">
        <f>SUMIFS(原始数据!$J$3:$J$32,原始数据!$D$3:$D$32,"DD2026004")</f>
        <v>14.105</v>
      </c>
      <c r="J6" s="13">
        <f>SUMIFS(原始数据!$K$3:$K$32,原始数据!$D$3:$D$32,"DD2026004")</f>
        <v>30.395</v>
      </c>
      <c r="K6" s="10" t="str">
        <f>IFERROR(INDEX(原始数据!$L$3:$L$32,MATCH(1,INDEX((原始数据!$D$3:$D$32="DD2026004")*(原始数据!$L$3:$L$32&lt;&gt;""),0),0)),"")</f>
        <v>销售二部</v>
      </c>
      <c r="L6" s="11" t="str">
        <f>IFERROR(INDEX(原始数据!$M$3:$M$32,MATCH(1,INDEX((原始数据!$D$3:$D$32="DD2026004")*(原始数据!$M$3:$M$32&lt;&gt;""),0),0)),"")</f>
        <v>李敏</v>
      </c>
      <c r="M6" s="10" t="str">
        <f>IFERROR(INDEX(原始数据!$N$3:$N$32,MATCH(1,INDEX((原始数据!$D$3:$D$32="DD2026004")*(原始数据!$N$3:$N$32&lt;&gt;""),0),0)),"")</f>
        <v>30天内</v>
      </c>
      <c r="N6" s="10" t="inlineStr">
        <is>
          <t>开票延迟</t>
        </is>
      </c>
    </row>
    <row r="7">
      <c r="A7" s="4">
        <f>ROW()-2</f>
        <v>5</v>
      </c>
      <c r="B7" s="5" t="str">
        <f>IFERROR(INDEX(原始数据!$B$3:$B$32,MATCH(1,INDEX((原始数据!$D$3:$D$32="DD2026005")*(原始数据!$B$3:$B$32&lt;&gt;""),0),0)),"")</f>
        <v>华南</v>
      </c>
      <c r="C7" s="5" t="str">
        <f>IFERROR(INDEX(原始数据!$C$3:$C$32,MATCH(1,INDEX((原始数据!$D$3:$D$32="DD2026005")*(原始数据!$C$3:$C$32&lt;&gt;""),0),0)),"")</f>
        <v>分销</v>
      </c>
      <c r="D7" s="6" t="inlineStr">
        <is>
          <t>DD2026005</t>
        </is>
      </c>
      <c r="E7" s="7">
        <f>IFERROR(INDEX(原始数据!$E$3:$E$32,MATCH(1,INDEX((原始数据!$D$3:$D$32="DD2026005")*(原始数据!$E$3:$E$32&lt;&gt;""),0),0)),"")</f>
        <v>202600705</v>
      </c>
      <c r="F7" s="8">
        <f>SUMIFS(原始数据!$F$3:$F$32,原始数据!$D$3:$D$32,"DD2026005")</f>
        <v>81.75</v>
      </c>
      <c r="G7" s="8">
        <f>SUMIFS(原始数据!$H$3:$H$32,原始数据!$D$3:$D$32,"DD2026005")</f>
        <v>2.85</v>
      </c>
      <c r="H7" s="8">
        <f>SUMIFS(原始数据!$I$3:$I$32,原始数据!$D$3:$D$32,"DD2026005")</f>
        <v>78.9</v>
      </c>
      <c r="I7" s="8">
        <f>SUMIFS(原始数据!$J$3:$J$32,原始数据!$D$3:$D$32,"DD2026005")</f>
        <v>16.38</v>
      </c>
      <c r="J7" s="8">
        <f>SUMIFS(原始数据!$K$3:$K$32,原始数据!$D$3:$D$32,"DD2026005")</f>
        <v>62.52</v>
      </c>
      <c r="K7" s="5" t="str">
        <f>IFERROR(INDEX(原始数据!$L$3:$L$32,MATCH(1,INDEX((原始数据!$D$3:$D$32="DD2026005")*(原始数据!$L$3:$L$32&lt;&gt;""),0),0)),"")</f>
        <v>销售三部</v>
      </c>
      <c r="L7" s="6" t="str">
        <f>IFERROR(INDEX(原始数据!$M$3:$M$32,MATCH(1,INDEX((原始数据!$D$3:$D$32="DD2026005")*(原始数据!$M$3:$M$32&lt;&gt;""),0),0)),"")</f>
        <v>王强</v>
      </c>
      <c r="M7" s="5" t="str">
        <f>IFERROR(INDEX(原始数据!$N$3:$N$32,MATCH(1,INDEX((原始数据!$D$3:$D$32="DD2026005")*(原始数据!$N$3:$N$32&lt;&gt;""),0),0)),"")</f>
        <v>60天内</v>
      </c>
      <c r="N7" s="5" t="inlineStr">
        <is>
          <t>未结算</t>
        </is>
      </c>
    </row>
    <row r="8">
      <c r="A8" s="9">
        <f>ROW()-2</f>
        <v>6</v>
      </c>
      <c r="B8" s="10" t="str">
        <f>IFERROR(INDEX(原始数据!$B$3:$B$32,MATCH(1,INDEX((原始数据!$D$3:$D$32="DD2026006")*(原始数据!$B$3:$B$32&lt;&gt;""),0),0)),"")</f>
        <v>华南</v>
      </c>
      <c r="C8" s="10" t="str">
        <f>IFERROR(INDEX(原始数据!$C$3:$C$32,MATCH(1,INDEX((原始数据!$D$3:$D$32="DD2026006")*(原始数据!$C$3:$C$32&lt;&gt;""),0),0)),"")</f>
        <v>直营</v>
      </c>
      <c r="D8" s="11" t="inlineStr">
        <is>
          <t>DD2026006</t>
        </is>
      </c>
      <c r="E8" s="12">
        <f>IFERROR(INDEX(原始数据!$E$3:$E$32,MATCH(1,INDEX((原始数据!$D$3:$D$32="DD2026006")*(原始数据!$E$3:$E$32&lt;&gt;""),0),0)),"")</f>
        <v>202600805</v>
      </c>
      <c r="F8" s="13">
        <f>SUMIFS(原始数据!$F$3:$F$32,原始数据!$D$3:$D$32,"DD2026006")</f>
        <v>60.25</v>
      </c>
      <c r="G8" s="13">
        <f>SUMIFS(原始数据!$H$3:$H$32,原始数据!$D$3:$D$32,"DD2026006")</f>
        <v>1.75</v>
      </c>
      <c r="H8" s="13">
        <f>SUMIFS(原始数据!$I$3:$I$32,原始数据!$D$3:$D$32,"DD2026006")</f>
        <v>58.5</v>
      </c>
      <c r="I8" s="13">
        <f>SUMIFS(原始数据!$J$3:$J$32,原始数据!$D$3:$D$32,"DD2026006")</f>
        <v>18.655</v>
      </c>
      <c r="J8" s="13">
        <f>SUMIFS(原始数据!$K$3:$K$32,原始数据!$D$3:$D$32,"DD2026006")</f>
        <v>39.845</v>
      </c>
      <c r="K8" s="10" t="str">
        <f>IFERROR(INDEX(原始数据!$L$3:$L$32,MATCH(1,INDEX((原始数据!$D$3:$D$32="DD2026006")*(原始数据!$L$3:$L$32&lt;&gt;""),0),0)),"")</f>
        <v>销售三部</v>
      </c>
      <c r="L8" s="11" t="str">
        <f>IFERROR(INDEX(原始数据!$M$3:$M$32,MATCH(1,INDEX((原始数据!$D$3:$D$32="DD2026006")*(原始数据!$M$3:$M$32&lt;&gt;""),0),0)),"")</f>
        <v>王强</v>
      </c>
      <c r="M8" s="10" t="str">
        <f>IFERROR(INDEX(原始数据!$N$3:$N$32,MATCH(1,INDEX((原始数据!$D$3:$D$32="DD2026006")*(原始数据!$N$3:$N$32&lt;&gt;""),0),0)),"")</f>
        <v>90天以上</v>
      </c>
      <c r="N8" s="10" t="inlineStr">
        <is>
          <t>部分未结算</t>
        </is>
      </c>
    </row>
    <row r="9">
      <c r="A9" s="4">
        <f>ROW()-2</f>
        <v>7</v>
      </c>
      <c r="B9" s="5" t="str">
        <f>IFERROR(INDEX(原始数据!$B$3:$B$32,MATCH(1,INDEX((原始数据!$D$3:$D$32="DD2026007")*(原始数据!$B$3:$B$32&lt;&gt;""),0),0)),"")</f>
        <v>华东</v>
      </c>
      <c r="C9" s="5" t="str">
        <f>IFERROR(INDEX(原始数据!$C$3:$C$32,MATCH(1,INDEX((原始数据!$D$3:$D$32="DD2026007")*(原始数据!$C$3:$C$32&lt;&gt;""),0),0)),"")</f>
        <v>电商</v>
      </c>
      <c r="D9" s="6" t="inlineStr">
        <is>
          <t>DD2026007</t>
        </is>
      </c>
      <c r="E9" s="7">
        <f>IFERROR(INDEX(原始数据!$E$3:$E$32,MATCH(1,INDEX((原始数据!$D$3:$D$32="DD2026007")*(原始数据!$E$3:$E$32&lt;&gt;""),0),0)),"")</f>
        <v>202600305</v>
      </c>
      <c r="F9" s="8">
        <f>SUMIFS(原始数据!$F$3:$F$32,原始数据!$D$3:$D$32,"DD2026007")</f>
        <v>102.75</v>
      </c>
      <c r="G9" s="8">
        <f>SUMIFS(原始数据!$H$3:$H$32,原始数据!$D$3:$D$32,"DD2026007")</f>
        <v>2.85</v>
      </c>
      <c r="H9" s="8">
        <f>SUMIFS(原始数据!$I$3:$I$32,原始数据!$D$3:$D$32,"DD2026007")</f>
        <v>99.9</v>
      </c>
      <c r="I9" s="8">
        <f>SUMIFS(原始数据!$J$3:$J$32,原始数据!$D$3:$D$32,"DD2026007")</f>
        <v>20.93</v>
      </c>
      <c r="J9" s="8">
        <f>SUMIFS(原始数据!$K$3:$K$32,原始数据!$D$3:$D$32,"DD2026007")</f>
        <v>78.97</v>
      </c>
      <c r="K9" s="5" t="str">
        <f>IFERROR(INDEX(原始数据!$L$3:$L$32,MATCH(1,INDEX((原始数据!$D$3:$D$32="DD2026007")*(原始数据!$L$3:$L$32&lt;&gt;""),0),0)),"")</f>
        <v>销售一部</v>
      </c>
      <c r="L9" s="6" t="str">
        <f>IFERROR(INDEX(原始数据!$M$3:$M$32,MATCH(1,INDEX((原始数据!$D$3:$D$32="DD2026007")*(原始数据!$M$3:$M$32&lt;&gt;""),0),0)),"")</f>
        <v>张涛</v>
      </c>
      <c r="M9" s="5" t="str">
        <f>IFERROR(INDEX(原始数据!$N$3:$N$32,MATCH(1,INDEX((原始数据!$D$3:$D$32="DD2026007")*(原始数据!$N$3:$N$32&lt;&gt;""),0),0)),"")</f>
        <v>30天内</v>
      </c>
      <c r="N9" s="5" t="inlineStr">
        <is>
          <t>存在争议</t>
        </is>
      </c>
    </row>
    <row r="10">
      <c r="A10" s="9">
        <f>ROW()-2</f>
        <v>8</v>
      </c>
      <c r="B10" s="10" t="str">
        <f>IFERROR(INDEX(原始数据!$B$3:$B$32,MATCH(1,INDEX((原始数据!$D$3:$D$32="DD2026008")*(原始数据!$B$3:$B$32&lt;&gt;""),0),0)),"")</f>
        <v>华北</v>
      </c>
      <c r="C10" s="10" t="str">
        <f>IFERROR(INDEX(原始数据!$C$3:$C$32,MATCH(1,INDEX((原始数据!$D$3:$D$32="DD2026008")*(原始数据!$C$3:$C$32&lt;&gt;""),0),0)),"")</f>
        <v>分销</v>
      </c>
      <c r="D10" s="11" t="inlineStr">
        <is>
          <t>DD2026008</t>
        </is>
      </c>
      <c r="E10" s="12">
        <f>IFERROR(INDEX(原始数据!$E$3:$E$32,MATCH(1,INDEX((原始数据!$D$3:$D$32="DD2026008")*(原始数据!$E$3:$E$32&lt;&gt;""),0),0)),"")</f>
        <v>202600405</v>
      </c>
      <c r="F10" s="13">
        <f>SUMIFS(原始数据!$F$3:$F$32,原始数据!$D$3:$D$32,"DD2026008")</f>
        <v>74.25</v>
      </c>
      <c r="G10" s="13">
        <f>SUMIFS(原始数据!$H$3:$H$32,原始数据!$D$3:$D$32,"DD2026008")</f>
        <v>1.75</v>
      </c>
      <c r="H10" s="13">
        <f>SUMIFS(原始数据!$I$3:$I$32,原始数据!$D$3:$D$32,"DD2026008")</f>
        <v>72.5</v>
      </c>
      <c r="I10" s="13">
        <f>SUMIFS(原始数据!$J$3:$J$32,原始数据!$D$3:$D$32,"DD2026008")</f>
        <v>23.205</v>
      </c>
      <c r="J10" s="13">
        <f>SUMIFS(原始数据!$K$3:$K$32,原始数据!$D$3:$D$32,"DD2026008")</f>
        <v>49.294999999999995</v>
      </c>
      <c r="K10" s="10" t="str">
        <f>IFERROR(INDEX(原始数据!$L$3:$L$32,MATCH(1,INDEX((原始数据!$D$3:$D$32="DD2026008")*(原始数据!$L$3:$L$32&lt;&gt;""),0),0)),"")</f>
        <v>销售二部</v>
      </c>
      <c r="L10" s="11" t="str">
        <f>IFERROR(INDEX(原始数据!$M$3:$M$32,MATCH(1,INDEX((原始数据!$D$3:$D$32="DD2026008")*(原始数据!$M$3:$M$32&lt;&gt;""),0),0)),"")</f>
        <v>赵雷</v>
      </c>
      <c r="M10" s="10" t="str">
        <f>IFERROR(INDEX(原始数据!$N$3:$N$32,MATCH(1,INDEX((原始数据!$D$3:$D$32="DD2026008")*(原始数据!$N$3:$N$32&lt;&gt;""),0),0)),"")</f>
        <v>60天内</v>
      </c>
      <c r="N10" s="10" t="inlineStr">
        <is>
          <t>开票延迟</t>
        </is>
      </c>
    </row>
    <row r="11">
      <c r="A11" s="4">
        <f>ROW()-2</f>
        <v>9</v>
      </c>
      <c r="B11" s="5" t="str">
        <f>IFERROR(INDEX(原始数据!$B$3:$B$32,MATCH(1,INDEX((原始数据!$D$3:$D$32="DD2026009")*(原始数据!$B$3:$B$32&lt;&gt;""),0),0)),"")</f>
        <v>华南</v>
      </c>
      <c r="C11" s="5" t="str">
        <f>IFERROR(INDEX(原始数据!$C$3:$C$32,MATCH(1,INDEX((原始数据!$D$3:$D$32="DD2026009")*(原始数据!$C$3:$C$32&lt;&gt;""),0),0)),"")</f>
        <v>电商</v>
      </c>
      <c r="D11" s="6" t="inlineStr">
        <is>
          <t>DD2026009</t>
        </is>
      </c>
      <c r="E11" s="7">
        <f>IFERROR(INDEX(原始数据!$E$3:$E$32,MATCH(1,INDEX((原始数据!$D$3:$D$32="DD2026009")*(原始数据!$E$3:$E$32&lt;&gt;""),0),0)),"")</f>
        <v>202600505</v>
      </c>
      <c r="F11" s="8">
        <f>SUMIFS(原始数据!$F$3:$F$32,原始数据!$D$3:$D$32,"DD2026009")</f>
        <v>123.75</v>
      </c>
      <c r="G11" s="8">
        <f>SUMIFS(原始数据!$H$3:$H$32,原始数据!$D$3:$D$32,"DD2026009")</f>
        <v>2.85</v>
      </c>
      <c r="H11" s="8">
        <f>SUMIFS(原始数据!$I$3:$I$32,原始数据!$D$3:$D$32,"DD2026009")</f>
        <v>120.9</v>
      </c>
      <c r="I11" s="8">
        <f>SUMIFS(原始数据!$J$3:$J$32,原始数据!$D$3:$D$32,"DD2026009")</f>
        <v>25.48</v>
      </c>
      <c r="J11" s="8">
        <f>SUMIFS(原始数据!$K$3:$K$32,原始数据!$D$3:$D$32,"DD2026009")</f>
        <v>95.41999999999999</v>
      </c>
      <c r="K11" s="5" t="str">
        <f>IFERROR(INDEX(原始数据!$L$3:$L$32,MATCH(1,INDEX((原始数据!$D$3:$D$32="DD2026009")*(原始数据!$L$3:$L$32&lt;&gt;""),0),0)),"")</f>
        <v>销售三部</v>
      </c>
      <c r="L11" s="6" t="str">
        <f>IFERROR(INDEX(原始数据!$M$3:$M$32,MATCH(1,INDEX((原始数据!$D$3:$D$32="DD2026009")*(原始数据!$M$3:$M$32&lt;&gt;""),0),0)),"")</f>
        <v>王强</v>
      </c>
      <c r="M11" s="5" t="str">
        <f>IFERROR(INDEX(原始数据!$N$3:$N$32,MATCH(1,INDEX((原始数据!$D$3:$D$32="DD2026009")*(原始数据!$N$3:$N$32&lt;&gt;""),0),0)),"")</f>
        <v>30天内</v>
      </c>
      <c r="N11" s="5" t="inlineStr">
        <is>
          <t>未结算</t>
        </is>
      </c>
    </row>
    <row r="12">
      <c r="A12" s="9">
        <f>ROW()-2</f>
        <v>10</v>
      </c>
      <c r="B12" s="10" t="str">
        <f>IFERROR(INDEX(原始数据!$B$3:$B$32,MATCH(1,INDEX((原始数据!$D$3:$D$32="DD2026010")*(原始数据!$B$3:$B$32&lt;&gt;""),0),0)),"")</f>
        <v>华东</v>
      </c>
      <c r="C12" s="10" t="str">
        <f>IFERROR(INDEX(原始数据!$C$3:$C$32,MATCH(1,INDEX((原始数据!$D$3:$D$32="DD2026010")*(原始数据!$C$3:$C$32&lt;&gt;""),0),0)),"")</f>
        <v>直营</v>
      </c>
      <c r="D12" s="11" t="inlineStr">
        <is>
          <t>DD2026010</t>
        </is>
      </c>
      <c r="E12" s="12">
        <f>IFERROR(INDEX(原始数据!$E$3:$E$32,MATCH(1,INDEX((原始数据!$D$3:$D$32="DD2026010")*(原始数据!$E$3:$E$32&lt;&gt;""),0),0)),"")</f>
        <v>202600605</v>
      </c>
      <c r="F12" s="13">
        <f>SUMIFS(原始数据!$F$3:$F$32,原始数据!$D$3:$D$32,"DD2026010")</f>
        <v>88.25</v>
      </c>
      <c r="G12" s="13">
        <f>SUMIFS(原始数据!$H$3:$H$32,原始数据!$D$3:$D$32,"DD2026010")</f>
        <v>1.75</v>
      </c>
      <c r="H12" s="13">
        <f>SUMIFS(原始数据!$I$3:$I$32,原始数据!$D$3:$D$32,"DD2026010")</f>
        <v>86.5</v>
      </c>
      <c r="I12" s="13">
        <f>SUMIFS(原始数据!$J$3:$J$32,原始数据!$D$3:$D$32,"DD2026010")</f>
        <v>27.755</v>
      </c>
      <c r="J12" s="13">
        <f>SUMIFS(原始数据!$K$3:$K$32,原始数据!$D$3:$D$32,"DD2026010")</f>
        <v>58.745</v>
      </c>
      <c r="K12" s="10" t="str">
        <f>IFERROR(INDEX(原始数据!$L$3:$L$32,MATCH(1,INDEX((原始数据!$D$3:$D$32="DD2026010")*(原始数据!$L$3:$L$32&lt;&gt;""),0),0)),"")</f>
        <v>销售一部</v>
      </c>
      <c r="L12" s="11" t="str">
        <f>IFERROR(INDEX(原始数据!$M$3:$M$32,MATCH(1,INDEX((原始数据!$D$3:$D$32="DD2026010")*(原始数据!$M$3:$M$32&lt;&gt;""),0),0)),"")</f>
        <v>赵雷</v>
      </c>
      <c r="M12" s="10" t="str">
        <f>IFERROR(INDEX(原始数据!$N$3:$N$32,MATCH(1,INDEX((原始数据!$D$3:$D$32="DD2026010")*(原始数据!$N$3:$N$32&lt;&gt;""),0),0)),"")</f>
        <v>90天以上</v>
      </c>
      <c r="N12" s="10" t="inlineStr">
        <is>
          <t>部分未结算</t>
        </is>
      </c>
    </row>
    <row r="13">
      <c r="A13" s="4">
        <f>ROW()-2</f>
        <v>11</v>
      </c>
      <c r="B13" s="5" t="str">
        <f>IFERROR(INDEX(原始数据!$B$3:$B$32,MATCH(1,INDEX((原始数据!$D$3:$D$32="DD2026011")*(原始数据!$B$3:$B$32&lt;&gt;""),0),0)),"")</f>
        <v>华北</v>
      </c>
      <c r="C13" s="5" t="str">
        <f>IFERROR(INDEX(原始数据!$C$3:$C$32,MATCH(1,INDEX((原始数据!$D$3:$D$32="DD2026011")*(原始数据!$C$3:$C$32&lt;&gt;""),0),0)),"")</f>
        <v>直营</v>
      </c>
      <c r="D13" s="6" t="inlineStr">
        <is>
          <t>DD2026011</t>
        </is>
      </c>
      <c r="E13" s="7">
        <f>IFERROR(INDEX(原始数据!$E$3:$E$32,MATCH(1,INDEX((原始数据!$D$3:$D$32="DD2026011")*(原始数据!$E$3:$E$32&lt;&gt;""),0),0)),"")</f>
        <v>202600705</v>
      </c>
      <c r="F13" s="8">
        <f>SUMIFS(原始数据!$F$3:$F$32,原始数据!$D$3:$D$32,"DD2026011")</f>
        <v>95.25</v>
      </c>
      <c r="G13" s="8">
        <f>SUMIFS(原始数据!$H$3:$H$32,原始数据!$D$3:$D$32,"DD2026011")</f>
        <v>1.75</v>
      </c>
      <c r="H13" s="8">
        <f>SUMIFS(原始数据!$I$3:$I$32,原始数据!$D$3:$D$32,"DD2026011")</f>
        <v>93.5</v>
      </c>
      <c r="I13" s="8">
        <f>SUMIFS(原始数据!$J$3:$J$32,原始数据!$D$3:$D$32,"DD2026011")</f>
        <v>30.03</v>
      </c>
      <c r="J13" s="8">
        <f>SUMIFS(原始数据!$K$3:$K$32,原始数据!$D$3:$D$32,"DD2026011")</f>
        <v>63.47</v>
      </c>
      <c r="K13" s="5" t="str">
        <f>IFERROR(INDEX(原始数据!$L$3:$L$32,MATCH(1,INDEX((原始数据!$D$3:$D$32="DD2026011")*(原始数据!$L$3:$L$32&lt;&gt;""),0),0)),"")</f>
        <v>销售二部</v>
      </c>
      <c r="L13" s="6" t="str">
        <f>IFERROR(INDEX(原始数据!$M$3:$M$32,MATCH(1,INDEX((原始数据!$D$3:$D$32="DD2026011")*(原始数据!$M$3:$M$32&lt;&gt;""),0),0)),"")</f>
        <v>李敏</v>
      </c>
      <c r="M13" s="5" t="str">
        <f>IFERROR(INDEX(原始数据!$N$3:$N$32,MATCH(1,INDEX((原始数据!$D$3:$D$32="DD2026011")*(原始数据!$N$3:$N$32&lt;&gt;""),0),0)),"")</f>
        <v>30天内</v>
      </c>
      <c r="N13" s="5" t="inlineStr">
        <is>
          <t>存在争议</t>
        </is>
      </c>
    </row>
    <row r="14">
      <c r="A14" s="9">
        <f>ROW()-2</f>
        <v>12</v>
      </c>
      <c r="B14" s="10" t="str">
        <f>IFERROR(INDEX(原始数据!$B$3:$B$32,MATCH(1,INDEX((原始数据!$D$3:$D$32="DD2026012")*(原始数据!$B$3:$B$32&lt;&gt;""),0),0)),"")</f>
        <v>华南</v>
      </c>
      <c r="C14" s="10" t="str">
        <f>IFERROR(INDEX(原始数据!$C$3:$C$32,MATCH(1,INDEX((原始数据!$D$3:$D$32="DD2026012")*(原始数据!$C$3:$C$32&lt;&gt;""),0),0)),"")</f>
        <v>分销</v>
      </c>
      <c r="D14" s="11" t="inlineStr">
        <is>
          <t>DD2026012</t>
        </is>
      </c>
      <c r="E14" s="12">
        <f>IFERROR(INDEX(原始数据!$E$3:$E$32,MATCH(1,INDEX((原始数据!$D$3:$D$32="DD2026012")*(原始数据!$E$3:$E$32&lt;&gt;""),0),0)),"")</f>
        <v>202600805</v>
      </c>
      <c r="F14" s="13">
        <f>SUMIFS(原始数据!$F$3:$F$32,原始数据!$D$3:$D$32,"DD2026012")</f>
        <v>102.25</v>
      </c>
      <c r="G14" s="13">
        <f>SUMIFS(原始数据!$H$3:$H$32,原始数据!$D$3:$D$32,"DD2026012")</f>
        <v>1.75</v>
      </c>
      <c r="H14" s="13">
        <f>SUMIFS(原始数据!$I$3:$I$32,原始数据!$D$3:$D$32,"DD2026012")</f>
        <v>100.5</v>
      </c>
      <c r="I14" s="13">
        <f>SUMIFS(原始数据!$J$3:$J$32,原始数据!$D$3:$D$32,"DD2026012")</f>
        <v>32.305</v>
      </c>
      <c r="J14" s="13">
        <f>SUMIFS(原始数据!$K$3:$K$32,原始数据!$D$3:$D$32,"DD2026012")</f>
        <v>68.195</v>
      </c>
      <c r="K14" s="10" t="str">
        <f>IFERROR(INDEX(原始数据!$L$3:$L$32,MATCH(1,INDEX((原始数据!$D$3:$D$32="DD2026012")*(原始数据!$L$3:$L$32&lt;&gt;""),0),0)),"")</f>
        <v>销售三部</v>
      </c>
      <c r="L14" s="11" t="str">
        <f>IFERROR(INDEX(原始数据!$M$3:$M$32,MATCH(1,INDEX((原始数据!$D$3:$D$32="DD2026012")*(原始数据!$M$3:$M$32&lt;&gt;""),0),0)),"")</f>
        <v>孙倩</v>
      </c>
      <c r="M14" s="10" t="str">
        <f>IFERROR(INDEX(原始数据!$N$3:$N$32,MATCH(1,INDEX((原始数据!$D$3:$D$32="DD2026012")*(原始数据!$N$3:$N$32&lt;&gt;""),0),0)),"")</f>
        <v>60天内</v>
      </c>
      <c r="N14" s="10" t="inlineStr">
        <is>
          <t>开票延迟</t>
        </is>
      </c>
    </row>
  </sheetData>
  <autoFilter ref="A2:N14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3" customWidth="1" min="4" max="4"/>
    <col width="15" customWidth="1" min="5" max="5"/>
    <col width="9" customWidth="1" min="6" max="6"/>
  </cols>
  <sheetData>
    <row r="1">
      <c r="A1" s="2" t="inlineStr">
        <is>
          <t>异常原因分类汇总</t>
        </is>
      </c>
    </row>
    <row r="2">
      <c r="A2" s="3" t="inlineStr">
        <is>
          <t>序号</t>
        </is>
      </c>
      <c r="B2" s="3" t="inlineStr">
        <is>
          <t>异常原因分类</t>
        </is>
      </c>
      <c r="C2" s="3" t="inlineStr">
        <is>
          <t>未结算金额</t>
        </is>
      </c>
      <c r="D2" s="3" t="inlineStr">
        <is>
          <t>涉及订单数</t>
        </is>
      </c>
      <c r="E2" s="3" t="inlineStr">
        <is>
          <t>涉及数据笔数</t>
        </is>
      </c>
      <c r="F2" s="3" t="inlineStr">
        <is>
          <t>占比</t>
        </is>
      </c>
    </row>
    <row r="3">
      <c r="A3" s="4">
        <f>ROW()-2</f>
        <v>1</v>
      </c>
      <c r="B3" s="5" t="inlineStr">
        <is>
          <t>存在争议</t>
        </is>
      </c>
      <c r="C3" s="8">
        <f>SUMIFS(原始数据!$K$3:$K$32,原始数据!$O$3:$O$32,"存在争议")</f>
        <v>210.01</v>
      </c>
      <c r="D3" s="4">
        <f>SUMPRODUCT((原始数据!$O$3:$O$32="存在争议")/COUNTIFS(原始数据!$D$3:$D$32,原始数据!$D$3:$D$32&amp;"",原始数据!$O$3:$O$32,原始数据!$O$3:$O$32&amp;""))</f>
        <v>3</v>
      </c>
      <c r="E3" s="4">
        <f>COUNTIFS(原始数据!$O$3:$O$32,"存在争议")</f>
        <v>9</v>
      </c>
      <c r="F3" s="14">
        <f>IF((SUM(原始数据!$F$3:$F$32)-SUM(原始数据!$J$3:$J$32))=0,"",C3/(SUM(原始数据!$F$3:$F$32)-SUM(原始数据!$J$3:$J$32)))</f>
        <v>0.3031584721540549</v>
      </c>
    </row>
    <row r="4">
      <c r="A4" s="9">
        <f>ROW()-2</f>
        <v>2</v>
      </c>
      <c r="B4" s="10" t="inlineStr">
        <is>
          <t>未结算</t>
        </is>
      </c>
      <c r="C4" s="13">
        <f>SUMIFS(原始数据!$K$3:$K$32,原始数据!$O$3:$O$32,"未结算")</f>
        <v>187.56</v>
      </c>
      <c r="D4" s="9">
        <f>SUMPRODUCT((原始数据!$O$3:$O$32="未结算")/COUNTIFS(原始数据!$D$3:$D$32,原始数据!$D$3:$D$32&amp;"",原始数据!$O$3:$O$32,原始数据!$O$3:$O$32&amp;""))</f>
        <v>3</v>
      </c>
      <c r="E4" s="9">
        <f>COUNTIFS(原始数据!$O$3:$O$32,"未结算")</f>
        <v>9</v>
      </c>
      <c r="F4" s="15">
        <f>IF((SUM(原始数据!$F$3:$F$32)-SUM(原始数据!$J$3:$J$32))=0,"",C4/(SUM(原始数据!$F$3:$F$32)-SUM(原始数据!$J$3:$J$32)))</f>
        <v>0.27075093108525566</v>
      </c>
    </row>
    <row r="5">
      <c r="A5" s="4">
        <f>ROW()-2</f>
        <v>3</v>
      </c>
      <c r="B5" s="5" t="inlineStr">
        <is>
          <t>开票延迟</t>
        </is>
      </c>
      <c r="C5" s="8">
        <f>SUMIFS(原始数据!$K$3:$K$32,原始数据!$O$3:$O$32,"开票延迟")</f>
        <v>147.885</v>
      </c>
      <c r="D5" s="4">
        <f>SUMPRODUCT((原始数据!$O$3:$O$32="开票延迟")/COUNTIFS(原始数据!$D$3:$D$32,原始数据!$D$3:$D$32&amp;"",原始数据!$O$3:$O$32,原始数据!$O$3:$O$32&amp;""))</f>
        <v>3</v>
      </c>
      <c r="E5" s="4">
        <f>COUNTIFS(原始数据!$O$3:$O$32,"开票延迟")</f>
        <v>6</v>
      </c>
      <c r="F5" s="14">
        <f>IF((SUM(原始数据!$F$3:$F$32)-SUM(原始数据!$J$3:$J$32))=0,"",C5/(SUM(原始数据!$F$3:$F$32)-SUM(原始数据!$J$3:$J$32)))</f>
        <v>0.21347836128995004</v>
      </c>
    </row>
    <row r="6">
      <c r="A6" s="9">
        <f>ROW()-2</f>
        <v>4</v>
      </c>
      <c r="B6" s="10" t="inlineStr">
        <is>
          <t>部分未结算</t>
        </is>
      </c>
      <c r="C6" s="13">
        <f>SUMIFS(原始数据!$K$3:$K$32,原始数据!$O$3:$O$32,"部分未结算")</f>
        <v>119.53500000000001</v>
      </c>
      <c r="D6" s="9">
        <f>SUMPRODUCT((原始数据!$O$3:$O$32="部分未结算")/COUNTIFS(原始数据!$D$3:$D$32,原始数据!$D$3:$D$32&amp;"",原始数据!$O$3:$O$32,原始数据!$O$3:$O$32&amp;""))</f>
        <v>3</v>
      </c>
      <c r="E6" s="9">
        <f>COUNTIFS(原始数据!$O$3:$O$32,"部分未结算")</f>
        <v>6</v>
      </c>
      <c r="F6" s="15">
        <f>IF((SUM(原始数据!$F$3:$F$32)-SUM(原始数据!$J$3:$J$32))=0,"",C6/(SUM(原始数据!$F$3:$F$32)-SUM(原始数据!$J$3:$J$32)))</f>
        <v>0.17255391633224587</v>
      </c>
    </row>
  </sheetData>
  <autoFilter ref="A2:F6"/>
  <mergeCells count="1">
    <mergeCell ref="A1:F1"/>
  </mergeCells>
  <conditionalFormatting sqref="B3:B6">
    <cfRule type="expression" priority="1" dxfId="0" stopIfTrue="1">
      <formula>EXACT($B3,"存在争议")</formula>
    </cfRule>
    <cfRule type="expression" priority="2" dxfId="1" stopIfTrue="1">
      <formula>EXACT($B3,"未结算")</formula>
    </cfRule>
    <cfRule type="expression" priority="3" dxfId="2" stopIfTrue="1">
      <formula>EXACT($B3,"开票延迟")</formula>
    </cfRule>
    <cfRule type="expression" priority="4" dxfId="3" stopIfTrue="1">
      <formula>EXACT($B3,"部分未结算")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数据统计总览</t>
        </is>
      </c>
    </row>
    <row r="2">
      <c r="A2" s="3" t="inlineStr">
        <is>
          <t>指标</t>
        </is>
      </c>
      <c r="B2" s="3" t="inlineStr">
        <is>
          <t>数值</t>
        </is>
      </c>
    </row>
    <row r="3">
      <c r="A3" s="6" t="inlineStr">
        <is>
          <t>总订单金额（万元）</t>
        </is>
      </c>
      <c r="B3" s="8">
        <f>SUM(原始数据!$F$3:$F$32)</f>
        <v>930.25</v>
      </c>
    </row>
    <row r="4">
      <c r="A4" s="11" t="inlineStr">
        <is>
          <t>总发货金额（万元）</t>
        </is>
      </c>
      <c r="B4" s="13">
        <f>SUM(原始数据!$I$3:$I$32)</f>
        <v>902.5</v>
      </c>
    </row>
    <row r="5">
      <c r="A5" s="6" t="inlineStr">
        <is>
          <t>总已结算金额（万元）</t>
        </is>
      </c>
      <c r="B5" s="8">
        <f>SUM(原始数据!$J$3:$J$32)</f>
        <v>237.51000000000002</v>
      </c>
    </row>
    <row r="6">
      <c r="A6" s="11" t="inlineStr">
        <is>
          <t>总未结算金额（万元）</t>
        </is>
      </c>
      <c r="B6" s="13">
        <f>SUM(原始数据!$K$3:$K$32)</f>
        <v>664.9899999999998</v>
      </c>
    </row>
    <row r="7">
      <c r="A7" s="6" t="inlineStr">
        <is>
          <t>整体结算率</t>
        </is>
      </c>
      <c r="B7" s="14">
        <f>IF(B3=0,"",B5/B3)</f>
        <v>0.2553184627788229</v>
      </c>
    </row>
    <row r="8">
      <c r="A8" s="11" t="inlineStr">
        <is>
          <t>总订单数</t>
        </is>
      </c>
      <c r="B8" s="9">
        <f>SUMPRODUCT(1/COUNTIF(原始数据!$D$3:$D$32,原始数据!$D$3:$D$32&amp;""))</f>
        <v>12</v>
      </c>
    </row>
    <row r="9">
      <c r="A9" s="6" t="inlineStr">
        <is>
          <t>总数据笔数</t>
        </is>
      </c>
      <c r="B9" s="4">
        <f>COUNTA(原始数据!$A$3:$A$32)</f>
        <v>30</v>
      </c>
    </row>
    <row r="10">
      <c r="A10" s="11" t="inlineStr">
        <is>
          <t>异常原因分类数</t>
        </is>
      </c>
      <c r="B10" s="9">
        <f>SUMPRODUCT((原始数据!$O$3:$O$32&lt;&gt;"")/COUNTIF(原始数据!$O$3:$O$32,原始数据!$O$3:$O$32&amp;""))</f>
        <v>4</v>
      </c>
    </row>
  </sheetData>
  <autoFilter ref="A2:B10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3" customWidth="1" min="4" max="4"/>
    <col width="15" customWidth="1" min="5" max="5"/>
    <col width="15" customWidth="1" min="6" max="6"/>
    <col width="9" customWidth="1" min="7" max="7"/>
    <col width="13" customWidth="1" min="8" max="8"/>
    <col width="13" customWidth="1" min="9" max="9"/>
  </cols>
  <sheetData>
    <row r="1">
      <c r="A1" s="2" t="inlineStr">
        <is>
          <t>区域维度统计分析</t>
        </is>
      </c>
    </row>
    <row r="2">
      <c r="A2" s="3" t="inlineStr">
        <is>
          <t>序号</t>
        </is>
      </c>
      <c r="B2" s="3" t="inlineStr">
        <is>
          <t>区域</t>
        </is>
      </c>
      <c r="C2" s="3" t="inlineStr">
        <is>
          <t>总订单金额</t>
        </is>
      </c>
      <c r="D2" s="3" t="inlineStr">
        <is>
          <t>总发货金额</t>
        </is>
      </c>
      <c r="E2" s="3" t="inlineStr">
        <is>
          <t>总已结算金额</t>
        </is>
      </c>
      <c r="F2" s="3" t="inlineStr">
        <is>
          <t>总未结算金额</t>
        </is>
      </c>
      <c r="G2" s="3" t="inlineStr">
        <is>
          <t>订单数</t>
        </is>
      </c>
      <c r="H2" s="3" t="inlineStr">
        <is>
          <t>整体结算率</t>
        </is>
      </c>
      <c r="I2" s="3" t="inlineStr">
        <is>
          <t>未结算占比</t>
        </is>
      </c>
    </row>
    <row r="3">
      <c r="A3" s="4">
        <f>ROW()-2</f>
        <v>1</v>
      </c>
      <c r="B3" s="5" t="inlineStr">
        <is>
          <t>华南</t>
        </is>
      </c>
      <c r="C3" s="8">
        <f>SUMIFS(原始数据!$F$3:$F$32,原始数据!$B$3:$B$32,"华南")</f>
        <v>368.0</v>
      </c>
      <c r="D3" s="8">
        <f>SUMIFS(原始数据!$I$3:$I$32,原始数据!$B$3:$B$32,"华南")</f>
        <v>358.79999999999995</v>
      </c>
      <c r="E3" s="8">
        <f>SUMIFS(原始数据!$J$3:$J$32,原始数据!$B$3:$B$32,"华南")</f>
        <v>92.82</v>
      </c>
      <c r="F3" s="8">
        <f>SUMIFS(原始数据!$K$3:$K$32,原始数据!$B$3:$B$32,"华南")</f>
        <v>265.98</v>
      </c>
      <c r="G3" s="4">
        <f>SUMPRODUCT((原始数据!$B$3:$B$32="华南")/COUNTIFS(原始数据!$D$3:$D$32,原始数据!$D$3:$D$32&amp;"",原始数据!$B$3:$B$32,原始数据!$B$3:$B$32&amp;""))</f>
        <v>4</v>
      </c>
      <c r="H3" s="14">
        <f>IF(C3=0,"",E3/C3)</f>
        <v>0.2522282608695652</v>
      </c>
      <c r="I3" s="14">
        <f>IF(SUM(原始数据!$F$3:$F$32)=0,"",F3/SUM(原始数据!$F$3:$F$32))</f>
        <v>0.28592313894114485</v>
      </c>
    </row>
    <row r="4">
      <c r="A4" s="9">
        <f>ROW()-2</f>
        <v>2</v>
      </c>
      <c r="B4" s="10" t="inlineStr">
        <is>
          <t>华北</t>
        </is>
      </c>
      <c r="C4" s="13">
        <f>SUMIFS(原始数据!$F$3:$F$32,原始数据!$B$3:$B$32,"华北")</f>
        <v>299.25</v>
      </c>
      <c r="D4" s="13">
        <f>SUMIFS(原始数据!$I$3:$I$32,原始数据!$B$3:$B$32,"华北")</f>
        <v>289.90000000000003</v>
      </c>
      <c r="E4" s="13">
        <f>SUMIFS(原始数据!$J$3:$J$32,原始数据!$B$3:$B$32,"华北")</f>
        <v>79.17</v>
      </c>
      <c r="F4" s="13">
        <f>SUMIFS(原始数据!$K$3:$K$32,原始数据!$B$3:$B$32,"华北")</f>
        <v>210.73000000000002</v>
      </c>
      <c r="G4" s="9">
        <f>SUMPRODUCT((原始数据!$B$3:$B$32="华北")/COUNTIFS(原始数据!$D$3:$D$32,原始数据!$D$3:$D$32&amp;"",原始数据!$B$3:$B$32,原始数据!$B$3:$B$32&amp;""))</f>
        <v>4</v>
      </c>
      <c r="H4" s="15">
        <f>IF(C4=0,"",E4/C4)</f>
        <v>0.26456140350877194</v>
      </c>
      <c r="I4" s="15">
        <f>IF(SUM(原始数据!$F$3:$F$32)=0,"",F4/SUM(原始数据!$F$3:$F$32))</f>
        <v>0.22653050255307716</v>
      </c>
    </row>
    <row r="5">
      <c r="A5" s="4">
        <f>ROW()-2</f>
        <v>3</v>
      </c>
      <c r="B5" s="5" t="inlineStr">
        <is>
          <t>华东</t>
        </is>
      </c>
      <c r="C5" s="8">
        <f>SUMIFS(原始数据!$F$3:$F$32,原始数据!$B$3:$B$32,"华东")</f>
        <v>263.0</v>
      </c>
      <c r="D5" s="8">
        <f>SUMIFS(原始数据!$I$3:$I$32,原始数据!$B$3:$B$32,"华东")</f>
        <v>253.8</v>
      </c>
      <c r="E5" s="8">
        <f>SUMIFS(原始数据!$J$3:$J$32,原始数据!$B$3:$B$32,"华东")</f>
        <v>65.52</v>
      </c>
      <c r="F5" s="8">
        <f>SUMIFS(原始数据!$K$3:$K$32,原始数据!$B$3:$B$32,"华东")</f>
        <v>188.27999999999997</v>
      </c>
      <c r="G5" s="4">
        <f>SUMPRODUCT((原始数据!$B$3:$B$32="华东")/COUNTIFS(原始数据!$D$3:$D$32,原始数据!$D$3:$D$32&amp;"",原始数据!$B$3:$B$32,原始数据!$B$3:$B$32&amp;""))</f>
        <v>4</v>
      </c>
      <c r="H5" s="14">
        <f>IF(C5=0,"",E5/C5)</f>
        <v>0.2491254752851711</v>
      </c>
      <c r="I5" s="14">
        <f>IF(SUM(原始数据!$F$3:$F$32)=0,"",F5/SUM(原始数据!$F$3:$F$32))</f>
        <v>0.20239720505240524</v>
      </c>
    </row>
  </sheetData>
  <autoFilter ref="A2:I5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5" customWidth="1" min="5" max="5"/>
    <col width="15" customWidth="1" min="6" max="6"/>
    <col width="9" customWidth="1" min="7" max="7"/>
    <col width="13" customWidth="1" min="8" max="8"/>
    <col width="13" customWidth="1" min="9" max="9"/>
  </cols>
  <sheetData>
    <row r="1">
      <c r="A1" s="2" t="inlineStr">
        <is>
          <t>部门维度统计分析</t>
        </is>
      </c>
    </row>
    <row r="2">
      <c r="A2" s="3" t="inlineStr">
        <is>
          <t>序号</t>
        </is>
      </c>
      <c r="B2" s="3" t="inlineStr">
        <is>
          <t>部门</t>
        </is>
      </c>
      <c r="C2" s="3" t="inlineStr">
        <is>
          <t>总订单金额</t>
        </is>
      </c>
      <c r="D2" s="3" t="inlineStr">
        <is>
          <t>总发货金额</t>
        </is>
      </c>
      <c r="E2" s="3" t="inlineStr">
        <is>
          <t>总已结算金额</t>
        </is>
      </c>
      <c r="F2" s="3" t="inlineStr">
        <is>
          <t>总未结算金额</t>
        </is>
      </c>
      <c r="G2" s="3" t="inlineStr">
        <is>
          <t>订单数</t>
        </is>
      </c>
      <c r="H2" s="3" t="inlineStr">
        <is>
          <t>整体结算率</t>
        </is>
      </c>
      <c r="I2" s="3" t="inlineStr">
        <is>
          <t>未结算占比</t>
        </is>
      </c>
    </row>
    <row r="3">
      <c r="A3" s="4">
        <f>ROW()-2</f>
        <v>1</v>
      </c>
      <c r="B3" s="5" t="inlineStr">
        <is>
          <t>销售三部</t>
        </is>
      </c>
      <c r="C3" s="8">
        <f>SUMIFS(原始数据!$F$3:$F$32,原始数据!$L$3:$L$32,"销售三部")</f>
        <v>368.0</v>
      </c>
      <c r="D3" s="8">
        <f>SUMIFS(原始数据!$I$3:$I$32,原始数据!$L$3:$L$32,"销售三部")</f>
        <v>358.79999999999995</v>
      </c>
      <c r="E3" s="8">
        <f>SUMIFS(原始数据!$J$3:$J$32,原始数据!$L$3:$L$32,"销售三部")</f>
        <v>92.82</v>
      </c>
      <c r="F3" s="8">
        <f>SUMIFS(原始数据!$K$3:$K$32,原始数据!$L$3:$L$32,"销售三部")</f>
        <v>265.98</v>
      </c>
      <c r="G3" s="4">
        <f>SUMPRODUCT((原始数据!$L$3:$L$32="销售三部")/COUNTIFS(原始数据!$D$3:$D$32,原始数据!$D$3:$D$32&amp;"",原始数据!$L$3:$L$32,原始数据!$L$3:$L$32&amp;""))</f>
        <v>4</v>
      </c>
      <c r="H3" s="14">
        <f>IF(C3=0,"",E3/C3)</f>
        <v>0.2522282608695652</v>
      </c>
      <c r="I3" s="14">
        <f>IF(SUM(原始数据!$F$3:$F$32)=0,"",F3/SUM(原始数据!$F$3:$F$32))</f>
        <v>0.28592313894114485</v>
      </c>
    </row>
    <row r="4">
      <c r="A4" s="9">
        <f>ROW()-2</f>
        <v>2</v>
      </c>
      <c r="B4" s="10" t="inlineStr">
        <is>
          <t>销售二部</t>
        </is>
      </c>
      <c r="C4" s="13">
        <f>SUMIFS(原始数据!$F$3:$F$32,原始数据!$L$3:$L$32,"销售二部")</f>
        <v>299.25</v>
      </c>
      <c r="D4" s="13">
        <f>SUMIFS(原始数据!$I$3:$I$32,原始数据!$L$3:$L$32,"销售二部")</f>
        <v>289.90000000000003</v>
      </c>
      <c r="E4" s="13">
        <f>SUMIFS(原始数据!$J$3:$J$32,原始数据!$L$3:$L$32,"销售二部")</f>
        <v>79.17</v>
      </c>
      <c r="F4" s="13">
        <f>SUMIFS(原始数据!$K$3:$K$32,原始数据!$L$3:$L$32,"销售二部")</f>
        <v>210.73000000000002</v>
      </c>
      <c r="G4" s="9">
        <f>SUMPRODUCT((原始数据!$L$3:$L$32="销售二部")/COUNTIFS(原始数据!$D$3:$D$32,原始数据!$D$3:$D$32&amp;"",原始数据!$L$3:$L$32,原始数据!$L$3:$L$32&amp;""))</f>
        <v>4</v>
      </c>
      <c r="H4" s="15">
        <f>IF(C4=0,"",E4/C4)</f>
        <v>0.26456140350877194</v>
      </c>
      <c r="I4" s="15">
        <f>IF(SUM(原始数据!$F$3:$F$32)=0,"",F4/SUM(原始数据!$F$3:$F$32))</f>
        <v>0.22653050255307716</v>
      </c>
    </row>
    <row r="5">
      <c r="A5" s="4">
        <f>ROW()-2</f>
        <v>3</v>
      </c>
      <c r="B5" s="5" t="inlineStr">
        <is>
          <t>销售一部</t>
        </is>
      </c>
      <c r="C5" s="8">
        <f>SUMIFS(原始数据!$F$3:$F$32,原始数据!$L$3:$L$32,"销售一部")</f>
        <v>263.0</v>
      </c>
      <c r="D5" s="8">
        <f>SUMIFS(原始数据!$I$3:$I$32,原始数据!$L$3:$L$32,"销售一部")</f>
        <v>253.8</v>
      </c>
      <c r="E5" s="8">
        <f>SUMIFS(原始数据!$J$3:$J$32,原始数据!$L$3:$L$32,"销售一部")</f>
        <v>65.52</v>
      </c>
      <c r="F5" s="8">
        <f>SUMIFS(原始数据!$K$3:$K$32,原始数据!$L$3:$L$32,"销售一部")</f>
        <v>188.27999999999997</v>
      </c>
      <c r="G5" s="4">
        <f>SUMPRODUCT((原始数据!$L$3:$L$32="销售一部")/COUNTIFS(原始数据!$D$3:$D$32,原始数据!$D$3:$D$32&amp;"",原始数据!$L$3:$L$32,原始数据!$L$3:$L$32&amp;""))</f>
        <v>4</v>
      </c>
      <c r="H5" s="14">
        <f>IF(C5=0,"",E5/C5)</f>
        <v>0.2491254752851711</v>
      </c>
      <c r="I5" s="14">
        <f>IF(SUM(原始数据!$F$3:$F$32)=0,"",F5/SUM(原始数据!$F$3:$F$32))</f>
        <v>0.20239720505240524</v>
      </c>
    </row>
  </sheetData>
  <autoFilter ref="A2:I5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5" customWidth="1" min="5" max="5"/>
    <col width="15" customWidth="1" min="6" max="6"/>
    <col width="9" customWidth="1" min="7" max="7"/>
    <col width="13" customWidth="1" min="8" max="8"/>
    <col width="13" customWidth="1" min="9" max="9"/>
  </cols>
  <sheetData>
    <row r="1">
      <c r="A1" s="2" t="inlineStr">
        <is>
          <t>库龄维度统计分析</t>
        </is>
      </c>
    </row>
    <row r="2">
      <c r="A2" s="3" t="inlineStr">
        <is>
          <t>序号</t>
        </is>
      </c>
      <c r="B2" s="3" t="inlineStr">
        <is>
          <t>库龄</t>
        </is>
      </c>
      <c r="C2" s="3" t="inlineStr">
        <is>
          <t>总订单金额</t>
        </is>
      </c>
      <c r="D2" s="3" t="inlineStr">
        <is>
          <t>总发货金额</t>
        </is>
      </c>
      <c r="E2" s="3" t="inlineStr">
        <is>
          <t>总已结算金额</t>
        </is>
      </c>
      <c r="F2" s="3" t="inlineStr">
        <is>
          <t>总未结算金额</t>
        </is>
      </c>
      <c r="G2" s="3" t="inlineStr">
        <is>
          <t>订单数</t>
        </is>
      </c>
      <c r="H2" s="3" t="inlineStr">
        <is>
          <t>整体结算率</t>
        </is>
      </c>
      <c r="I2" s="3" t="inlineStr">
        <is>
          <t>未结算占比</t>
        </is>
      </c>
    </row>
    <row r="3">
      <c r="A3" s="4">
        <f>ROW()-2</f>
        <v>1</v>
      </c>
      <c r="B3" s="5" t="inlineStr">
        <is>
          <t>30天内</t>
        </is>
      </c>
      <c r="C3" s="8">
        <f>SUMIFS(原始数据!$F$3:$F$32,原始数据!$N$3:$N$32,"30天内")</f>
        <v>407.75</v>
      </c>
      <c r="D3" s="8">
        <f>SUMIFS(原始数据!$I$3:$I$32,原始数据!$N$3:$N$32,"30天内")</f>
        <v>395.7</v>
      </c>
      <c r="E3" s="8">
        <f>SUMIFS(原始数据!$J$3:$J$32,原始数据!$N$3:$N$32,"30天内")</f>
        <v>97.825</v>
      </c>
      <c r="F3" s="8">
        <f>SUMIFS(原始数据!$K$3:$K$32,原始数据!$N$3:$N$32,"30天内")</f>
        <v>297.875</v>
      </c>
      <c r="G3" s="4">
        <f>SUMPRODUCT((原始数据!$N$3:$N$32="30天内")/COUNTIFS(原始数据!$D$3:$D$32,原始数据!$D$3:$D$32&amp;"",原始数据!$N$3:$N$32,原始数据!$N$3:$N$32&amp;""))</f>
        <v>5</v>
      </c>
      <c r="H3" s="14">
        <f>IF(C3=0,"",E3/C3)</f>
        <v>0.23991416309012875</v>
      </c>
      <c r="I3" s="14">
        <f>IF(SUM(原始数据!$F$3:$F$32)=0,"",F3/SUM(原始数据!$F$3:$F$32))</f>
        <v>0.32020962106960493</v>
      </c>
    </row>
    <row r="4">
      <c r="A4" s="9">
        <f>ROW()-2</f>
        <v>2</v>
      </c>
      <c r="B4" s="10" t="inlineStr">
        <is>
          <t>60天内</t>
        </is>
      </c>
      <c r="C4" s="13">
        <f>SUMIFS(原始数据!$F$3:$F$32,原始数据!$N$3:$N$32,"60天内")</f>
        <v>290.5</v>
      </c>
      <c r="D4" s="13">
        <f>SUMIFS(原始数据!$I$3:$I$32,原始数据!$N$3:$N$32,"60天内")</f>
        <v>282.4</v>
      </c>
      <c r="E4" s="13">
        <f>SUMIFS(原始数据!$J$3:$J$32,原始数据!$N$3:$N$32,"60天内")</f>
        <v>81.445</v>
      </c>
      <c r="F4" s="13">
        <f>SUMIFS(原始数据!$K$3:$K$32,原始数据!$N$3:$N$32,"60天内")</f>
        <v>200.95499999999998</v>
      </c>
      <c r="G4" s="9">
        <f>SUMPRODUCT((原始数据!$N$3:$N$32="60天内")/COUNTIFS(原始数据!$D$3:$D$32,原始数据!$D$3:$D$32&amp;"",原始数据!$N$3:$N$32,原始数据!$N$3:$N$32&amp;""))</f>
        <v>4</v>
      </c>
      <c r="H4" s="15">
        <f>IF(C4=0,"",E4/C4)</f>
        <v>0.2803614457831325</v>
      </c>
      <c r="I4" s="15">
        <f>IF(SUM(原始数据!$F$3:$F$32)=0,"",F4/SUM(原始数据!$F$3:$F$32))</f>
        <v>0.21602257457672666</v>
      </c>
    </row>
    <row r="5">
      <c r="A5" s="4">
        <f>ROW()-2</f>
        <v>3</v>
      </c>
      <c r="B5" s="5" t="inlineStr">
        <is>
          <t>90天以上</t>
        </is>
      </c>
      <c r="C5" s="8">
        <f>SUMIFS(原始数据!$F$3:$F$32,原始数据!$N$3:$N$32,"90天以上")</f>
        <v>232.0</v>
      </c>
      <c r="D5" s="8">
        <f>SUMIFS(原始数据!$I$3:$I$32,原始数据!$N$3:$N$32,"90天以上")</f>
        <v>224.4</v>
      </c>
      <c r="E5" s="8">
        <f>SUMIFS(原始数据!$J$3:$J$32,原始数据!$N$3:$N$32,"90天以上")</f>
        <v>58.239999999999995</v>
      </c>
      <c r="F5" s="8">
        <f>SUMIFS(原始数据!$K$3:$K$32,原始数据!$N$3:$N$32,"90天以上")</f>
        <v>166.16</v>
      </c>
      <c r="G5" s="4">
        <f>SUMPRODUCT((原始数据!$N$3:$N$32="90天以上")/COUNTIFS(原始数据!$D$3:$D$32,原始数据!$D$3:$D$32&amp;"",原始数据!$N$3:$N$32,原始数据!$N$3:$N$32&amp;""))</f>
        <v>3</v>
      </c>
      <c r="H5" s="14">
        <f>IF(C5=0,"",E5/C5)</f>
        <v>0.25103448275862067</v>
      </c>
      <c r="I5" s="14">
        <f>IF(SUM(原始数据!$F$3:$F$32)=0,"",F5/SUM(原始数据!$F$3:$F$32))</f>
        <v>0.1786186509002956</v>
      </c>
    </row>
  </sheetData>
  <autoFilter ref="A2:I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3" customWidth="1" min="4" max="4"/>
    <col width="15" customWidth="1" min="5" max="5"/>
    <col width="15" customWidth="1" min="6" max="6"/>
    <col width="9" customWidth="1" min="7" max="7"/>
    <col width="13" customWidth="1" min="8" max="8"/>
    <col width="13" customWidth="1" min="9" max="9"/>
  </cols>
  <sheetData>
    <row r="1">
      <c r="A1" s="2" t="inlineStr">
        <is>
          <t>渠道分类维度统计分析</t>
        </is>
      </c>
    </row>
    <row r="2">
      <c r="A2" s="3" t="inlineStr">
        <is>
          <t>序号</t>
        </is>
      </c>
      <c r="B2" s="3" t="inlineStr">
        <is>
          <t>渠道分类</t>
        </is>
      </c>
      <c r="C2" s="3" t="inlineStr">
        <is>
          <t>总订单金额</t>
        </is>
      </c>
      <c r="D2" s="3" t="inlineStr">
        <is>
          <t>总发货金额</t>
        </is>
      </c>
      <c r="E2" s="3" t="inlineStr">
        <is>
          <t>总已结算金额</t>
        </is>
      </c>
      <c r="F2" s="3" t="inlineStr">
        <is>
          <t>总未结算金额</t>
        </is>
      </c>
      <c r="G2" s="3" t="inlineStr">
        <is>
          <t>订单数</t>
        </is>
      </c>
      <c r="H2" s="3" t="inlineStr">
        <is>
          <t>整体结算率</t>
        </is>
      </c>
      <c r="I2" s="3" t="inlineStr">
        <is>
          <t>未结算占比</t>
        </is>
      </c>
    </row>
    <row r="3">
      <c r="A3" s="4">
        <f>ROW()-2</f>
        <v>1</v>
      </c>
      <c r="B3" s="5" t="inlineStr">
        <is>
          <t>直营</t>
        </is>
      </c>
      <c r="C3" s="8">
        <f>SUMIFS(原始数据!$F$3:$F$32,原始数据!$C$3:$C$32,"直营")</f>
        <v>367.0</v>
      </c>
      <c r="D3" s="8">
        <f>SUMIFS(原始数据!$I$3:$I$32,原始数据!$C$3:$C$32,"直营")</f>
        <v>354.8</v>
      </c>
      <c r="E3" s="8">
        <f>SUMIFS(原始数据!$J$3:$J$32,原始数据!$C$3:$C$32,"直营")</f>
        <v>95.55</v>
      </c>
      <c r="F3" s="8">
        <f>SUMIFS(原始数据!$K$3:$K$32,原始数据!$C$3:$C$32,"直营")</f>
        <v>259.25</v>
      </c>
      <c r="G3" s="4">
        <f>SUMPRODUCT((原始数据!$C$3:$C$32="直营")/COUNTIFS(原始数据!$D$3:$D$32,原始数据!$D$3:$D$32&amp;"",原始数据!$C$3:$C$32,原始数据!$C$3:$C$32&amp;""))</f>
        <v>5</v>
      </c>
      <c r="H3" s="14">
        <f>IF(C3=0,"",E3/C3)</f>
        <v>0.2603542234332425</v>
      </c>
      <c r="I3" s="14">
        <f>IF(SUM(原始数据!$F$3:$F$32)=0,"",F3/SUM(原始数据!$F$3:$F$32))</f>
        <v>0.2786885245901639</v>
      </c>
    </row>
    <row r="4">
      <c r="A4" s="9">
        <f>ROW()-2</f>
        <v>2</v>
      </c>
      <c r="B4" s="10" t="inlineStr">
        <is>
          <t>电商</t>
        </is>
      </c>
      <c r="C4" s="13">
        <f>SUMIFS(原始数据!$F$3:$F$32,原始数据!$C$3:$C$32,"电商")</f>
        <v>272.75</v>
      </c>
      <c r="D4" s="13">
        <f>SUMIFS(原始数据!$I$3:$I$32,原始数据!$C$3:$C$32,"电商")</f>
        <v>265.29999999999995</v>
      </c>
      <c r="E4" s="13">
        <f>SUMIFS(原始数据!$J$3:$J$32,原始数据!$C$3:$C$32,"电商")</f>
        <v>60.515</v>
      </c>
      <c r="F4" s="13">
        <f>SUMIFS(原始数据!$K$3:$K$32,原始数据!$C$3:$C$32,"电商")</f>
        <v>204.78499999999997</v>
      </c>
      <c r="G4" s="9">
        <f>SUMPRODUCT((原始数据!$C$3:$C$32="电商")/COUNTIFS(原始数据!$D$3:$D$32,原始数据!$D$3:$D$32&amp;"",原始数据!$C$3:$C$32,原始数据!$C$3:$C$32&amp;""))</f>
        <v>3</v>
      </c>
      <c r="H4" s="15">
        <f>IF(C4=0,"",E4/C4)</f>
        <v>0.2218698441796517</v>
      </c>
      <c r="I4" s="15">
        <f>IF(SUM(原始数据!$F$3:$F$32)=0,"",F4/SUM(原始数据!$F$3:$F$32))</f>
        <v>0.2201397473797366</v>
      </c>
    </row>
    <row r="5">
      <c r="A5" s="4">
        <f>ROW()-2</f>
        <v>3</v>
      </c>
      <c r="B5" s="5" t="inlineStr">
        <is>
          <t>分销</t>
        </is>
      </c>
      <c r="C5" s="8">
        <f>SUMIFS(原始数据!$F$3:$F$32,原始数据!$C$3:$C$32,"分销")</f>
        <v>290.5</v>
      </c>
      <c r="D5" s="8">
        <f>SUMIFS(原始数据!$I$3:$I$32,原始数据!$C$3:$C$32,"分销")</f>
        <v>282.4</v>
      </c>
      <c r="E5" s="8">
        <f>SUMIFS(原始数据!$J$3:$J$32,原始数据!$C$3:$C$32,"分销")</f>
        <v>81.445</v>
      </c>
      <c r="F5" s="8">
        <f>SUMIFS(原始数据!$K$3:$K$32,原始数据!$C$3:$C$32,"分销")</f>
        <v>200.95499999999998</v>
      </c>
      <c r="G5" s="4">
        <f>SUMPRODUCT((原始数据!$C$3:$C$32="分销")/COUNTIFS(原始数据!$D$3:$D$32,原始数据!$D$3:$D$32&amp;"",原始数据!$C$3:$C$32,原始数据!$C$3:$C$32&amp;""))</f>
        <v>4</v>
      </c>
      <c r="H5" s="14">
        <f>IF(C5=0,"",E5/C5)</f>
        <v>0.2803614457831325</v>
      </c>
      <c r="I5" s="14">
        <f>IF(SUM(原始数据!$F$3:$F$32)=0,"",F5/SUM(原始数据!$F$3:$F$32))</f>
        <v>0.21602257457672666</v>
      </c>
    </row>
  </sheetData>
  <autoFilter ref="A2:I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2026-10-04T04:22:40Z</dcterms:created>
  <dcterms:modified xsi:type="dcterms:W3CDTF">2026-10-05T08:50:58Z</dcterms:modified>
</cp:coreProperties>
</file>